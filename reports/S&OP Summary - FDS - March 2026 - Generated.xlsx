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Business\AMERIQUAL PROJECT TRACKER\Current Projects\S&amp;OP Creation Automation\S&amp;OP Project\sop_automation\reports\"/>
    </mc:Choice>
  </mc:AlternateContent>
  <xr:revisionPtr revIDLastSave="0" documentId="8_{9AEF7B9B-AE85-493E-B873-9B2C0D9F238F}" xr6:coauthVersionLast="47" xr6:coauthVersionMax="47" xr10:uidLastSave="{00000000-0000-0000-0000-000000000000}"/>
  <bookViews>
    <workbookView xWindow="5070" yWindow="5070" windowWidth="28800" windowHeight="15885" tabRatio="599" activeTab="1" xr2:uid="{44C47DFD-7EA3-4CD5-B76B-74CA79D02869}"/>
  </bookViews>
  <sheets>
    <sheet name="Summary" sheetId="3" r:id="rId1"/>
    <sheet name="Fds Units" sheetId="1" r:id="rId2"/>
    <sheet name="Variance to Actuals" sheetId="16" r:id="rId3"/>
    <sheet name="previous forecast" sheetId="15" state="hidden" r:id="rId4"/>
    <sheet name="previous month" sheetId="14" r:id="rId5"/>
    <sheet name="PK units" sheetId="11" r:id="rId6"/>
    <sheet name="Sheet1" sheetId="13" r:id="rId7"/>
    <sheet name="Lookup" sheetId="4" state="hidden" r:id="rId8"/>
    <sheet name="Prophix" sheetId="5" state="hidden" r:id="rId9"/>
    <sheet name="Schedule" sheetId="6" r:id="rId10"/>
    <sheet name="PK Sch" sheetId="12" state="hidden" r:id="rId11"/>
  </sheets>
  <externalReferences>
    <externalReference r:id="rId12"/>
    <externalReference r:id="rId13"/>
    <externalReference r:id="rId14"/>
    <externalReference r:id="rId15"/>
  </externalReferences>
  <definedNames>
    <definedName name="_xlnm._FilterDatabase" localSheetId="1" hidden="1">'Fds Units'!$A$2:$FR$107</definedName>
    <definedName name="_xlnm._FilterDatabase" localSheetId="10" hidden="1">'PK Sch'!$A$1:$M$1914</definedName>
    <definedName name="_xlnm._FilterDatabase" localSheetId="9" hidden="1">Schedule!$A$1:$K$399</definedName>
    <definedName name="_xlnm.Print_Area" localSheetId="1">'Fds Units'!$A$1:$AE$101</definedName>
    <definedName name="_xlnm.Print_Area" localSheetId="5">'PK units'!$A$1:$O$18</definedName>
    <definedName name="_xlnm.Print_Area" localSheetId="0">Summary!$A$7:$Z$71</definedName>
  </definedName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9" i="1" l="1"/>
  <c r="AG65" i="1" s="1"/>
  <c r="AG48" i="1"/>
  <c r="AG45" i="1" s="1"/>
  <c r="AG47" i="1"/>
  <c r="AG43" i="1"/>
  <c r="AG39" i="1" s="1"/>
  <c r="AG41" i="1"/>
  <c r="AG33" i="1"/>
  <c r="AG32" i="1" s="1"/>
  <c r="AG70" i="1"/>
  <c r="AG55" i="1"/>
  <c r="AG52" i="1"/>
  <c r="AG27" i="1"/>
  <c r="AF2" i="1"/>
  <c r="AE44" i="1" l="1"/>
  <c r="AE43" i="1"/>
  <c r="AE42" i="1"/>
  <c r="AE41" i="1"/>
  <c r="DY4" i="1"/>
  <c r="AD70" i="1"/>
  <c r="AC70" i="1"/>
  <c r="AD65" i="1"/>
  <c r="AD55" i="1"/>
  <c r="AD52" i="1"/>
  <c r="AD45" i="1"/>
  <c r="AD39" i="1"/>
  <c r="AD32" i="1"/>
  <c r="AD27" i="1"/>
  <c r="AD3" i="1"/>
  <c r="AD18" i="1"/>
  <c r="AD76" i="1"/>
  <c r="AD82" i="1"/>
  <c r="AB101" i="1"/>
  <c r="C32" i="16"/>
  <c r="B32" i="16"/>
  <c r="D32" i="16" s="1"/>
  <c r="C15" i="16"/>
  <c r="J15" i="16" s="1"/>
  <c r="B15" i="16"/>
  <c r="I15" i="16" s="1"/>
  <c r="AB97" i="1"/>
  <c r="AB96" i="1"/>
  <c r="AB95" i="1"/>
  <c r="AB94" i="1"/>
  <c r="AB93" i="1"/>
  <c r="AB92" i="1"/>
  <c r="AB91" i="1"/>
  <c r="AB89" i="1"/>
  <c r="AB88" i="1"/>
  <c r="AB87" i="1"/>
  <c r="AB86" i="1"/>
  <c r="AB85" i="1"/>
  <c r="AB84" i="1"/>
  <c r="AB83" i="1"/>
  <c r="AB79" i="1"/>
  <c r="AB78" i="1"/>
  <c r="AB77" i="1"/>
  <c r="AB75" i="1"/>
  <c r="AB74" i="1"/>
  <c r="AB73" i="1"/>
  <c r="AB72" i="1"/>
  <c r="AB71" i="1"/>
  <c r="AB70" i="1" s="1"/>
  <c r="AB69" i="1"/>
  <c r="AB68" i="1"/>
  <c r="AB67" i="1"/>
  <c r="AB66" i="1"/>
  <c r="AB64" i="1"/>
  <c r="AB63" i="1"/>
  <c r="AB62" i="1"/>
  <c r="AB61" i="1"/>
  <c r="AB60" i="1"/>
  <c r="AB59" i="1"/>
  <c r="AB58" i="1"/>
  <c r="AB57" i="1"/>
  <c r="AB56" i="1"/>
  <c r="AB54" i="1"/>
  <c r="AB53" i="1"/>
  <c r="AB51" i="1"/>
  <c r="AB50" i="1"/>
  <c r="AB49" i="1"/>
  <c r="AB48" i="1"/>
  <c r="AB47" i="1"/>
  <c r="AB46" i="1"/>
  <c r="AB44" i="1"/>
  <c r="AB43" i="1"/>
  <c r="AB42" i="1"/>
  <c r="AB41" i="1"/>
  <c r="AB40" i="1"/>
  <c r="AB38" i="1"/>
  <c r="AB37" i="1"/>
  <c r="AB36" i="1"/>
  <c r="AB35" i="1"/>
  <c r="AB34" i="1"/>
  <c r="AB31" i="1"/>
  <c r="AB30" i="1"/>
  <c r="AB29" i="1"/>
  <c r="AB28" i="1"/>
  <c r="AB25" i="1"/>
  <c r="AB24" i="1"/>
  <c r="AB23" i="1"/>
  <c r="AB22" i="1"/>
  <c r="AB21" i="1"/>
  <c r="AB20" i="1"/>
  <c r="AB18" i="1" s="1"/>
  <c r="AB19" i="1"/>
  <c r="AB11" i="1"/>
  <c r="AB10" i="1"/>
  <c r="AB9" i="1"/>
  <c r="AB8" i="1"/>
  <c r="AB4" i="1"/>
  <c r="AB76" i="1" l="1"/>
  <c r="L15" i="16"/>
  <c r="AB52" i="1"/>
  <c r="AD26" i="1"/>
  <c r="AD99" i="1" s="1"/>
  <c r="AB65" i="1"/>
  <c r="AB55" i="1"/>
  <c r="AB45" i="1"/>
  <c r="AB39" i="1"/>
  <c r="K15" i="16"/>
  <c r="AB27" i="1"/>
  <c r="AB82" i="1"/>
  <c r="X5" i="11" l="1"/>
  <c r="W3" i="11" l="1"/>
  <c r="M96" i="14"/>
  <c r="AE27" i="1" l="1"/>
  <c r="AE55" i="1"/>
  <c r="AC55" i="1"/>
  <c r="AC27" i="1"/>
  <c r="AB12" i="1"/>
  <c r="AB3" i="1" s="1"/>
  <c r="D15" i="16"/>
  <c r="AC65" i="1" l="1"/>
  <c r="AC52" i="1"/>
  <c r="AC45" i="1"/>
  <c r="AC39" i="1"/>
  <c r="AC32" i="1"/>
  <c r="AC82" i="1"/>
  <c r="AC76" i="1"/>
  <c r="AC18" i="1"/>
  <c r="AC3" i="1"/>
  <c r="AF55" i="1"/>
  <c r="AF65" i="1"/>
  <c r="DW64" i="1"/>
  <c r="DV64" i="1"/>
  <c r="EU64" i="1" s="1"/>
  <c r="DU64" i="1"/>
  <c r="ET64" i="1" s="1"/>
  <c r="DT64" i="1"/>
  <c r="ES64" i="1" s="1"/>
  <c r="DS64" i="1"/>
  <c r="ER64" i="1" s="1"/>
  <c r="DR64" i="1"/>
  <c r="EQ64" i="1" s="1"/>
  <c r="DQ64" i="1"/>
  <c r="EP64" i="1" s="1"/>
  <c r="DP64" i="1"/>
  <c r="EO64" i="1" s="1"/>
  <c r="DO64" i="1"/>
  <c r="EN64" i="1" s="1"/>
  <c r="DN64" i="1"/>
  <c r="EM64" i="1" s="1"/>
  <c r="DM64" i="1"/>
  <c r="EL64" i="1" s="1"/>
  <c r="DL64" i="1"/>
  <c r="EK64" i="1" s="1"/>
  <c r="DK64" i="1"/>
  <c r="EJ64" i="1" s="1"/>
  <c r="CD64" i="1"/>
  <c r="CG64" i="1" s="1"/>
  <c r="CC64" i="1"/>
  <c r="CF64" i="1" s="1"/>
  <c r="CI64" i="1" s="1"/>
  <c r="CL64" i="1" s="1"/>
  <c r="CO64" i="1" s="1"/>
  <c r="CR64" i="1" s="1"/>
  <c r="CU64" i="1" s="1"/>
  <c r="CX64" i="1" s="1"/>
  <c r="DA64" i="1" s="1"/>
  <c r="DD64" i="1" s="1"/>
  <c r="DG64" i="1" s="1"/>
  <c r="CB64" i="1"/>
  <c r="CE64" i="1" s="1"/>
  <c r="CH64" i="1" s="1"/>
  <c r="DW63" i="1"/>
  <c r="DV63" i="1"/>
  <c r="EU63" i="1" s="1"/>
  <c r="DU63" i="1"/>
  <c r="ET63" i="1" s="1"/>
  <c r="DT63" i="1"/>
  <c r="ES63" i="1" s="1"/>
  <c r="DS63" i="1"/>
  <c r="ER63" i="1" s="1"/>
  <c r="DR63" i="1"/>
  <c r="EQ63" i="1" s="1"/>
  <c r="DQ63" i="1"/>
  <c r="EP63" i="1" s="1"/>
  <c r="DP63" i="1"/>
  <c r="EO63" i="1" s="1"/>
  <c r="DO63" i="1"/>
  <c r="EN63" i="1" s="1"/>
  <c r="DN63" i="1"/>
  <c r="EM63" i="1" s="1"/>
  <c r="DM63" i="1"/>
  <c r="EL63" i="1" s="1"/>
  <c r="DL63" i="1"/>
  <c r="EK63" i="1" s="1"/>
  <c r="DK63" i="1"/>
  <c r="EJ63" i="1" s="1"/>
  <c r="CD63" i="1"/>
  <c r="CC63" i="1"/>
  <c r="CF63" i="1" s="1"/>
  <c r="CI63" i="1" s="1"/>
  <c r="CL63" i="1" s="1"/>
  <c r="CO63" i="1" s="1"/>
  <c r="CR63" i="1" s="1"/>
  <c r="CU63" i="1" s="1"/>
  <c r="CX63" i="1" s="1"/>
  <c r="DA63" i="1" s="1"/>
  <c r="DD63" i="1" s="1"/>
  <c r="DG63" i="1" s="1"/>
  <c r="CB63" i="1"/>
  <c r="DW62" i="1"/>
  <c r="DV62" i="1"/>
  <c r="EU62" i="1" s="1"/>
  <c r="DU62" i="1"/>
  <c r="ET62" i="1" s="1"/>
  <c r="DT62" i="1"/>
  <c r="ES62" i="1" s="1"/>
  <c r="DS62" i="1"/>
  <c r="ER62" i="1" s="1"/>
  <c r="DR62" i="1"/>
  <c r="EQ62" i="1" s="1"/>
  <c r="DQ62" i="1"/>
  <c r="EP62" i="1" s="1"/>
  <c r="DP62" i="1"/>
  <c r="EO62" i="1" s="1"/>
  <c r="DO62" i="1"/>
  <c r="EN62" i="1" s="1"/>
  <c r="DN62" i="1"/>
  <c r="EM62" i="1" s="1"/>
  <c r="DM62" i="1"/>
  <c r="EL62" i="1" s="1"/>
  <c r="DL62" i="1"/>
  <c r="EK62" i="1" s="1"/>
  <c r="DK62" i="1"/>
  <c r="EJ62" i="1" s="1"/>
  <c r="CD62" i="1"/>
  <c r="DX62" i="1" s="1"/>
  <c r="CC62" i="1"/>
  <c r="CF62" i="1" s="1"/>
  <c r="CI62" i="1" s="1"/>
  <c r="CL62" i="1" s="1"/>
  <c r="CO62" i="1" s="1"/>
  <c r="CR62" i="1" s="1"/>
  <c r="CU62" i="1" s="1"/>
  <c r="CX62" i="1" s="1"/>
  <c r="DA62" i="1" s="1"/>
  <c r="DD62" i="1" s="1"/>
  <c r="DG62" i="1" s="1"/>
  <c r="CB62" i="1"/>
  <c r="DW61" i="1"/>
  <c r="DV61" i="1"/>
  <c r="EU61" i="1" s="1"/>
  <c r="DU61" i="1"/>
  <c r="ET61" i="1" s="1"/>
  <c r="DT61" i="1"/>
  <c r="ES61" i="1" s="1"/>
  <c r="DS61" i="1"/>
  <c r="ER61" i="1" s="1"/>
  <c r="DR61" i="1"/>
  <c r="EQ61" i="1" s="1"/>
  <c r="DQ61" i="1"/>
  <c r="EP61" i="1" s="1"/>
  <c r="DP61" i="1"/>
  <c r="EO61" i="1" s="1"/>
  <c r="DO61" i="1"/>
  <c r="EN61" i="1" s="1"/>
  <c r="DN61" i="1"/>
  <c r="EM61" i="1" s="1"/>
  <c r="DM61" i="1"/>
  <c r="EL61" i="1" s="1"/>
  <c r="DL61" i="1"/>
  <c r="EK61" i="1" s="1"/>
  <c r="DK61" i="1"/>
  <c r="EJ61" i="1" s="1"/>
  <c r="CD61" i="1"/>
  <c r="CC61" i="1"/>
  <c r="CF61" i="1" s="1"/>
  <c r="CI61" i="1" s="1"/>
  <c r="CL61" i="1" s="1"/>
  <c r="CO61" i="1" s="1"/>
  <c r="CR61" i="1" s="1"/>
  <c r="CU61" i="1" s="1"/>
  <c r="CX61" i="1" s="1"/>
  <c r="DA61" i="1" s="1"/>
  <c r="DD61" i="1" s="1"/>
  <c r="DG61" i="1" s="1"/>
  <c r="CB61" i="1"/>
  <c r="CE61" i="1" s="1"/>
  <c r="CH61" i="1" s="1"/>
  <c r="DW60" i="1"/>
  <c r="DV60" i="1"/>
  <c r="EU60" i="1" s="1"/>
  <c r="DU60" i="1"/>
  <c r="ET60" i="1" s="1"/>
  <c r="DT60" i="1"/>
  <c r="ES60" i="1" s="1"/>
  <c r="DS60" i="1"/>
  <c r="ER60" i="1" s="1"/>
  <c r="DR60" i="1"/>
  <c r="EQ60" i="1" s="1"/>
  <c r="DQ60" i="1"/>
  <c r="EP60" i="1" s="1"/>
  <c r="DP60" i="1"/>
  <c r="EO60" i="1" s="1"/>
  <c r="DO60" i="1"/>
  <c r="EN60" i="1" s="1"/>
  <c r="DN60" i="1"/>
  <c r="EM60" i="1" s="1"/>
  <c r="DM60" i="1"/>
  <c r="EL60" i="1" s="1"/>
  <c r="DL60" i="1"/>
  <c r="EK60" i="1" s="1"/>
  <c r="DK60" i="1"/>
  <c r="EJ60" i="1" s="1"/>
  <c r="CD60" i="1"/>
  <c r="DX60" i="1" s="1"/>
  <c r="CC60" i="1"/>
  <c r="CF60" i="1" s="1"/>
  <c r="CI60" i="1" s="1"/>
  <c r="CL60" i="1" s="1"/>
  <c r="CO60" i="1" s="1"/>
  <c r="CR60" i="1" s="1"/>
  <c r="CU60" i="1" s="1"/>
  <c r="CX60" i="1" s="1"/>
  <c r="DA60" i="1" s="1"/>
  <c r="DD60" i="1" s="1"/>
  <c r="DG60" i="1" s="1"/>
  <c r="CB60" i="1"/>
  <c r="CE60" i="1" s="1"/>
  <c r="CH60" i="1" s="1"/>
  <c r="DW59" i="1"/>
  <c r="DV59" i="1"/>
  <c r="EU59" i="1" s="1"/>
  <c r="DU59" i="1"/>
  <c r="ET59" i="1" s="1"/>
  <c r="DT59" i="1"/>
  <c r="ES59" i="1" s="1"/>
  <c r="DS59" i="1"/>
  <c r="ER59" i="1" s="1"/>
  <c r="DR59" i="1"/>
  <c r="EQ59" i="1" s="1"/>
  <c r="DQ59" i="1"/>
  <c r="EP59" i="1" s="1"/>
  <c r="DP59" i="1"/>
  <c r="EO59" i="1" s="1"/>
  <c r="DO59" i="1"/>
  <c r="EN59" i="1" s="1"/>
  <c r="DN59" i="1"/>
  <c r="EM59" i="1" s="1"/>
  <c r="DM59" i="1"/>
  <c r="EL59" i="1" s="1"/>
  <c r="DL59" i="1"/>
  <c r="EK59" i="1" s="1"/>
  <c r="DK59" i="1"/>
  <c r="EJ59" i="1" s="1"/>
  <c r="CD59" i="1"/>
  <c r="CG59" i="1" s="1"/>
  <c r="CJ59" i="1" s="1"/>
  <c r="DZ59" i="1" s="1"/>
  <c r="CC59" i="1"/>
  <c r="CF59" i="1" s="1"/>
  <c r="CI59" i="1" s="1"/>
  <c r="CL59" i="1" s="1"/>
  <c r="CO59" i="1" s="1"/>
  <c r="CR59" i="1" s="1"/>
  <c r="CU59" i="1" s="1"/>
  <c r="CX59" i="1" s="1"/>
  <c r="DA59" i="1" s="1"/>
  <c r="DD59" i="1" s="1"/>
  <c r="DG59" i="1" s="1"/>
  <c r="CB59" i="1"/>
  <c r="CE59" i="1" s="1"/>
  <c r="DW58" i="1"/>
  <c r="DV58" i="1"/>
  <c r="EU58" i="1" s="1"/>
  <c r="DU58" i="1"/>
  <c r="ET58" i="1" s="1"/>
  <c r="DT58" i="1"/>
  <c r="ES58" i="1" s="1"/>
  <c r="DS58" i="1"/>
  <c r="ER58" i="1" s="1"/>
  <c r="DR58" i="1"/>
  <c r="EQ58" i="1" s="1"/>
  <c r="DQ58" i="1"/>
  <c r="EP58" i="1" s="1"/>
  <c r="DP58" i="1"/>
  <c r="EO58" i="1" s="1"/>
  <c r="DO58" i="1"/>
  <c r="EN58" i="1" s="1"/>
  <c r="DN58" i="1"/>
  <c r="EM58" i="1" s="1"/>
  <c r="DM58" i="1"/>
  <c r="EL58" i="1" s="1"/>
  <c r="DL58" i="1"/>
  <c r="EK58" i="1" s="1"/>
  <c r="DK58" i="1"/>
  <c r="EJ58" i="1" s="1"/>
  <c r="CD58" i="1"/>
  <c r="CC58" i="1"/>
  <c r="CF58" i="1" s="1"/>
  <c r="CI58" i="1" s="1"/>
  <c r="CL58" i="1" s="1"/>
  <c r="CO58" i="1" s="1"/>
  <c r="CR58" i="1" s="1"/>
  <c r="CU58" i="1" s="1"/>
  <c r="CX58" i="1" s="1"/>
  <c r="DA58" i="1" s="1"/>
  <c r="DD58" i="1" s="1"/>
  <c r="DG58" i="1" s="1"/>
  <c r="CB58" i="1"/>
  <c r="DW57" i="1"/>
  <c r="DV57" i="1"/>
  <c r="EU57" i="1" s="1"/>
  <c r="DU57" i="1"/>
  <c r="ET57" i="1" s="1"/>
  <c r="DT57" i="1"/>
  <c r="ES57" i="1" s="1"/>
  <c r="DS57" i="1"/>
  <c r="ER57" i="1" s="1"/>
  <c r="DR57" i="1"/>
  <c r="EQ57" i="1" s="1"/>
  <c r="DQ57" i="1"/>
  <c r="EP57" i="1" s="1"/>
  <c r="DP57" i="1"/>
  <c r="EO57" i="1" s="1"/>
  <c r="DO57" i="1"/>
  <c r="EN57" i="1" s="1"/>
  <c r="DN57" i="1"/>
  <c r="EM57" i="1" s="1"/>
  <c r="DM57" i="1"/>
  <c r="EL57" i="1" s="1"/>
  <c r="DL57" i="1"/>
  <c r="EK57" i="1" s="1"/>
  <c r="DK57" i="1"/>
  <c r="EJ57" i="1" s="1"/>
  <c r="CD57" i="1"/>
  <c r="DX57" i="1" s="1"/>
  <c r="CC57" i="1"/>
  <c r="CF57" i="1" s="1"/>
  <c r="CI57" i="1" s="1"/>
  <c r="CL57" i="1" s="1"/>
  <c r="CO57" i="1" s="1"/>
  <c r="CR57" i="1" s="1"/>
  <c r="CU57" i="1" s="1"/>
  <c r="CX57" i="1" s="1"/>
  <c r="DA57" i="1" s="1"/>
  <c r="DD57" i="1" s="1"/>
  <c r="DG57" i="1" s="1"/>
  <c r="CB57" i="1"/>
  <c r="AF27" i="1"/>
  <c r="DW31" i="1"/>
  <c r="DV31" i="1"/>
  <c r="EU31" i="1" s="1"/>
  <c r="DU31" i="1"/>
  <c r="ET31" i="1" s="1"/>
  <c r="DT31" i="1"/>
  <c r="ES31" i="1" s="1"/>
  <c r="DS31" i="1"/>
  <c r="ER31" i="1" s="1"/>
  <c r="DR31" i="1"/>
  <c r="EQ31" i="1" s="1"/>
  <c r="DQ31" i="1"/>
  <c r="EP31" i="1" s="1"/>
  <c r="DP31" i="1"/>
  <c r="EO31" i="1" s="1"/>
  <c r="DO31" i="1"/>
  <c r="EN31" i="1" s="1"/>
  <c r="DN31" i="1"/>
  <c r="EM31" i="1" s="1"/>
  <c r="DM31" i="1"/>
  <c r="EL31" i="1" s="1"/>
  <c r="DL31" i="1"/>
  <c r="EK31" i="1" s="1"/>
  <c r="DK31" i="1"/>
  <c r="EJ31" i="1" s="1"/>
  <c r="CD31" i="1"/>
  <c r="DX31" i="1" s="1"/>
  <c r="CB31" i="1"/>
  <c r="CE31" i="1" s="1"/>
  <c r="BZ31" i="1"/>
  <c r="CC31" i="1" s="1"/>
  <c r="CF31" i="1" s="1"/>
  <c r="CI31" i="1" s="1"/>
  <c r="CL31" i="1" s="1"/>
  <c r="CO31" i="1" s="1"/>
  <c r="CR31" i="1" s="1"/>
  <c r="CU31" i="1" s="1"/>
  <c r="CX31" i="1" s="1"/>
  <c r="DA31" i="1" s="1"/>
  <c r="DD31" i="1" s="1"/>
  <c r="DG31" i="1" s="1"/>
  <c r="AF70" i="1"/>
  <c r="AE70" i="1"/>
  <c r="AF52" i="1"/>
  <c r="AF45" i="1"/>
  <c r="AF39" i="1"/>
  <c r="AF32" i="1"/>
  <c r="EV58" i="1" l="1"/>
  <c r="AC26" i="1"/>
  <c r="CG62" i="1"/>
  <c r="DY62" i="1" s="1"/>
  <c r="EV60" i="1"/>
  <c r="EV64" i="1"/>
  <c r="CG60" i="1"/>
  <c r="CJ60" i="1" s="1"/>
  <c r="DZ60" i="1" s="1"/>
  <c r="DX64" i="1"/>
  <c r="EW64" i="1" s="1"/>
  <c r="DX59" i="1"/>
  <c r="EW59" i="1" s="1"/>
  <c r="DY59" i="1"/>
  <c r="EV61" i="1"/>
  <c r="CK61" i="1"/>
  <c r="DX63" i="1"/>
  <c r="CG63" i="1"/>
  <c r="EV59" i="1"/>
  <c r="DX61" i="1"/>
  <c r="EW61" i="1" s="1"/>
  <c r="CG61" i="1"/>
  <c r="CM59" i="1"/>
  <c r="EV63" i="1"/>
  <c r="CE63" i="1"/>
  <c r="DX58" i="1"/>
  <c r="CG58" i="1"/>
  <c r="CE58" i="1"/>
  <c r="CJ64" i="1"/>
  <c r="DY64" i="1"/>
  <c r="EX64" i="1" s="1"/>
  <c r="CK60" i="1"/>
  <c r="EV62" i="1"/>
  <c r="CE62" i="1"/>
  <c r="CE57" i="1"/>
  <c r="EV57" i="1"/>
  <c r="CG57" i="1"/>
  <c r="EW60" i="1"/>
  <c r="CH59" i="1"/>
  <c r="CK64" i="1"/>
  <c r="CH31" i="1"/>
  <c r="EW31" i="1"/>
  <c r="EV31" i="1"/>
  <c r="CG31" i="1"/>
  <c r="DY60" i="1" l="1"/>
  <c r="EX60" i="1" s="1"/>
  <c r="CJ62" i="1"/>
  <c r="DZ62" i="1" s="1"/>
  <c r="CM60" i="1"/>
  <c r="EA60" i="1" s="1"/>
  <c r="DY57" i="1"/>
  <c r="CJ57" i="1"/>
  <c r="CH62" i="1"/>
  <c r="EW62" i="1"/>
  <c r="EY60" i="1"/>
  <c r="CN60" i="1"/>
  <c r="CJ63" i="1"/>
  <c r="DY63" i="1"/>
  <c r="CN61" i="1"/>
  <c r="CM64" i="1"/>
  <c r="DZ64" i="1"/>
  <c r="EY64" i="1" s="1"/>
  <c r="CN64" i="1"/>
  <c r="EW58" i="1"/>
  <c r="CH58" i="1"/>
  <c r="CH63" i="1"/>
  <c r="EW63" i="1"/>
  <c r="CP59" i="1"/>
  <c r="EA59" i="1"/>
  <c r="DY61" i="1"/>
  <c r="EX61" i="1" s="1"/>
  <c r="CJ61" i="1"/>
  <c r="CH57" i="1"/>
  <c r="EW57" i="1"/>
  <c r="EX59" i="1"/>
  <c r="CK59" i="1"/>
  <c r="CJ58" i="1"/>
  <c r="DY58" i="1"/>
  <c r="CK31" i="1"/>
  <c r="CJ31" i="1"/>
  <c r="DY31" i="1"/>
  <c r="EX31" i="1" s="1"/>
  <c r="CM62" i="1" l="1"/>
  <c r="CP62" i="1" s="1"/>
  <c r="EB62" i="1" s="1"/>
  <c r="CP60" i="1"/>
  <c r="CS60" i="1" s="1"/>
  <c r="CQ64" i="1"/>
  <c r="CK57" i="1"/>
  <c r="EX57" i="1"/>
  <c r="CM61" i="1"/>
  <c r="DZ61" i="1"/>
  <c r="EY61" i="1" s="1"/>
  <c r="EA64" i="1"/>
  <c r="EZ64" i="1" s="1"/>
  <c r="CP64" i="1"/>
  <c r="CQ61" i="1"/>
  <c r="CS59" i="1"/>
  <c r="EB59" i="1"/>
  <c r="CK63" i="1"/>
  <c r="EX63" i="1"/>
  <c r="DZ63" i="1"/>
  <c r="CM63" i="1"/>
  <c r="CQ60" i="1"/>
  <c r="EZ60" i="1"/>
  <c r="CM58" i="1"/>
  <c r="DZ58" i="1"/>
  <c r="EX62" i="1"/>
  <c r="CK62" i="1"/>
  <c r="CN59" i="1"/>
  <c r="EY59" i="1"/>
  <c r="EX58" i="1"/>
  <c r="CK58" i="1"/>
  <c r="CM57" i="1"/>
  <c r="DZ57" i="1"/>
  <c r="DZ31" i="1"/>
  <c r="EY31" i="1" s="1"/>
  <c r="CM31" i="1"/>
  <c r="CN31" i="1"/>
  <c r="EA62" i="1" l="1"/>
  <c r="EB60" i="1"/>
  <c r="FA60" i="1" s="1"/>
  <c r="CS62" i="1"/>
  <c r="EC62" i="1" s="1"/>
  <c r="CQ59" i="1"/>
  <c r="EZ59" i="1"/>
  <c r="CN63" i="1"/>
  <c r="EY63" i="1"/>
  <c r="EY62" i="1"/>
  <c r="CN62" i="1"/>
  <c r="EC59" i="1"/>
  <c r="CV59" i="1"/>
  <c r="CT61" i="1"/>
  <c r="EA58" i="1"/>
  <c r="CP58" i="1"/>
  <c r="EB64" i="1"/>
  <c r="FA64" i="1" s="1"/>
  <c r="CS64" i="1"/>
  <c r="CV60" i="1"/>
  <c r="EC60" i="1"/>
  <c r="CP61" i="1"/>
  <c r="EA61" i="1"/>
  <c r="EZ61" i="1" s="1"/>
  <c r="EA57" i="1"/>
  <c r="CP57" i="1"/>
  <c r="CT60" i="1"/>
  <c r="EY57" i="1"/>
  <c r="CN57" i="1"/>
  <c r="CN58" i="1"/>
  <c r="EY58" i="1"/>
  <c r="EA63" i="1"/>
  <c r="CP63" i="1"/>
  <c r="CT64" i="1"/>
  <c r="CQ31" i="1"/>
  <c r="EA31" i="1"/>
  <c r="EZ31" i="1" s="1"/>
  <c r="CP31" i="1"/>
  <c r="CV62" i="1" l="1"/>
  <c r="CY62" i="1" s="1"/>
  <c r="EC64" i="1"/>
  <c r="FB64" i="1" s="1"/>
  <c r="CV64" i="1"/>
  <c r="CQ58" i="1"/>
  <c r="EZ58" i="1"/>
  <c r="EB58" i="1"/>
  <c r="CS58" i="1"/>
  <c r="CW60" i="1"/>
  <c r="FB60" i="1"/>
  <c r="EZ57" i="1"/>
  <c r="CQ57" i="1"/>
  <c r="CW61" i="1"/>
  <c r="EB57" i="1"/>
  <c r="CS57" i="1"/>
  <c r="CY59" i="1"/>
  <c r="ED59" i="1"/>
  <c r="EZ62" i="1"/>
  <c r="CQ62" i="1"/>
  <c r="CS61" i="1"/>
  <c r="EB61" i="1"/>
  <c r="FA61" i="1" s="1"/>
  <c r="CW64" i="1"/>
  <c r="EZ63" i="1"/>
  <c r="CQ63" i="1"/>
  <c r="EB63" i="1"/>
  <c r="CS63" i="1"/>
  <c r="CY60" i="1"/>
  <c r="ED60" i="1"/>
  <c r="CT59" i="1"/>
  <c r="FA59" i="1"/>
  <c r="CS31" i="1"/>
  <c r="EB31" i="1"/>
  <c r="FA31" i="1" s="1"/>
  <c r="CT31" i="1"/>
  <c r="ED62" i="1" l="1"/>
  <c r="CV63" i="1"/>
  <c r="EC63" i="1"/>
  <c r="CT63" i="1"/>
  <c r="FA63" i="1"/>
  <c r="CZ61" i="1"/>
  <c r="CT57" i="1"/>
  <c r="FA57" i="1"/>
  <c r="DB62" i="1"/>
  <c r="EE62" i="1"/>
  <c r="CZ64" i="1"/>
  <c r="EC57" i="1"/>
  <c r="CV57" i="1"/>
  <c r="FC60" i="1"/>
  <c r="CZ60" i="1"/>
  <c r="CV58" i="1"/>
  <c r="EC58" i="1"/>
  <c r="EC61" i="1"/>
  <c r="FB61" i="1" s="1"/>
  <c r="CV61" i="1"/>
  <c r="FA62" i="1"/>
  <c r="CT62" i="1"/>
  <c r="CW59" i="1"/>
  <c r="FB59" i="1"/>
  <c r="FA58" i="1"/>
  <c r="CT58" i="1"/>
  <c r="ED64" i="1"/>
  <c r="FC64" i="1" s="1"/>
  <c r="CY64" i="1"/>
  <c r="EE60" i="1"/>
  <c r="DB60" i="1"/>
  <c r="DB59" i="1"/>
  <c r="EE59" i="1"/>
  <c r="CW31" i="1"/>
  <c r="CV31" i="1"/>
  <c r="EC31" i="1"/>
  <c r="FB31" i="1" s="1"/>
  <c r="DC64" i="1" l="1"/>
  <c r="DB64" i="1"/>
  <c r="EE64" i="1"/>
  <c r="FD64" i="1" s="1"/>
  <c r="ED57" i="1"/>
  <c r="CY57" i="1"/>
  <c r="FB58" i="1"/>
  <c r="CW58" i="1"/>
  <c r="CZ59" i="1"/>
  <c r="FC59" i="1"/>
  <c r="EF62" i="1"/>
  <c r="DE62" i="1"/>
  <c r="CW62" i="1"/>
  <c r="FB62" i="1"/>
  <c r="FB57" i="1"/>
  <c r="CW57" i="1"/>
  <c r="ED61" i="1"/>
  <c r="FC61" i="1" s="1"/>
  <c r="CY61" i="1"/>
  <c r="DC61" i="1"/>
  <c r="DE59" i="1"/>
  <c r="EF59" i="1"/>
  <c r="ED58" i="1"/>
  <c r="CY58" i="1"/>
  <c r="CW63" i="1"/>
  <c r="FB63" i="1"/>
  <c r="DE60" i="1"/>
  <c r="EF60" i="1"/>
  <c r="FD60" i="1"/>
  <c r="DC60" i="1"/>
  <c r="CY63" i="1"/>
  <c r="ED63" i="1"/>
  <c r="ED31" i="1"/>
  <c r="FC31" i="1" s="1"/>
  <c r="CY31" i="1"/>
  <c r="CZ31" i="1"/>
  <c r="EG60" i="1" l="1"/>
  <c r="DH60" i="1"/>
  <c r="EH60" i="1" s="1"/>
  <c r="FC63" i="1"/>
  <c r="CZ63" i="1"/>
  <c r="EE58" i="1"/>
  <c r="DB58" i="1"/>
  <c r="DC59" i="1"/>
  <c r="FD59" i="1"/>
  <c r="FC62" i="1"/>
  <c r="CZ62" i="1"/>
  <c r="DH62" i="1"/>
  <c r="EH62" i="1" s="1"/>
  <c r="EG62" i="1"/>
  <c r="FC58" i="1"/>
  <c r="CZ58" i="1"/>
  <c r="EG59" i="1"/>
  <c r="DH59" i="1"/>
  <c r="EH59" i="1" s="1"/>
  <c r="EE57" i="1"/>
  <c r="DB57" i="1"/>
  <c r="DF61" i="1"/>
  <c r="EE61" i="1"/>
  <c r="FD61" i="1" s="1"/>
  <c r="DB61" i="1"/>
  <c r="EE63" i="1"/>
  <c r="DB63" i="1"/>
  <c r="DE64" i="1"/>
  <c r="EF64" i="1"/>
  <c r="FE64" i="1" s="1"/>
  <c r="DF60" i="1"/>
  <c r="FE60" i="1"/>
  <c r="CZ57" i="1"/>
  <c r="FC57" i="1"/>
  <c r="DF64" i="1"/>
  <c r="DC31" i="1"/>
  <c r="EE31" i="1"/>
  <c r="FD31" i="1" s="1"/>
  <c r="DB31" i="1"/>
  <c r="DC58" i="1" l="1"/>
  <c r="FD58" i="1"/>
  <c r="FF60" i="1"/>
  <c r="DI60" i="1"/>
  <c r="FG60" i="1" s="1"/>
  <c r="EG64" i="1"/>
  <c r="FF64" i="1" s="1"/>
  <c r="DH64" i="1"/>
  <c r="EH64" i="1" s="1"/>
  <c r="DE63" i="1"/>
  <c r="EF63" i="1"/>
  <c r="DC62" i="1"/>
  <c r="FD62" i="1"/>
  <c r="DE61" i="1"/>
  <c r="EF61" i="1"/>
  <c r="FE61" i="1" s="1"/>
  <c r="DF59" i="1"/>
  <c r="FE59" i="1"/>
  <c r="EF58" i="1"/>
  <c r="DE58" i="1"/>
  <c r="DI61" i="1"/>
  <c r="DI64" i="1"/>
  <c r="EF57" i="1"/>
  <c r="DE57" i="1"/>
  <c r="FD63" i="1"/>
  <c r="DC63" i="1"/>
  <c r="FD57" i="1"/>
  <c r="DC57" i="1"/>
  <c r="EF31" i="1"/>
  <c r="FE31" i="1" s="1"/>
  <c r="DE31" i="1"/>
  <c r="DF31" i="1"/>
  <c r="FG64" i="1" l="1"/>
  <c r="FF59" i="1"/>
  <c r="DI59" i="1"/>
  <c r="FG59" i="1" s="1"/>
  <c r="FE57" i="1"/>
  <c r="DF57" i="1"/>
  <c r="FE63" i="1"/>
  <c r="DF63" i="1"/>
  <c r="DH57" i="1"/>
  <c r="EH57" i="1" s="1"/>
  <c r="EG57" i="1"/>
  <c r="DH61" i="1"/>
  <c r="EH61" i="1" s="1"/>
  <c r="FG61" i="1" s="1"/>
  <c r="EG61" i="1"/>
  <c r="FF61" i="1" s="1"/>
  <c r="DF62" i="1"/>
  <c r="FE62" i="1"/>
  <c r="DH63" i="1"/>
  <c r="EH63" i="1" s="1"/>
  <c r="EG63" i="1"/>
  <c r="DH58" i="1"/>
  <c r="EH58" i="1" s="1"/>
  <c r="EG58" i="1"/>
  <c r="DF58" i="1"/>
  <c r="FE58" i="1"/>
  <c r="DI31" i="1"/>
  <c r="DH31" i="1"/>
  <c r="EH31" i="1" s="1"/>
  <c r="EG31" i="1"/>
  <c r="FF31" i="1" s="1"/>
  <c r="DI62" i="1" l="1"/>
  <c r="FG62" i="1" s="1"/>
  <c r="FF62" i="1"/>
  <c r="FF63" i="1"/>
  <c r="DI63" i="1"/>
  <c r="FG63" i="1" s="1"/>
  <c r="DI58" i="1"/>
  <c r="FG58" i="1" s="1"/>
  <c r="FF58" i="1"/>
  <c r="FF57" i="1"/>
  <c r="DI57" i="1"/>
  <c r="FG57" i="1" s="1"/>
  <c r="FG31" i="1"/>
  <c r="L76" i="14" l="1"/>
  <c r="CD67" i="1"/>
  <c r="K19" i="15"/>
  <c r="J19" i="15"/>
  <c r="I19" i="15"/>
  <c r="H19" i="15"/>
  <c r="G19" i="15"/>
  <c r="F19" i="15"/>
  <c r="E19" i="15"/>
  <c r="D19" i="15"/>
  <c r="C19" i="15"/>
  <c r="B19" i="15"/>
  <c r="K33" i="15"/>
  <c r="J33" i="15"/>
  <c r="I33" i="15"/>
  <c r="H33" i="15"/>
  <c r="G33" i="15"/>
  <c r="F33" i="15"/>
  <c r="E33" i="15"/>
  <c r="D33" i="15"/>
  <c r="C33" i="15"/>
  <c r="B33" i="15"/>
  <c r="K27" i="15"/>
  <c r="J27" i="15"/>
  <c r="I27" i="15"/>
  <c r="H27" i="15"/>
  <c r="G27" i="15"/>
  <c r="F27" i="15"/>
  <c r="E27" i="15"/>
  <c r="D27" i="15"/>
  <c r="C27" i="15"/>
  <c r="B27" i="15"/>
  <c r="K5" i="15"/>
  <c r="J5" i="15"/>
  <c r="I5" i="15"/>
  <c r="H5" i="15"/>
  <c r="G5" i="15"/>
  <c r="F5" i="15"/>
  <c r="E5" i="15"/>
  <c r="D5" i="15"/>
  <c r="C5" i="15"/>
  <c r="B5" i="15"/>
  <c r="Z45" i="1" l="1"/>
  <c r="Z33" i="1"/>
  <c r="Z82" i="1"/>
  <c r="B28" i="16" s="1"/>
  <c r="Z76" i="1"/>
  <c r="B26" i="16" s="1"/>
  <c r="Z70" i="1"/>
  <c r="Z65" i="1"/>
  <c r="Z52" i="1"/>
  <c r="Z39" i="1"/>
  <c r="Z18" i="1"/>
  <c r="B22" i="16" s="1"/>
  <c r="Z3" i="1"/>
  <c r="B20" i="16" s="1"/>
  <c r="U7" i="11"/>
  <c r="U18" i="11" s="1"/>
  <c r="T7" i="11"/>
  <c r="Y3" i="1"/>
  <c r="Z32" i="1" l="1"/>
  <c r="AB33" i="1"/>
  <c r="AB32" i="1" s="1"/>
  <c r="AB26" i="1" s="1"/>
  <c r="AB99" i="1" s="1"/>
  <c r="Z26" i="1"/>
  <c r="B24" i="16" s="1"/>
  <c r="B30" i="16" s="1"/>
  <c r="I75" i="14"/>
  <c r="K66" i="14"/>
  <c r="J66" i="14"/>
  <c r="I66" i="14"/>
  <c r="H66" i="14"/>
  <c r="G66" i="14"/>
  <c r="F66" i="14"/>
  <c r="E66" i="14"/>
  <c r="D66" i="14"/>
  <c r="C66" i="14"/>
  <c r="K75" i="14"/>
  <c r="J75" i="14"/>
  <c r="H75" i="14"/>
  <c r="G75" i="14"/>
  <c r="F75" i="14"/>
  <c r="E75" i="14"/>
  <c r="D75" i="14"/>
  <c r="C75" i="14"/>
  <c r="B66" i="14"/>
  <c r="B75" i="14"/>
  <c r="Z99" i="1" l="1"/>
  <c r="N93" i="14"/>
  <c r="N91" i="14"/>
  <c r="N89" i="14"/>
  <c r="N87" i="14"/>
  <c r="N85" i="14"/>
  <c r="N83" i="14"/>
  <c r="N81" i="14"/>
  <c r="N79" i="14"/>
  <c r="N77" i="14"/>
  <c r="L93" i="14"/>
  <c r="L92" i="14"/>
  <c r="L91" i="14"/>
  <c r="M91" i="14" s="1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N72" i="14"/>
  <c r="N70" i="14"/>
  <c r="N68" i="14"/>
  <c r="L73" i="14"/>
  <c r="L72" i="14"/>
  <c r="L71" i="14"/>
  <c r="L70" i="14"/>
  <c r="L69" i="14"/>
  <c r="L68" i="14"/>
  <c r="L67" i="14"/>
  <c r="K2" i="14"/>
  <c r="J2" i="14"/>
  <c r="I2" i="14"/>
  <c r="H2" i="14"/>
  <c r="G2" i="14"/>
  <c r="F2" i="14"/>
  <c r="E2" i="14"/>
  <c r="D2" i="14"/>
  <c r="C2" i="14"/>
  <c r="B2" i="14"/>
  <c r="M83" i="14" l="1"/>
  <c r="M81" i="14"/>
  <c r="M79" i="14"/>
  <c r="M77" i="14"/>
  <c r="M93" i="14"/>
  <c r="M89" i="14"/>
  <c r="M87" i="14"/>
  <c r="M85" i="14"/>
  <c r="C94" i="14"/>
  <c r="C98" i="14"/>
  <c r="D94" i="14"/>
  <c r="D98" i="14"/>
  <c r="E94" i="14"/>
  <c r="E98" i="14"/>
  <c r="F98" i="14"/>
  <c r="F94" i="14"/>
  <c r="G94" i="14"/>
  <c r="G98" i="14"/>
  <c r="H94" i="14"/>
  <c r="H98" i="14"/>
  <c r="I94" i="14"/>
  <c r="I98" i="14"/>
  <c r="J94" i="14"/>
  <c r="J98" i="14"/>
  <c r="K94" i="14"/>
  <c r="K98" i="14"/>
  <c r="B94" i="14"/>
  <c r="B98" i="14"/>
  <c r="M72" i="14"/>
  <c r="M70" i="14"/>
  <c r="M68" i="14"/>
  <c r="M98" i="14" l="1"/>
  <c r="P98" i="14" s="1"/>
  <c r="M94" i="14"/>
  <c r="AE65" i="1"/>
  <c r="Y82" i="1" l="1"/>
  <c r="Y76" i="1"/>
  <c r="Y70" i="1"/>
  <c r="Y65" i="1"/>
  <c r="Y52" i="1"/>
  <c r="Y39" i="1"/>
  <c r="Y32" i="1"/>
  <c r="Y27" i="1"/>
  <c r="Y18" i="1"/>
  <c r="AA82" i="1"/>
  <c r="C28" i="16" s="1"/>
  <c r="D28" i="16" s="1"/>
  <c r="AA76" i="1"/>
  <c r="C26" i="16" s="1"/>
  <c r="D26" i="16" s="1"/>
  <c r="AA70" i="1"/>
  <c r="AA65" i="1"/>
  <c r="AA55" i="1"/>
  <c r="AA52" i="1"/>
  <c r="AA45" i="1"/>
  <c r="AA39" i="1"/>
  <c r="AA32" i="1"/>
  <c r="AA3" i="1"/>
  <c r="C20" i="16" s="1"/>
  <c r="D20" i="16" s="1"/>
  <c r="DW97" i="1"/>
  <c r="DW95" i="1"/>
  <c r="DW91" i="1"/>
  <c r="DW89" i="1"/>
  <c r="DW88" i="1"/>
  <c r="DW87" i="1"/>
  <c r="DW69" i="1"/>
  <c r="DW68" i="1"/>
  <c r="DW67" i="1"/>
  <c r="DW66" i="1"/>
  <c r="DW56" i="1"/>
  <c r="DW54" i="1"/>
  <c r="DW53" i="1"/>
  <c r="DW51" i="1"/>
  <c r="DW50" i="1"/>
  <c r="DW49" i="1"/>
  <c r="DW48" i="1"/>
  <c r="DW47" i="1"/>
  <c r="DW46" i="1"/>
  <c r="DW44" i="1"/>
  <c r="DW43" i="1"/>
  <c r="DW42" i="1"/>
  <c r="DW41" i="1"/>
  <c r="DW40" i="1"/>
  <c r="DW38" i="1"/>
  <c r="DW37" i="1"/>
  <c r="DW36" i="1"/>
  <c r="DW35" i="1"/>
  <c r="DW34" i="1"/>
  <c r="DW33" i="1"/>
  <c r="DW30" i="1"/>
  <c r="DW29" i="1"/>
  <c r="DW28" i="1"/>
  <c r="DW24" i="1"/>
  <c r="DW22" i="1"/>
  <c r="DW20" i="1"/>
  <c r="DW16" i="1"/>
  <c r="DW14" i="1"/>
  <c r="DW13" i="1"/>
  <c r="DW10" i="1"/>
  <c r="DW8" i="1"/>
  <c r="DW4" i="1"/>
  <c r="DW5" i="1"/>
  <c r="X21" i="1"/>
  <c r="T101" i="1"/>
  <c r="T98" i="1"/>
  <c r="T97" i="1"/>
  <c r="T96" i="1"/>
  <c r="T95" i="1"/>
  <c r="T92" i="1"/>
  <c r="T91" i="1"/>
  <c r="T89" i="1"/>
  <c r="T88" i="1"/>
  <c r="T87" i="1"/>
  <c r="T86" i="1"/>
  <c r="T85" i="1"/>
  <c r="T84" i="1"/>
  <c r="T83" i="1"/>
  <c r="T20" i="1"/>
  <c r="T19" i="1"/>
  <c r="T79" i="1"/>
  <c r="T78" i="1"/>
  <c r="T77" i="1"/>
  <c r="T11" i="1"/>
  <c r="T9" i="1"/>
  <c r="T69" i="1"/>
  <c r="T68" i="1"/>
  <c r="T67" i="1"/>
  <c r="T66" i="1"/>
  <c r="T56" i="1"/>
  <c r="T54" i="1"/>
  <c r="T51" i="1"/>
  <c r="T50" i="1"/>
  <c r="T49" i="1"/>
  <c r="T48" i="1"/>
  <c r="T47" i="1"/>
  <c r="T46" i="1"/>
  <c r="T44" i="1"/>
  <c r="T43" i="1"/>
  <c r="T42" i="1"/>
  <c r="T41" i="1"/>
  <c r="T40" i="1"/>
  <c r="T38" i="1"/>
  <c r="T37" i="1"/>
  <c r="T36" i="1"/>
  <c r="T35" i="1"/>
  <c r="T34" i="1"/>
  <c r="T33" i="1"/>
  <c r="T30" i="1"/>
  <c r="T29" i="1"/>
  <c r="T28" i="1"/>
  <c r="S4" i="1"/>
  <c r="S3" i="1" s="1"/>
  <c r="S18" i="1"/>
  <c r="S76" i="1"/>
  <c r="S82" i="1"/>
  <c r="S27" i="1"/>
  <c r="S45" i="1"/>
  <c r="S39" i="1"/>
  <c r="S70" i="1"/>
  <c r="S52" i="1"/>
  <c r="S55" i="1"/>
  <c r="S65" i="1"/>
  <c r="S32" i="1"/>
  <c r="T22" i="1"/>
  <c r="T24" i="1"/>
  <c r="AA18" i="1" l="1"/>
  <c r="C22" i="16" s="1"/>
  <c r="DW27" i="1"/>
  <c r="Y26" i="1"/>
  <c r="Y99" i="1" s="1"/>
  <c r="AA26" i="1"/>
  <c r="C24" i="16" s="1"/>
  <c r="D24" i="16" s="1"/>
  <c r="S26" i="1"/>
  <c r="C30" i="16" l="1"/>
  <c r="D22" i="16"/>
  <c r="D30" i="16" s="1"/>
  <c r="AA99" i="1"/>
  <c r="S99" i="1"/>
  <c r="S103" i="1" s="1"/>
  <c r="DW70" i="1" l="1"/>
  <c r="V3" i="1" l="1"/>
  <c r="B3" i="16" s="1"/>
  <c r="I3" i="16" s="1"/>
  <c r="V18" i="1"/>
  <c r="B5" i="16" s="1"/>
  <c r="I5" i="16" s="1"/>
  <c r="V76" i="1"/>
  <c r="B9" i="16" s="1"/>
  <c r="I9" i="16" s="1"/>
  <c r="V65" i="1"/>
  <c r="V55" i="1"/>
  <c r="V52" i="1"/>
  <c r="V45" i="1"/>
  <c r="V39" i="1"/>
  <c r="V32" i="1"/>
  <c r="V27" i="1"/>
  <c r="V93" i="1"/>
  <c r="V94" i="1"/>
  <c r="DW94" i="1" l="1"/>
  <c r="DW93" i="1"/>
  <c r="V82" i="1"/>
  <c r="B11" i="16" s="1"/>
  <c r="I11" i="16" s="1"/>
  <c r="V26" i="1"/>
  <c r="B7" i="16" s="1"/>
  <c r="O17" i="11"/>
  <c r="O14" i="11"/>
  <c r="O10" i="11"/>
  <c r="O9" i="11"/>
  <c r="O8" i="11"/>
  <c r="I7" i="16" l="1"/>
  <c r="I13" i="16" s="1"/>
  <c r="B13" i="16"/>
  <c r="V99" i="1"/>
  <c r="Q20" i="1"/>
  <c r="Q9" i="1"/>
  <c r="Q5" i="1"/>
  <c r="T5" i="1" s="1"/>
  <c r="P65" i="1"/>
  <c r="Q36" i="1"/>
  <c r="Q34" i="1"/>
  <c r="Q28" i="1"/>
  <c r="O98" i="1"/>
  <c r="O94" i="1"/>
  <c r="O93" i="1"/>
  <c r="O87" i="1"/>
  <c r="O85" i="1"/>
  <c r="O81" i="1"/>
  <c r="O79" i="1"/>
  <c r="O78" i="1"/>
  <c r="O56" i="1"/>
  <c r="O54" i="1"/>
  <c r="O51" i="1"/>
  <c r="O38" i="1"/>
  <c r="O36" i="1"/>
  <c r="O35" i="1"/>
  <c r="O34" i="1"/>
  <c r="O33" i="1"/>
  <c r="O28" i="1"/>
  <c r="O22" i="1"/>
  <c r="O21" i="1"/>
  <c r="O20" i="1"/>
  <c r="O11" i="1"/>
  <c r="O9" i="1"/>
  <c r="O8" i="1"/>
  <c r="O7" i="1"/>
  <c r="O5" i="1"/>
  <c r="DW55" i="1" l="1"/>
  <c r="DW65" i="1"/>
  <c r="AO101" i="1" l="1" a="1"/>
  <c r="AO101" i="1" s="1"/>
  <c r="DV20" i="1" l="1"/>
  <c r="X74" i="1" l="1"/>
  <c r="X73" i="1"/>
  <c r="X72" i="1"/>
  <c r="X71" i="1"/>
  <c r="AN55" i="1"/>
  <c r="AM55" i="1"/>
  <c r="AL55" i="1"/>
  <c r="AK55" i="1"/>
  <c r="AJ55" i="1"/>
  <c r="AI55" i="1"/>
  <c r="AH55" i="1"/>
  <c r="CB97" i="1" l="1"/>
  <c r="W5" i="1" l="1"/>
  <c r="U3" i="1"/>
  <c r="W82" i="1"/>
  <c r="W76" i="1"/>
  <c r="W26" i="1"/>
  <c r="W18" i="1"/>
  <c r="U18" i="1"/>
  <c r="U94" i="1"/>
  <c r="U93" i="1"/>
  <c r="U76" i="1"/>
  <c r="U65" i="1"/>
  <c r="U55" i="1"/>
  <c r="U52" i="1"/>
  <c r="U45" i="1"/>
  <c r="U39" i="1"/>
  <c r="U32" i="1"/>
  <c r="U27" i="1"/>
  <c r="U82" i="1" l="1"/>
  <c r="W3" i="1"/>
  <c r="U26" i="1"/>
  <c r="U99" i="1" l="1"/>
  <c r="X16" i="1"/>
  <c r="X15" i="1"/>
  <c r="X14" i="1"/>
  <c r="X13" i="1"/>
  <c r="X12" i="1"/>
  <c r="X24" i="1"/>
  <c r="X55" i="1"/>
  <c r="R94" i="1"/>
  <c r="T94" i="1" s="1"/>
  <c r="R93" i="1"/>
  <c r="T93" i="1" s="1"/>
  <c r="X70" i="1" l="1"/>
  <c r="X76" i="1"/>
  <c r="C9" i="16" s="1"/>
  <c r="X45" i="1"/>
  <c r="X39" i="1"/>
  <c r="X65" i="1"/>
  <c r="X27" i="1"/>
  <c r="X82" i="1"/>
  <c r="C11" i="16" s="1"/>
  <c r="W103" i="1"/>
  <c r="W108" i="1" s="1"/>
  <c r="X32" i="1"/>
  <c r="Z9" i="3"/>
  <c r="Y9" i="3"/>
  <c r="X9" i="3"/>
  <c r="W9" i="3"/>
  <c r="V9" i="3"/>
  <c r="U9" i="3"/>
  <c r="T9" i="3"/>
  <c r="S9" i="3"/>
  <c r="R9" i="3"/>
  <c r="Q9" i="3"/>
  <c r="P9" i="3"/>
  <c r="O9" i="3"/>
  <c r="J11" i="16" l="1"/>
  <c r="D11" i="16"/>
  <c r="J9" i="16"/>
  <c r="D9" i="16"/>
  <c r="X52" i="1"/>
  <c r="X26" i="1" s="1"/>
  <c r="C7" i="16" s="1"/>
  <c r="L11" i="16" l="1"/>
  <c r="K11" i="16"/>
  <c r="L9" i="16"/>
  <c r="K9" i="16"/>
  <c r="J7" i="16"/>
  <c r="D7" i="16"/>
  <c r="Q17" i="11"/>
  <c r="M17" i="11"/>
  <c r="Q14" i="11"/>
  <c r="M14" i="11"/>
  <c r="Q3" i="11"/>
  <c r="P3" i="11"/>
  <c r="M5" i="11"/>
  <c r="R7" i="11"/>
  <c r="M839" i="12"/>
  <c r="L839" i="12"/>
  <c r="K839" i="12"/>
  <c r="M838" i="12"/>
  <c r="L838" i="12"/>
  <c r="K838" i="12"/>
  <c r="M837" i="12"/>
  <c r="L837" i="12"/>
  <c r="K837" i="12"/>
  <c r="M836" i="12"/>
  <c r="L836" i="12"/>
  <c r="K836" i="12"/>
  <c r="M835" i="12"/>
  <c r="L835" i="12"/>
  <c r="K835" i="12"/>
  <c r="M834" i="12"/>
  <c r="L834" i="12"/>
  <c r="K834" i="12"/>
  <c r="M833" i="12"/>
  <c r="L833" i="12"/>
  <c r="K833" i="12"/>
  <c r="M832" i="12"/>
  <c r="L832" i="12"/>
  <c r="K832" i="12"/>
  <c r="M831" i="12"/>
  <c r="L831" i="12"/>
  <c r="K831" i="12"/>
  <c r="M830" i="12"/>
  <c r="L830" i="12"/>
  <c r="K830" i="12"/>
  <c r="M829" i="12"/>
  <c r="L829" i="12"/>
  <c r="K829" i="12"/>
  <c r="M828" i="12"/>
  <c r="L828" i="12"/>
  <c r="K828" i="12"/>
  <c r="M827" i="12"/>
  <c r="L827" i="12"/>
  <c r="K827" i="12"/>
  <c r="M826" i="12"/>
  <c r="L826" i="12"/>
  <c r="K826" i="12"/>
  <c r="M825" i="12"/>
  <c r="L825" i="12"/>
  <c r="K825" i="12"/>
  <c r="M824" i="12"/>
  <c r="L824" i="12"/>
  <c r="K824" i="12"/>
  <c r="M823" i="12"/>
  <c r="L823" i="12"/>
  <c r="K823" i="12"/>
  <c r="M822" i="12"/>
  <c r="L822" i="12"/>
  <c r="K822" i="12"/>
  <c r="M821" i="12"/>
  <c r="L821" i="12"/>
  <c r="K821" i="12"/>
  <c r="M820" i="12"/>
  <c r="L820" i="12"/>
  <c r="K820" i="12"/>
  <c r="M819" i="12"/>
  <c r="L819" i="12"/>
  <c r="K819" i="12"/>
  <c r="M818" i="12"/>
  <c r="L818" i="12"/>
  <c r="K818" i="12"/>
  <c r="M817" i="12"/>
  <c r="L817" i="12"/>
  <c r="K817" i="12"/>
  <c r="M816" i="12"/>
  <c r="L816" i="12"/>
  <c r="K816" i="12"/>
  <c r="M815" i="12"/>
  <c r="L815" i="12"/>
  <c r="K815" i="12"/>
  <c r="M814" i="12"/>
  <c r="L814" i="12"/>
  <c r="K814" i="12"/>
  <c r="M813" i="12"/>
  <c r="L813" i="12"/>
  <c r="K813" i="12"/>
  <c r="M812" i="12"/>
  <c r="L812" i="12"/>
  <c r="K812" i="12"/>
  <c r="M811" i="12"/>
  <c r="L811" i="12"/>
  <c r="K811" i="12"/>
  <c r="M810" i="12"/>
  <c r="L810" i="12"/>
  <c r="K810" i="12"/>
  <c r="M809" i="12"/>
  <c r="L809" i="12"/>
  <c r="K809" i="12"/>
  <c r="M808" i="12"/>
  <c r="L808" i="12"/>
  <c r="K808" i="12"/>
  <c r="M807" i="12"/>
  <c r="L807" i="12"/>
  <c r="K807" i="12"/>
  <c r="M806" i="12"/>
  <c r="L806" i="12"/>
  <c r="K806" i="12"/>
  <c r="M805" i="12"/>
  <c r="L805" i="12"/>
  <c r="K805" i="12"/>
  <c r="M804" i="12"/>
  <c r="L804" i="12"/>
  <c r="K804" i="12"/>
  <c r="M803" i="12"/>
  <c r="L803" i="12"/>
  <c r="K803" i="12"/>
  <c r="M802" i="12"/>
  <c r="L802" i="12"/>
  <c r="K802" i="12"/>
  <c r="M801" i="12"/>
  <c r="L801" i="12"/>
  <c r="K801" i="12"/>
  <c r="M800" i="12"/>
  <c r="L800" i="12"/>
  <c r="K800" i="12"/>
  <c r="M799" i="12"/>
  <c r="L799" i="12"/>
  <c r="K799" i="12"/>
  <c r="M798" i="12"/>
  <c r="L798" i="12"/>
  <c r="K798" i="12"/>
  <c r="M797" i="12"/>
  <c r="L797" i="12"/>
  <c r="K797" i="12"/>
  <c r="M796" i="12"/>
  <c r="L796" i="12"/>
  <c r="K796" i="12"/>
  <c r="M795" i="12"/>
  <c r="L795" i="12"/>
  <c r="K795" i="12"/>
  <c r="M794" i="12"/>
  <c r="L794" i="12"/>
  <c r="K794" i="12"/>
  <c r="M793" i="12"/>
  <c r="L793" i="12"/>
  <c r="K793" i="12"/>
  <c r="M792" i="12"/>
  <c r="L792" i="12"/>
  <c r="K792" i="12"/>
  <c r="M791" i="12"/>
  <c r="L791" i="12"/>
  <c r="K791" i="12"/>
  <c r="M790" i="12"/>
  <c r="L790" i="12"/>
  <c r="K790" i="12"/>
  <c r="M789" i="12"/>
  <c r="L789" i="12"/>
  <c r="K789" i="12"/>
  <c r="M788" i="12"/>
  <c r="L788" i="12"/>
  <c r="K788" i="12"/>
  <c r="M787" i="12"/>
  <c r="L787" i="12"/>
  <c r="K787" i="12"/>
  <c r="M786" i="12"/>
  <c r="L786" i="12"/>
  <c r="K786" i="12"/>
  <c r="M785" i="12"/>
  <c r="L785" i="12"/>
  <c r="K785" i="12"/>
  <c r="M784" i="12"/>
  <c r="L784" i="12"/>
  <c r="K784" i="12"/>
  <c r="M783" i="12"/>
  <c r="L783" i="12"/>
  <c r="K783" i="12"/>
  <c r="M782" i="12"/>
  <c r="L782" i="12"/>
  <c r="K782" i="12"/>
  <c r="M781" i="12"/>
  <c r="L781" i="12"/>
  <c r="K781" i="12"/>
  <c r="M780" i="12"/>
  <c r="L780" i="12"/>
  <c r="K780" i="12"/>
  <c r="M779" i="12"/>
  <c r="L779" i="12"/>
  <c r="K779" i="12"/>
  <c r="M778" i="12"/>
  <c r="L778" i="12"/>
  <c r="K778" i="12"/>
  <c r="M777" i="12"/>
  <c r="L777" i="12"/>
  <c r="K777" i="12"/>
  <c r="M776" i="12"/>
  <c r="L776" i="12"/>
  <c r="K776" i="12"/>
  <c r="M775" i="12"/>
  <c r="L775" i="12"/>
  <c r="K775" i="12"/>
  <c r="M774" i="12"/>
  <c r="L774" i="12"/>
  <c r="K774" i="12"/>
  <c r="M773" i="12"/>
  <c r="L773" i="12"/>
  <c r="K773" i="12"/>
  <c r="M772" i="12"/>
  <c r="L772" i="12"/>
  <c r="K772" i="12"/>
  <c r="M771" i="12"/>
  <c r="L771" i="12"/>
  <c r="K771" i="12"/>
  <c r="M770" i="12"/>
  <c r="L770" i="12"/>
  <c r="K770" i="12"/>
  <c r="M769" i="12"/>
  <c r="L769" i="12"/>
  <c r="K769" i="12"/>
  <c r="M768" i="12"/>
  <c r="L768" i="12"/>
  <c r="K768" i="12"/>
  <c r="M767" i="12"/>
  <c r="L767" i="12"/>
  <c r="K767" i="12"/>
  <c r="M766" i="12"/>
  <c r="L766" i="12"/>
  <c r="K766" i="12"/>
  <c r="M765" i="12"/>
  <c r="L765" i="12"/>
  <c r="K765" i="12"/>
  <c r="M764" i="12"/>
  <c r="L764" i="12"/>
  <c r="K764" i="12"/>
  <c r="M763" i="12"/>
  <c r="L763" i="12"/>
  <c r="K763" i="12"/>
  <c r="M762" i="12"/>
  <c r="L762" i="12"/>
  <c r="K762" i="12"/>
  <c r="M761" i="12"/>
  <c r="L761" i="12"/>
  <c r="K761" i="12"/>
  <c r="M760" i="12"/>
  <c r="L760" i="12"/>
  <c r="K760" i="12"/>
  <c r="M759" i="12"/>
  <c r="L759" i="12"/>
  <c r="K759" i="12"/>
  <c r="M758" i="12"/>
  <c r="L758" i="12"/>
  <c r="K758" i="12"/>
  <c r="M757" i="12"/>
  <c r="L757" i="12"/>
  <c r="K757" i="12"/>
  <c r="M756" i="12"/>
  <c r="L756" i="12"/>
  <c r="K756" i="12"/>
  <c r="M755" i="12"/>
  <c r="L755" i="12"/>
  <c r="K755" i="12"/>
  <c r="M754" i="12"/>
  <c r="L754" i="12"/>
  <c r="K754" i="12"/>
  <c r="M753" i="12"/>
  <c r="L753" i="12"/>
  <c r="K753" i="12"/>
  <c r="M752" i="12"/>
  <c r="L752" i="12"/>
  <c r="K752" i="12"/>
  <c r="M751" i="12"/>
  <c r="L751" i="12"/>
  <c r="K751" i="12"/>
  <c r="M750" i="12"/>
  <c r="L750" i="12"/>
  <c r="K750" i="12"/>
  <c r="M749" i="12"/>
  <c r="L749" i="12"/>
  <c r="K749" i="12"/>
  <c r="M748" i="12"/>
  <c r="L748" i="12"/>
  <c r="K748" i="12"/>
  <c r="M747" i="12"/>
  <c r="L747" i="12"/>
  <c r="K747" i="12"/>
  <c r="M746" i="12"/>
  <c r="L746" i="12"/>
  <c r="K746" i="12"/>
  <c r="M745" i="12"/>
  <c r="L745" i="12"/>
  <c r="K745" i="12"/>
  <c r="M744" i="12"/>
  <c r="L744" i="12"/>
  <c r="K744" i="12"/>
  <c r="M743" i="12"/>
  <c r="L743" i="12"/>
  <c r="K743" i="12"/>
  <c r="M742" i="12"/>
  <c r="L742" i="12"/>
  <c r="K742" i="12"/>
  <c r="M741" i="12"/>
  <c r="L741" i="12"/>
  <c r="K741" i="12"/>
  <c r="M740" i="12"/>
  <c r="L740" i="12"/>
  <c r="K740" i="12"/>
  <c r="M739" i="12"/>
  <c r="L739" i="12"/>
  <c r="K739" i="12"/>
  <c r="M738" i="12"/>
  <c r="L738" i="12"/>
  <c r="K738" i="12"/>
  <c r="M737" i="12"/>
  <c r="L737" i="12"/>
  <c r="K737" i="12"/>
  <c r="M736" i="12"/>
  <c r="L736" i="12"/>
  <c r="K736" i="12"/>
  <c r="M735" i="12"/>
  <c r="L735" i="12"/>
  <c r="K735" i="12"/>
  <c r="M734" i="12"/>
  <c r="L734" i="12"/>
  <c r="K734" i="12"/>
  <c r="M733" i="12"/>
  <c r="L733" i="12"/>
  <c r="K733" i="12"/>
  <c r="M732" i="12"/>
  <c r="L732" i="12"/>
  <c r="K732" i="12"/>
  <c r="M731" i="12"/>
  <c r="L731" i="12"/>
  <c r="K731" i="12"/>
  <c r="M730" i="12"/>
  <c r="L730" i="12"/>
  <c r="K730" i="12"/>
  <c r="M729" i="12"/>
  <c r="L729" i="12"/>
  <c r="K729" i="12"/>
  <c r="M728" i="12"/>
  <c r="L728" i="12"/>
  <c r="K728" i="12"/>
  <c r="M727" i="12"/>
  <c r="L727" i="12"/>
  <c r="K727" i="12"/>
  <c r="M726" i="12"/>
  <c r="L726" i="12"/>
  <c r="K726" i="12"/>
  <c r="M725" i="12"/>
  <c r="L725" i="12"/>
  <c r="K725" i="12"/>
  <c r="M724" i="12"/>
  <c r="L724" i="12"/>
  <c r="K724" i="12"/>
  <c r="M723" i="12"/>
  <c r="L723" i="12"/>
  <c r="K723" i="12"/>
  <c r="M722" i="12"/>
  <c r="L722" i="12"/>
  <c r="K722" i="12"/>
  <c r="M721" i="12"/>
  <c r="L721" i="12"/>
  <c r="K721" i="12"/>
  <c r="M720" i="12"/>
  <c r="L720" i="12"/>
  <c r="K720" i="12"/>
  <c r="M719" i="12"/>
  <c r="L719" i="12"/>
  <c r="K719" i="12"/>
  <c r="M718" i="12"/>
  <c r="L718" i="12"/>
  <c r="K718" i="12"/>
  <c r="M717" i="12"/>
  <c r="L717" i="12"/>
  <c r="K717" i="12"/>
  <c r="M716" i="12"/>
  <c r="L716" i="12"/>
  <c r="K716" i="12"/>
  <c r="M715" i="12"/>
  <c r="L715" i="12"/>
  <c r="K715" i="12"/>
  <c r="M714" i="12"/>
  <c r="L714" i="12"/>
  <c r="K714" i="12"/>
  <c r="M713" i="12"/>
  <c r="L713" i="12"/>
  <c r="K713" i="12"/>
  <c r="M712" i="12"/>
  <c r="L712" i="12"/>
  <c r="K712" i="12"/>
  <c r="M711" i="12"/>
  <c r="L711" i="12"/>
  <c r="K711" i="12"/>
  <c r="M710" i="12"/>
  <c r="L710" i="12"/>
  <c r="K710" i="12"/>
  <c r="M709" i="12"/>
  <c r="L709" i="12"/>
  <c r="K709" i="12"/>
  <c r="M708" i="12"/>
  <c r="L708" i="12"/>
  <c r="K708" i="12"/>
  <c r="M707" i="12"/>
  <c r="L707" i="12"/>
  <c r="K707" i="12"/>
  <c r="M706" i="12"/>
  <c r="L706" i="12"/>
  <c r="K706" i="12"/>
  <c r="M705" i="12"/>
  <c r="L705" i="12"/>
  <c r="K705" i="12"/>
  <c r="M704" i="12"/>
  <c r="L704" i="12"/>
  <c r="K704" i="12"/>
  <c r="M703" i="12"/>
  <c r="L703" i="12"/>
  <c r="K703" i="12"/>
  <c r="M702" i="12"/>
  <c r="L702" i="12"/>
  <c r="K702" i="12"/>
  <c r="M701" i="12"/>
  <c r="L701" i="12"/>
  <c r="K701" i="12"/>
  <c r="M700" i="12"/>
  <c r="L700" i="12"/>
  <c r="K700" i="12"/>
  <c r="M699" i="12"/>
  <c r="L699" i="12"/>
  <c r="K699" i="12"/>
  <c r="M698" i="12"/>
  <c r="L698" i="12"/>
  <c r="K698" i="12"/>
  <c r="M697" i="12"/>
  <c r="L697" i="12"/>
  <c r="K697" i="12"/>
  <c r="M696" i="12"/>
  <c r="L696" i="12"/>
  <c r="K696" i="12"/>
  <c r="M695" i="12"/>
  <c r="L695" i="12"/>
  <c r="K695" i="12"/>
  <c r="M694" i="12"/>
  <c r="L694" i="12"/>
  <c r="K694" i="12"/>
  <c r="M693" i="12"/>
  <c r="L693" i="12"/>
  <c r="K693" i="12"/>
  <c r="M692" i="12"/>
  <c r="L692" i="12"/>
  <c r="K692" i="12"/>
  <c r="M691" i="12"/>
  <c r="L691" i="12"/>
  <c r="K691" i="12"/>
  <c r="M690" i="12"/>
  <c r="L690" i="12"/>
  <c r="K690" i="12"/>
  <c r="M689" i="12"/>
  <c r="L689" i="12"/>
  <c r="K689" i="12"/>
  <c r="M688" i="12"/>
  <c r="L688" i="12"/>
  <c r="K688" i="12"/>
  <c r="M687" i="12"/>
  <c r="L687" i="12"/>
  <c r="K687" i="12"/>
  <c r="M686" i="12"/>
  <c r="L686" i="12"/>
  <c r="K686" i="12"/>
  <c r="M685" i="12"/>
  <c r="L685" i="12"/>
  <c r="K685" i="12"/>
  <c r="M684" i="12"/>
  <c r="L684" i="12"/>
  <c r="K684" i="12"/>
  <c r="M683" i="12"/>
  <c r="L683" i="12"/>
  <c r="K683" i="12"/>
  <c r="M682" i="12"/>
  <c r="L682" i="12"/>
  <c r="K682" i="12"/>
  <c r="M681" i="12"/>
  <c r="L681" i="12"/>
  <c r="K681" i="12"/>
  <c r="M680" i="12"/>
  <c r="L680" i="12"/>
  <c r="K680" i="12"/>
  <c r="M679" i="12"/>
  <c r="L679" i="12"/>
  <c r="K679" i="12"/>
  <c r="M678" i="12"/>
  <c r="L678" i="12"/>
  <c r="K678" i="12"/>
  <c r="M677" i="12"/>
  <c r="L677" i="12"/>
  <c r="K677" i="12"/>
  <c r="M676" i="12"/>
  <c r="L676" i="12"/>
  <c r="K676" i="12"/>
  <c r="M675" i="12"/>
  <c r="L675" i="12"/>
  <c r="K675" i="12"/>
  <c r="M674" i="12"/>
  <c r="L674" i="12"/>
  <c r="K674" i="12"/>
  <c r="M673" i="12"/>
  <c r="L673" i="12"/>
  <c r="K673" i="12"/>
  <c r="M672" i="12"/>
  <c r="L672" i="12"/>
  <c r="K672" i="12"/>
  <c r="M671" i="12"/>
  <c r="L671" i="12"/>
  <c r="K671" i="12"/>
  <c r="M670" i="12"/>
  <c r="L670" i="12"/>
  <c r="K670" i="12"/>
  <c r="M669" i="12"/>
  <c r="L669" i="12"/>
  <c r="K669" i="12"/>
  <c r="M668" i="12"/>
  <c r="L668" i="12"/>
  <c r="K668" i="12"/>
  <c r="M667" i="12"/>
  <c r="L667" i="12"/>
  <c r="K667" i="12"/>
  <c r="M666" i="12"/>
  <c r="L666" i="12"/>
  <c r="K666" i="12"/>
  <c r="M665" i="12"/>
  <c r="L665" i="12"/>
  <c r="K665" i="12"/>
  <c r="M664" i="12"/>
  <c r="L664" i="12"/>
  <c r="K664" i="12"/>
  <c r="M663" i="12"/>
  <c r="L663" i="12"/>
  <c r="K663" i="12"/>
  <c r="M662" i="12"/>
  <c r="L662" i="12"/>
  <c r="K662" i="12"/>
  <c r="M661" i="12"/>
  <c r="L661" i="12"/>
  <c r="K661" i="12"/>
  <c r="M660" i="12"/>
  <c r="L660" i="12"/>
  <c r="K660" i="12"/>
  <c r="M659" i="12"/>
  <c r="L659" i="12"/>
  <c r="K659" i="12"/>
  <c r="M658" i="12"/>
  <c r="L658" i="12"/>
  <c r="K658" i="12"/>
  <c r="M657" i="12"/>
  <c r="L657" i="12"/>
  <c r="K657" i="12"/>
  <c r="M656" i="12"/>
  <c r="L656" i="12"/>
  <c r="K656" i="12"/>
  <c r="M655" i="12"/>
  <c r="L655" i="12"/>
  <c r="K655" i="12"/>
  <c r="M654" i="12"/>
  <c r="L654" i="12"/>
  <c r="K654" i="12"/>
  <c r="M653" i="12"/>
  <c r="L653" i="12"/>
  <c r="K653" i="12"/>
  <c r="M652" i="12"/>
  <c r="L652" i="12"/>
  <c r="K652" i="12"/>
  <c r="M651" i="12"/>
  <c r="L651" i="12"/>
  <c r="K651" i="12"/>
  <c r="M650" i="12"/>
  <c r="L650" i="12"/>
  <c r="K650" i="12"/>
  <c r="M649" i="12"/>
  <c r="L649" i="12"/>
  <c r="K649" i="12"/>
  <c r="M648" i="12"/>
  <c r="L648" i="12"/>
  <c r="K648" i="12"/>
  <c r="M647" i="12"/>
  <c r="L647" i="12"/>
  <c r="K647" i="12"/>
  <c r="M646" i="12"/>
  <c r="L646" i="12"/>
  <c r="K646" i="12"/>
  <c r="M645" i="12"/>
  <c r="L645" i="12"/>
  <c r="K645" i="12"/>
  <c r="M644" i="12"/>
  <c r="L644" i="12"/>
  <c r="K644" i="12"/>
  <c r="M643" i="12"/>
  <c r="L643" i="12"/>
  <c r="K643" i="12"/>
  <c r="M642" i="12"/>
  <c r="L642" i="12"/>
  <c r="K642" i="12"/>
  <c r="M641" i="12"/>
  <c r="L641" i="12"/>
  <c r="K641" i="12"/>
  <c r="M640" i="12"/>
  <c r="L640" i="12"/>
  <c r="K640" i="12"/>
  <c r="M639" i="12"/>
  <c r="L639" i="12"/>
  <c r="K639" i="12"/>
  <c r="M638" i="12"/>
  <c r="L638" i="12"/>
  <c r="K638" i="12"/>
  <c r="M637" i="12"/>
  <c r="L637" i="12"/>
  <c r="K637" i="12"/>
  <c r="M636" i="12"/>
  <c r="L636" i="12"/>
  <c r="K636" i="12"/>
  <c r="M635" i="12"/>
  <c r="L635" i="12"/>
  <c r="K635" i="12"/>
  <c r="M634" i="12"/>
  <c r="L634" i="12"/>
  <c r="K634" i="12"/>
  <c r="M633" i="12"/>
  <c r="L633" i="12"/>
  <c r="K633" i="12"/>
  <c r="M632" i="12"/>
  <c r="L632" i="12"/>
  <c r="K632" i="12"/>
  <c r="M631" i="12"/>
  <c r="L631" i="12"/>
  <c r="K631" i="12"/>
  <c r="M630" i="12"/>
  <c r="L630" i="12"/>
  <c r="K630" i="12"/>
  <c r="M629" i="12"/>
  <c r="L629" i="12"/>
  <c r="K629" i="12"/>
  <c r="M628" i="12"/>
  <c r="L628" i="12"/>
  <c r="K628" i="12"/>
  <c r="M627" i="12"/>
  <c r="L627" i="12"/>
  <c r="K627" i="12"/>
  <c r="M626" i="12"/>
  <c r="L626" i="12"/>
  <c r="K626" i="12"/>
  <c r="M625" i="12"/>
  <c r="L625" i="12"/>
  <c r="K625" i="12"/>
  <c r="M624" i="12"/>
  <c r="L624" i="12"/>
  <c r="K624" i="12"/>
  <c r="M623" i="12"/>
  <c r="L623" i="12"/>
  <c r="K623" i="12"/>
  <c r="M622" i="12"/>
  <c r="L622" i="12"/>
  <c r="K622" i="12"/>
  <c r="M621" i="12"/>
  <c r="L621" i="12"/>
  <c r="K621" i="12"/>
  <c r="M620" i="12"/>
  <c r="L620" i="12"/>
  <c r="K620" i="12"/>
  <c r="M619" i="12"/>
  <c r="L619" i="12"/>
  <c r="K619" i="12"/>
  <c r="M618" i="12"/>
  <c r="L618" i="12"/>
  <c r="K618" i="12"/>
  <c r="M617" i="12"/>
  <c r="L617" i="12"/>
  <c r="K617" i="12"/>
  <c r="M616" i="12"/>
  <c r="L616" i="12"/>
  <c r="K616" i="12"/>
  <c r="M615" i="12"/>
  <c r="L615" i="12"/>
  <c r="K615" i="12"/>
  <c r="M614" i="12"/>
  <c r="L614" i="12"/>
  <c r="K614" i="12"/>
  <c r="M613" i="12"/>
  <c r="L613" i="12"/>
  <c r="K613" i="12"/>
  <c r="M612" i="12"/>
  <c r="L612" i="12"/>
  <c r="K612" i="12"/>
  <c r="M611" i="12"/>
  <c r="L611" i="12"/>
  <c r="K611" i="12"/>
  <c r="M610" i="12"/>
  <c r="L610" i="12"/>
  <c r="K610" i="12"/>
  <c r="M609" i="12"/>
  <c r="L609" i="12"/>
  <c r="K609" i="12"/>
  <c r="M608" i="12"/>
  <c r="L608" i="12"/>
  <c r="K608" i="12"/>
  <c r="M607" i="12"/>
  <c r="L607" i="12"/>
  <c r="K607" i="12"/>
  <c r="M606" i="12"/>
  <c r="L606" i="12"/>
  <c r="K606" i="12"/>
  <c r="M605" i="12"/>
  <c r="L605" i="12"/>
  <c r="K605" i="12"/>
  <c r="M604" i="12"/>
  <c r="L604" i="12"/>
  <c r="K604" i="12"/>
  <c r="M603" i="12"/>
  <c r="L603" i="12"/>
  <c r="K603" i="12"/>
  <c r="M602" i="12"/>
  <c r="L602" i="12"/>
  <c r="K602" i="12"/>
  <c r="M601" i="12"/>
  <c r="L601" i="12"/>
  <c r="K601" i="12"/>
  <c r="M600" i="12"/>
  <c r="L600" i="12"/>
  <c r="K600" i="12"/>
  <c r="M599" i="12"/>
  <c r="L599" i="12"/>
  <c r="K599" i="12"/>
  <c r="M598" i="12"/>
  <c r="L598" i="12"/>
  <c r="K598" i="12"/>
  <c r="M597" i="12"/>
  <c r="L597" i="12"/>
  <c r="K597" i="12"/>
  <c r="M596" i="12"/>
  <c r="L596" i="12"/>
  <c r="K596" i="12"/>
  <c r="M595" i="12"/>
  <c r="L595" i="12"/>
  <c r="K595" i="12"/>
  <c r="M594" i="12"/>
  <c r="L594" i="12"/>
  <c r="K594" i="12"/>
  <c r="M593" i="12"/>
  <c r="L593" i="12"/>
  <c r="K593" i="12"/>
  <c r="M592" i="12"/>
  <c r="L592" i="12"/>
  <c r="K592" i="12"/>
  <c r="M591" i="12"/>
  <c r="L591" i="12"/>
  <c r="K591" i="12"/>
  <c r="M590" i="12"/>
  <c r="L590" i="12"/>
  <c r="K590" i="12"/>
  <c r="M589" i="12"/>
  <c r="L589" i="12"/>
  <c r="K589" i="12"/>
  <c r="M588" i="12"/>
  <c r="L588" i="12"/>
  <c r="K588" i="12"/>
  <c r="M587" i="12"/>
  <c r="L587" i="12"/>
  <c r="K587" i="12"/>
  <c r="M586" i="12"/>
  <c r="L586" i="12"/>
  <c r="K586" i="12"/>
  <c r="M585" i="12"/>
  <c r="L585" i="12"/>
  <c r="K585" i="12"/>
  <c r="M584" i="12"/>
  <c r="L584" i="12"/>
  <c r="K584" i="12"/>
  <c r="M583" i="12"/>
  <c r="L583" i="12"/>
  <c r="K583" i="12"/>
  <c r="M582" i="12"/>
  <c r="L582" i="12"/>
  <c r="K582" i="12"/>
  <c r="M581" i="12"/>
  <c r="L581" i="12"/>
  <c r="K581" i="12"/>
  <c r="M580" i="12"/>
  <c r="L580" i="12"/>
  <c r="K580" i="12"/>
  <c r="M579" i="12"/>
  <c r="L579" i="12"/>
  <c r="K579" i="12"/>
  <c r="M578" i="12"/>
  <c r="L578" i="12"/>
  <c r="K578" i="12"/>
  <c r="M577" i="12"/>
  <c r="L577" i="12"/>
  <c r="K577" i="12"/>
  <c r="M576" i="12"/>
  <c r="L576" i="12"/>
  <c r="K576" i="12"/>
  <c r="M575" i="12"/>
  <c r="L575" i="12"/>
  <c r="K575" i="12"/>
  <c r="M574" i="12"/>
  <c r="L574" i="12"/>
  <c r="K574" i="12"/>
  <c r="M573" i="12"/>
  <c r="L573" i="12"/>
  <c r="K573" i="12"/>
  <c r="M572" i="12"/>
  <c r="L572" i="12"/>
  <c r="K572" i="12"/>
  <c r="M571" i="12"/>
  <c r="L571" i="12"/>
  <c r="K571" i="12"/>
  <c r="M570" i="12"/>
  <c r="L570" i="12"/>
  <c r="K570" i="12"/>
  <c r="M569" i="12"/>
  <c r="L569" i="12"/>
  <c r="K569" i="12"/>
  <c r="M568" i="12"/>
  <c r="L568" i="12"/>
  <c r="K568" i="12"/>
  <c r="M567" i="12"/>
  <c r="L567" i="12"/>
  <c r="K567" i="12"/>
  <c r="M566" i="12"/>
  <c r="L566" i="12"/>
  <c r="K566" i="12"/>
  <c r="M565" i="12"/>
  <c r="L565" i="12"/>
  <c r="K565" i="12"/>
  <c r="M564" i="12"/>
  <c r="L564" i="12"/>
  <c r="K564" i="12"/>
  <c r="M563" i="12"/>
  <c r="L563" i="12"/>
  <c r="K563" i="12"/>
  <c r="M562" i="12"/>
  <c r="L562" i="12"/>
  <c r="K562" i="12"/>
  <c r="M561" i="12"/>
  <c r="L561" i="12"/>
  <c r="K561" i="12"/>
  <c r="M560" i="12"/>
  <c r="L560" i="12"/>
  <c r="K560" i="12"/>
  <c r="M559" i="12"/>
  <c r="L559" i="12"/>
  <c r="K559" i="12"/>
  <c r="M558" i="12"/>
  <c r="L558" i="12"/>
  <c r="K558" i="12"/>
  <c r="M557" i="12"/>
  <c r="L557" i="12"/>
  <c r="K557" i="12"/>
  <c r="M556" i="12"/>
  <c r="L556" i="12"/>
  <c r="K556" i="12"/>
  <c r="M555" i="12"/>
  <c r="L555" i="12"/>
  <c r="K555" i="12"/>
  <c r="M554" i="12"/>
  <c r="L554" i="12"/>
  <c r="K554" i="12"/>
  <c r="M553" i="12"/>
  <c r="L553" i="12"/>
  <c r="K553" i="12"/>
  <c r="M552" i="12"/>
  <c r="L552" i="12"/>
  <c r="K552" i="12"/>
  <c r="M551" i="12"/>
  <c r="L551" i="12"/>
  <c r="K551" i="12"/>
  <c r="M550" i="12"/>
  <c r="L550" i="12"/>
  <c r="K550" i="12"/>
  <c r="M549" i="12"/>
  <c r="L549" i="12"/>
  <c r="K549" i="12"/>
  <c r="M548" i="12"/>
  <c r="L548" i="12"/>
  <c r="K548" i="12"/>
  <c r="M547" i="12"/>
  <c r="L547" i="12"/>
  <c r="K547" i="12"/>
  <c r="M546" i="12"/>
  <c r="L546" i="12"/>
  <c r="K546" i="12"/>
  <c r="M545" i="12"/>
  <c r="L545" i="12"/>
  <c r="K545" i="12"/>
  <c r="M544" i="12"/>
  <c r="L544" i="12"/>
  <c r="K544" i="12"/>
  <c r="M543" i="12"/>
  <c r="L543" i="12"/>
  <c r="K543" i="12"/>
  <c r="M542" i="12"/>
  <c r="L542" i="12"/>
  <c r="K542" i="12"/>
  <c r="M541" i="12"/>
  <c r="L541" i="12"/>
  <c r="K541" i="12"/>
  <c r="M540" i="12"/>
  <c r="L540" i="12"/>
  <c r="K540" i="12"/>
  <c r="M539" i="12"/>
  <c r="L539" i="12"/>
  <c r="K539" i="12"/>
  <c r="M538" i="12"/>
  <c r="L538" i="12"/>
  <c r="K538" i="12"/>
  <c r="M537" i="12"/>
  <c r="L537" i="12"/>
  <c r="K537" i="12"/>
  <c r="M536" i="12"/>
  <c r="L536" i="12"/>
  <c r="K536" i="12"/>
  <c r="M535" i="12"/>
  <c r="L535" i="12"/>
  <c r="K535" i="12"/>
  <c r="M534" i="12"/>
  <c r="L534" i="12"/>
  <c r="K534" i="12"/>
  <c r="M533" i="12"/>
  <c r="L533" i="12"/>
  <c r="K533" i="12"/>
  <c r="M532" i="12"/>
  <c r="L532" i="12"/>
  <c r="K532" i="12"/>
  <c r="M531" i="12"/>
  <c r="L531" i="12"/>
  <c r="K531" i="12"/>
  <c r="M530" i="12"/>
  <c r="L530" i="12"/>
  <c r="K530" i="12"/>
  <c r="M529" i="12"/>
  <c r="L529" i="12"/>
  <c r="K529" i="12"/>
  <c r="M528" i="12"/>
  <c r="L528" i="12"/>
  <c r="K528" i="12"/>
  <c r="M527" i="12"/>
  <c r="L527" i="12"/>
  <c r="K527" i="12"/>
  <c r="M526" i="12"/>
  <c r="L526" i="12"/>
  <c r="K526" i="12"/>
  <c r="M525" i="12"/>
  <c r="L525" i="12"/>
  <c r="K525" i="12"/>
  <c r="M524" i="12"/>
  <c r="L524" i="12"/>
  <c r="K524" i="12"/>
  <c r="M523" i="12"/>
  <c r="L523" i="12"/>
  <c r="K523" i="12"/>
  <c r="M522" i="12"/>
  <c r="L522" i="12"/>
  <c r="K522" i="12"/>
  <c r="M521" i="12"/>
  <c r="L521" i="12"/>
  <c r="K521" i="12"/>
  <c r="M520" i="12"/>
  <c r="L520" i="12"/>
  <c r="K520" i="12"/>
  <c r="M519" i="12"/>
  <c r="L519" i="12"/>
  <c r="K519" i="12"/>
  <c r="M518" i="12"/>
  <c r="L518" i="12"/>
  <c r="K518" i="12"/>
  <c r="M517" i="12"/>
  <c r="L517" i="12"/>
  <c r="K517" i="12"/>
  <c r="M516" i="12"/>
  <c r="L516" i="12"/>
  <c r="K516" i="12"/>
  <c r="M515" i="12"/>
  <c r="L515" i="12"/>
  <c r="K515" i="12"/>
  <c r="M514" i="12"/>
  <c r="L514" i="12"/>
  <c r="K514" i="12"/>
  <c r="M513" i="12"/>
  <c r="L513" i="12"/>
  <c r="K513" i="12"/>
  <c r="M512" i="12"/>
  <c r="L512" i="12"/>
  <c r="K512" i="12"/>
  <c r="M511" i="12"/>
  <c r="L511" i="12"/>
  <c r="K511" i="12"/>
  <c r="M510" i="12"/>
  <c r="L510" i="12"/>
  <c r="K510" i="12"/>
  <c r="M509" i="12"/>
  <c r="L509" i="12"/>
  <c r="K509" i="12"/>
  <c r="M508" i="12"/>
  <c r="L508" i="12"/>
  <c r="K508" i="12"/>
  <c r="M507" i="12"/>
  <c r="L507" i="12"/>
  <c r="K507" i="12"/>
  <c r="M506" i="12"/>
  <c r="L506" i="12"/>
  <c r="K506" i="12"/>
  <c r="M505" i="12"/>
  <c r="L505" i="12"/>
  <c r="K505" i="12"/>
  <c r="M504" i="12"/>
  <c r="L504" i="12"/>
  <c r="K504" i="12"/>
  <c r="M503" i="12"/>
  <c r="L503" i="12"/>
  <c r="K503" i="12"/>
  <c r="M502" i="12"/>
  <c r="L502" i="12"/>
  <c r="K502" i="12"/>
  <c r="M501" i="12"/>
  <c r="L501" i="12"/>
  <c r="K501" i="12"/>
  <c r="M500" i="12"/>
  <c r="L500" i="12"/>
  <c r="K500" i="12"/>
  <c r="M499" i="12"/>
  <c r="L499" i="12"/>
  <c r="K499" i="12"/>
  <c r="M498" i="12"/>
  <c r="L498" i="12"/>
  <c r="K498" i="12"/>
  <c r="M497" i="12"/>
  <c r="L497" i="12"/>
  <c r="K497" i="12"/>
  <c r="M496" i="12"/>
  <c r="L496" i="12"/>
  <c r="K496" i="12"/>
  <c r="M495" i="12"/>
  <c r="L495" i="12"/>
  <c r="K495" i="12"/>
  <c r="M494" i="12"/>
  <c r="L494" i="12"/>
  <c r="K494" i="12"/>
  <c r="M493" i="12"/>
  <c r="L493" i="12"/>
  <c r="K493" i="12"/>
  <c r="M492" i="12"/>
  <c r="L492" i="12"/>
  <c r="K492" i="12"/>
  <c r="M491" i="12"/>
  <c r="L491" i="12"/>
  <c r="K491" i="12"/>
  <c r="M490" i="12"/>
  <c r="L490" i="12"/>
  <c r="K490" i="12"/>
  <c r="M489" i="12"/>
  <c r="L489" i="12"/>
  <c r="K489" i="12"/>
  <c r="M488" i="12"/>
  <c r="L488" i="12"/>
  <c r="K488" i="12"/>
  <c r="M487" i="12"/>
  <c r="L487" i="12"/>
  <c r="K487" i="12"/>
  <c r="M486" i="12"/>
  <c r="L486" i="12"/>
  <c r="K486" i="12"/>
  <c r="M485" i="12"/>
  <c r="L485" i="12"/>
  <c r="K485" i="12"/>
  <c r="M484" i="12"/>
  <c r="L484" i="12"/>
  <c r="K484" i="12"/>
  <c r="M483" i="12"/>
  <c r="L483" i="12"/>
  <c r="K483" i="12"/>
  <c r="M482" i="12"/>
  <c r="L482" i="12"/>
  <c r="K482" i="12"/>
  <c r="M481" i="12"/>
  <c r="L481" i="12"/>
  <c r="K481" i="12"/>
  <c r="M480" i="12"/>
  <c r="L480" i="12"/>
  <c r="K480" i="12"/>
  <c r="M479" i="12"/>
  <c r="L479" i="12"/>
  <c r="K479" i="12"/>
  <c r="M478" i="12"/>
  <c r="L478" i="12"/>
  <c r="K478" i="12"/>
  <c r="M477" i="12"/>
  <c r="L477" i="12"/>
  <c r="K477" i="12"/>
  <c r="M476" i="12"/>
  <c r="L476" i="12"/>
  <c r="K476" i="12"/>
  <c r="M475" i="12"/>
  <c r="L475" i="12"/>
  <c r="K475" i="12"/>
  <c r="M474" i="12"/>
  <c r="L474" i="12"/>
  <c r="K474" i="12"/>
  <c r="M473" i="12"/>
  <c r="L473" i="12"/>
  <c r="K473" i="12"/>
  <c r="M472" i="12"/>
  <c r="L472" i="12"/>
  <c r="K472" i="12"/>
  <c r="M471" i="12"/>
  <c r="L471" i="12"/>
  <c r="K471" i="12"/>
  <c r="M470" i="12"/>
  <c r="L470" i="12"/>
  <c r="K470" i="12"/>
  <c r="M469" i="12"/>
  <c r="L469" i="12"/>
  <c r="K469" i="12"/>
  <c r="M468" i="12"/>
  <c r="L468" i="12"/>
  <c r="K468" i="12"/>
  <c r="M467" i="12"/>
  <c r="L467" i="12"/>
  <c r="K467" i="12"/>
  <c r="M466" i="12"/>
  <c r="L466" i="12"/>
  <c r="K466" i="12"/>
  <c r="M465" i="12"/>
  <c r="L465" i="12"/>
  <c r="K465" i="12"/>
  <c r="M464" i="12"/>
  <c r="L464" i="12"/>
  <c r="K464" i="12"/>
  <c r="M463" i="12"/>
  <c r="L463" i="12"/>
  <c r="K463" i="12"/>
  <c r="M462" i="12"/>
  <c r="L462" i="12"/>
  <c r="K462" i="12"/>
  <c r="M461" i="12"/>
  <c r="L461" i="12"/>
  <c r="K461" i="12"/>
  <c r="M460" i="12"/>
  <c r="L460" i="12"/>
  <c r="K460" i="12"/>
  <c r="M459" i="12"/>
  <c r="L459" i="12"/>
  <c r="K459" i="12"/>
  <c r="M458" i="12"/>
  <c r="L458" i="12"/>
  <c r="K458" i="12"/>
  <c r="M457" i="12"/>
  <c r="L457" i="12"/>
  <c r="K457" i="12"/>
  <c r="M456" i="12"/>
  <c r="L456" i="12"/>
  <c r="K456" i="12"/>
  <c r="M455" i="12"/>
  <c r="L455" i="12"/>
  <c r="K455" i="12"/>
  <c r="M454" i="12"/>
  <c r="L454" i="12"/>
  <c r="K454" i="12"/>
  <c r="M453" i="12"/>
  <c r="L453" i="12"/>
  <c r="K453" i="12"/>
  <c r="M452" i="12"/>
  <c r="L452" i="12"/>
  <c r="K452" i="12"/>
  <c r="M451" i="12"/>
  <c r="L451" i="12"/>
  <c r="K451" i="12"/>
  <c r="M450" i="12"/>
  <c r="L450" i="12"/>
  <c r="K450" i="12"/>
  <c r="M449" i="12"/>
  <c r="L449" i="12"/>
  <c r="K449" i="12"/>
  <c r="M448" i="12"/>
  <c r="L448" i="12"/>
  <c r="K448" i="12"/>
  <c r="M447" i="12"/>
  <c r="L447" i="12"/>
  <c r="K447" i="12"/>
  <c r="M446" i="12"/>
  <c r="L446" i="12"/>
  <c r="K446" i="12"/>
  <c r="M445" i="12"/>
  <c r="L445" i="12"/>
  <c r="K445" i="12"/>
  <c r="M444" i="12"/>
  <c r="L444" i="12"/>
  <c r="K444" i="12"/>
  <c r="M443" i="12"/>
  <c r="L443" i="12"/>
  <c r="K443" i="12"/>
  <c r="M442" i="12"/>
  <c r="L442" i="12"/>
  <c r="K442" i="12"/>
  <c r="M441" i="12"/>
  <c r="L441" i="12"/>
  <c r="K441" i="12"/>
  <c r="M440" i="12"/>
  <c r="L440" i="12"/>
  <c r="K440" i="12"/>
  <c r="M439" i="12"/>
  <c r="L439" i="12"/>
  <c r="K439" i="12"/>
  <c r="M438" i="12"/>
  <c r="L438" i="12"/>
  <c r="K438" i="12"/>
  <c r="M437" i="12"/>
  <c r="L437" i="12"/>
  <c r="K437" i="12"/>
  <c r="M436" i="12"/>
  <c r="L436" i="12"/>
  <c r="K436" i="12"/>
  <c r="M435" i="12"/>
  <c r="L435" i="12"/>
  <c r="K435" i="12"/>
  <c r="M434" i="12"/>
  <c r="L434" i="12"/>
  <c r="K434" i="12"/>
  <c r="M433" i="12"/>
  <c r="L433" i="12"/>
  <c r="K433" i="12"/>
  <c r="M432" i="12"/>
  <c r="L432" i="12"/>
  <c r="K432" i="12"/>
  <c r="M431" i="12"/>
  <c r="L431" i="12"/>
  <c r="K431" i="12"/>
  <c r="M430" i="12"/>
  <c r="L430" i="12"/>
  <c r="K430" i="12"/>
  <c r="M429" i="12"/>
  <c r="L429" i="12"/>
  <c r="K429" i="12"/>
  <c r="M428" i="12"/>
  <c r="L428" i="12"/>
  <c r="K428" i="12"/>
  <c r="M427" i="12"/>
  <c r="L427" i="12"/>
  <c r="K427" i="12"/>
  <c r="M426" i="12"/>
  <c r="L426" i="12"/>
  <c r="K426" i="12"/>
  <c r="M425" i="12"/>
  <c r="L425" i="12"/>
  <c r="K425" i="12"/>
  <c r="M424" i="12"/>
  <c r="L424" i="12"/>
  <c r="K424" i="12"/>
  <c r="M423" i="12"/>
  <c r="L423" i="12"/>
  <c r="K423" i="12"/>
  <c r="M422" i="12"/>
  <c r="L422" i="12"/>
  <c r="K422" i="12"/>
  <c r="M421" i="12"/>
  <c r="L421" i="12"/>
  <c r="K421" i="12"/>
  <c r="M420" i="12"/>
  <c r="L420" i="12"/>
  <c r="K420" i="12"/>
  <c r="M419" i="12"/>
  <c r="L419" i="12"/>
  <c r="K419" i="12"/>
  <c r="M418" i="12"/>
  <c r="L418" i="12"/>
  <c r="K418" i="12"/>
  <c r="M417" i="12"/>
  <c r="L417" i="12"/>
  <c r="K417" i="12"/>
  <c r="M416" i="12"/>
  <c r="L416" i="12"/>
  <c r="K416" i="12"/>
  <c r="M415" i="12"/>
  <c r="L415" i="12"/>
  <c r="K415" i="12"/>
  <c r="M414" i="12"/>
  <c r="L414" i="12"/>
  <c r="K414" i="12"/>
  <c r="M413" i="12"/>
  <c r="L413" i="12"/>
  <c r="K413" i="12"/>
  <c r="M412" i="12"/>
  <c r="L412" i="12"/>
  <c r="K412" i="12"/>
  <c r="M411" i="12"/>
  <c r="L411" i="12"/>
  <c r="K411" i="12"/>
  <c r="M410" i="12"/>
  <c r="L410" i="12"/>
  <c r="K410" i="12"/>
  <c r="M409" i="12"/>
  <c r="L409" i="12"/>
  <c r="K409" i="12"/>
  <c r="M408" i="12"/>
  <c r="L408" i="12"/>
  <c r="K408" i="12"/>
  <c r="M407" i="12"/>
  <c r="L407" i="12"/>
  <c r="K407" i="12"/>
  <c r="M406" i="12"/>
  <c r="L406" i="12"/>
  <c r="K406" i="12"/>
  <c r="M405" i="12"/>
  <c r="L405" i="12"/>
  <c r="K405" i="12"/>
  <c r="M404" i="12"/>
  <c r="L404" i="12"/>
  <c r="K404" i="12"/>
  <c r="M403" i="12"/>
  <c r="L403" i="12"/>
  <c r="K403" i="12"/>
  <c r="M402" i="12"/>
  <c r="L402" i="12"/>
  <c r="K402" i="12"/>
  <c r="M401" i="12"/>
  <c r="L401" i="12"/>
  <c r="K401" i="12"/>
  <c r="M400" i="12"/>
  <c r="L400" i="12"/>
  <c r="K400" i="12"/>
  <c r="M399" i="12"/>
  <c r="L399" i="12"/>
  <c r="K399" i="12"/>
  <c r="M398" i="12"/>
  <c r="L398" i="12"/>
  <c r="K398" i="12"/>
  <c r="M397" i="12"/>
  <c r="L397" i="12"/>
  <c r="K397" i="12"/>
  <c r="M396" i="12"/>
  <c r="L396" i="12"/>
  <c r="K396" i="12"/>
  <c r="M395" i="12"/>
  <c r="L395" i="12"/>
  <c r="K395" i="12"/>
  <c r="M394" i="12"/>
  <c r="L394" i="12"/>
  <c r="K394" i="12"/>
  <c r="M393" i="12"/>
  <c r="L393" i="12"/>
  <c r="K393" i="12"/>
  <c r="M392" i="12"/>
  <c r="L392" i="12"/>
  <c r="K392" i="12"/>
  <c r="M391" i="12"/>
  <c r="L391" i="12"/>
  <c r="K391" i="12"/>
  <c r="M390" i="12"/>
  <c r="L390" i="12"/>
  <c r="K390" i="12"/>
  <c r="M389" i="12"/>
  <c r="L389" i="12"/>
  <c r="K389" i="12"/>
  <c r="M388" i="12"/>
  <c r="L388" i="12"/>
  <c r="K388" i="12"/>
  <c r="M387" i="12"/>
  <c r="L387" i="12"/>
  <c r="K387" i="12"/>
  <c r="M386" i="12"/>
  <c r="L386" i="12"/>
  <c r="K386" i="12"/>
  <c r="M385" i="12"/>
  <c r="L385" i="12"/>
  <c r="K385" i="12"/>
  <c r="M384" i="12"/>
  <c r="L384" i="12"/>
  <c r="K384" i="12"/>
  <c r="M383" i="12"/>
  <c r="L383" i="12"/>
  <c r="K383" i="12"/>
  <c r="M382" i="12"/>
  <c r="L382" i="12"/>
  <c r="K382" i="12"/>
  <c r="M381" i="12"/>
  <c r="L381" i="12"/>
  <c r="K381" i="12"/>
  <c r="M380" i="12"/>
  <c r="L380" i="12"/>
  <c r="K380" i="12"/>
  <c r="M379" i="12"/>
  <c r="L379" i="12"/>
  <c r="K379" i="12"/>
  <c r="M378" i="12"/>
  <c r="L378" i="12"/>
  <c r="K378" i="12"/>
  <c r="M377" i="12"/>
  <c r="L377" i="12"/>
  <c r="K377" i="12"/>
  <c r="M376" i="12"/>
  <c r="L376" i="12"/>
  <c r="K376" i="12"/>
  <c r="M375" i="12"/>
  <c r="L375" i="12"/>
  <c r="K375" i="12"/>
  <c r="M374" i="12"/>
  <c r="L374" i="12"/>
  <c r="K374" i="12"/>
  <c r="M373" i="12"/>
  <c r="L373" i="12"/>
  <c r="K373" i="12"/>
  <c r="M372" i="12"/>
  <c r="L372" i="12"/>
  <c r="K372" i="12"/>
  <c r="M371" i="12"/>
  <c r="L371" i="12"/>
  <c r="K371" i="12"/>
  <c r="M370" i="12"/>
  <c r="L370" i="12"/>
  <c r="K370" i="12"/>
  <c r="M369" i="12"/>
  <c r="L369" i="12"/>
  <c r="K369" i="12"/>
  <c r="M368" i="12"/>
  <c r="L368" i="12"/>
  <c r="K368" i="12"/>
  <c r="M367" i="12"/>
  <c r="L367" i="12"/>
  <c r="K367" i="12"/>
  <c r="M366" i="12"/>
  <c r="L366" i="12"/>
  <c r="K366" i="12"/>
  <c r="M365" i="12"/>
  <c r="L365" i="12"/>
  <c r="K365" i="12"/>
  <c r="M364" i="12"/>
  <c r="L364" i="12"/>
  <c r="K364" i="12"/>
  <c r="M363" i="12"/>
  <c r="L363" i="12"/>
  <c r="K363" i="12"/>
  <c r="M362" i="12"/>
  <c r="L362" i="12"/>
  <c r="K362" i="12"/>
  <c r="M361" i="12"/>
  <c r="L361" i="12"/>
  <c r="K361" i="12"/>
  <c r="M360" i="12"/>
  <c r="L360" i="12"/>
  <c r="K360" i="12"/>
  <c r="M359" i="12"/>
  <c r="L359" i="12"/>
  <c r="K359" i="12"/>
  <c r="M358" i="12"/>
  <c r="L358" i="12"/>
  <c r="K358" i="12"/>
  <c r="M357" i="12"/>
  <c r="L357" i="12"/>
  <c r="K357" i="12"/>
  <c r="M356" i="12"/>
  <c r="L356" i="12"/>
  <c r="K356" i="12"/>
  <c r="M355" i="12"/>
  <c r="L355" i="12"/>
  <c r="K355" i="12"/>
  <c r="M354" i="12"/>
  <c r="L354" i="12"/>
  <c r="K354" i="12"/>
  <c r="M353" i="12"/>
  <c r="L353" i="12"/>
  <c r="K353" i="12"/>
  <c r="M352" i="12"/>
  <c r="L352" i="12"/>
  <c r="K352" i="12"/>
  <c r="M351" i="12"/>
  <c r="L351" i="12"/>
  <c r="K351" i="12"/>
  <c r="M350" i="12"/>
  <c r="L350" i="12"/>
  <c r="K350" i="12"/>
  <c r="M349" i="12"/>
  <c r="L349" i="12"/>
  <c r="K349" i="12"/>
  <c r="M348" i="12"/>
  <c r="L348" i="12"/>
  <c r="K348" i="12"/>
  <c r="M347" i="12"/>
  <c r="L347" i="12"/>
  <c r="K347" i="12"/>
  <c r="M346" i="12"/>
  <c r="L346" i="12"/>
  <c r="K346" i="12"/>
  <c r="M345" i="12"/>
  <c r="L345" i="12"/>
  <c r="K345" i="12"/>
  <c r="M344" i="12"/>
  <c r="L344" i="12"/>
  <c r="K344" i="12"/>
  <c r="M343" i="12"/>
  <c r="L343" i="12"/>
  <c r="K343" i="12"/>
  <c r="M342" i="12"/>
  <c r="L342" i="12"/>
  <c r="K342" i="12"/>
  <c r="M341" i="12"/>
  <c r="L341" i="12"/>
  <c r="K341" i="12"/>
  <c r="M340" i="12"/>
  <c r="L340" i="12"/>
  <c r="K340" i="12"/>
  <c r="M339" i="12"/>
  <c r="L339" i="12"/>
  <c r="K339" i="12"/>
  <c r="M338" i="12"/>
  <c r="L338" i="12"/>
  <c r="K338" i="12"/>
  <c r="M337" i="12"/>
  <c r="L337" i="12"/>
  <c r="K337" i="12"/>
  <c r="M336" i="12"/>
  <c r="L336" i="12"/>
  <c r="K336" i="12"/>
  <c r="M335" i="12"/>
  <c r="L335" i="12"/>
  <c r="K335" i="12"/>
  <c r="M334" i="12"/>
  <c r="L334" i="12"/>
  <c r="K334" i="12"/>
  <c r="M333" i="12"/>
  <c r="L333" i="12"/>
  <c r="K333" i="12"/>
  <c r="M332" i="12"/>
  <c r="L332" i="12"/>
  <c r="K332" i="12"/>
  <c r="M331" i="12"/>
  <c r="L331" i="12"/>
  <c r="K331" i="12"/>
  <c r="M330" i="12"/>
  <c r="L330" i="12"/>
  <c r="K330" i="12"/>
  <c r="M329" i="12"/>
  <c r="L329" i="12"/>
  <c r="K329" i="12"/>
  <c r="M328" i="12"/>
  <c r="L328" i="12"/>
  <c r="K328" i="12"/>
  <c r="M327" i="12"/>
  <c r="L327" i="12"/>
  <c r="K327" i="12"/>
  <c r="M326" i="12"/>
  <c r="L326" i="12"/>
  <c r="K326" i="12"/>
  <c r="M325" i="12"/>
  <c r="L325" i="12"/>
  <c r="K325" i="12"/>
  <c r="M324" i="12"/>
  <c r="L324" i="12"/>
  <c r="K324" i="12"/>
  <c r="M323" i="12"/>
  <c r="L323" i="12"/>
  <c r="K323" i="12"/>
  <c r="M322" i="12"/>
  <c r="L322" i="12"/>
  <c r="K322" i="12"/>
  <c r="M321" i="12"/>
  <c r="L321" i="12"/>
  <c r="K321" i="12"/>
  <c r="M320" i="12"/>
  <c r="L320" i="12"/>
  <c r="K320" i="12"/>
  <c r="M319" i="12"/>
  <c r="L319" i="12"/>
  <c r="K319" i="12"/>
  <c r="M318" i="12"/>
  <c r="L318" i="12"/>
  <c r="K318" i="12"/>
  <c r="M317" i="12"/>
  <c r="L317" i="12"/>
  <c r="K317" i="12"/>
  <c r="M316" i="12"/>
  <c r="L316" i="12"/>
  <c r="K316" i="12"/>
  <c r="M315" i="12"/>
  <c r="L315" i="12"/>
  <c r="K315" i="12"/>
  <c r="M314" i="12"/>
  <c r="L314" i="12"/>
  <c r="K314" i="12"/>
  <c r="M313" i="12"/>
  <c r="L313" i="12"/>
  <c r="K313" i="12"/>
  <c r="M312" i="12"/>
  <c r="L312" i="12"/>
  <c r="K312" i="12"/>
  <c r="M311" i="12"/>
  <c r="L311" i="12"/>
  <c r="K311" i="12"/>
  <c r="M310" i="12"/>
  <c r="L310" i="12"/>
  <c r="K310" i="12"/>
  <c r="M309" i="12"/>
  <c r="L309" i="12"/>
  <c r="K309" i="12"/>
  <c r="M308" i="12"/>
  <c r="L308" i="12"/>
  <c r="K308" i="12"/>
  <c r="M307" i="12"/>
  <c r="L307" i="12"/>
  <c r="K307" i="12"/>
  <c r="M306" i="12"/>
  <c r="L306" i="12"/>
  <c r="K306" i="12"/>
  <c r="M305" i="12"/>
  <c r="L305" i="12"/>
  <c r="K305" i="12"/>
  <c r="M304" i="12"/>
  <c r="L304" i="12"/>
  <c r="K304" i="12"/>
  <c r="M303" i="12"/>
  <c r="L303" i="12"/>
  <c r="K303" i="12"/>
  <c r="M302" i="12"/>
  <c r="L302" i="12"/>
  <c r="K302" i="12"/>
  <c r="M301" i="12"/>
  <c r="L301" i="12"/>
  <c r="K301" i="12"/>
  <c r="M300" i="12"/>
  <c r="L300" i="12"/>
  <c r="K300" i="12"/>
  <c r="M299" i="12"/>
  <c r="L299" i="12"/>
  <c r="K299" i="12"/>
  <c r="M298" i="12"/>
  <c r="L298" i="12"/>
  <c r="K298" i="12"/>
  <c r="M297" i="12"/>
  <c r="L297" i="12"/>
  <c r="K297" i="12"/>
  <c r="M296" i="12"/>
  <c r="L296" i="12"/>
  <c r="K296" i="12"/>
  <c r="M295" i="12"/>
  <c r="L295" i="12"/>
  <c r="K295" i="12"/>
  <c r="M294" i="12"/>
  <c r="L294" i="12"/>
  <c r="K294" i="12"/>
  <c r="M293" i="12"/>
  <c r="L293" i="12"/>
  <c r="K293" i="12"/>
  <c r="M292" i="12"/>
  <c r="L292" i="12"/>
  <c r="K292" i="12"/>
  <c r="M291" i="12"/>
  <c r="L291" i="12"/>
  <c r="K291" i="12"/>
  <c r="M290" i="12"/>
  <c r="L290" i="12"/>
  <c r="K290" i="12"/>
  <c r="M289" i="12"/>
  <c r="L289" i="12"/>
  <c r="K289" i="12"/>
  <c r="M288" i="12"/>
  <c r="L288" i="12"/>
  <c r="K288" i="12"/>
  <c r="M287" i="12"/>
  <c r="L287" i="12"/>
  <c r="K287" i="12"/>
  <c r="M286" i="12"/>
  <c r="L286" i="12"/>
  <c r="K286" i="12"/>
  <c r="M285" i="12"/>
  <c r="L285" i="12"/>
  <c r="K285" i="12"/>
  <c r="M284" i="12"/>
  <c r="L284" i="12"/>
  <c r="K284" i="12"/>
  <c r="M283" i="12"/>
  <c r="L283" i="12"/>
  <c r="K283" i="12"/>
  <c r="M282" i="12"/>
  <c r="L282" i="12"/>
  <c r="K282" i="12"/>
  <c r="M281" i="12"/>
  <c r="L281" i="12"/>
  <c r="K281" i="12"/>
  <c r="M280" i="12"/>
  <c r="L280" i="12"/>
  <c r="K280" i="12"/>
  <c r="M279" i="12"/>
  <c r="L279" i="12"/>
  <c r="K279" i="12"/>
  <c r="M278" i="12"/>
  <c r="L278" i="12"/>
  <c r="K278" i="12"/>
  <c r="M277" i="12"/>
  <c r="L277" i="12"/>
  <c r="K277" i="12"/>
  <c r="M276" i="12"/>
  <c r="L276" i="12"/>
  <c r="K276" i="12"/>
  <c r="M275" i="12"/>
  <c r="L275" i="12"/>
  <c r="K275" i="12"/>
  <c r="M274" i="12"/>
  <c r="L274" i="12"/>
  <c r="K274" i="12"/>
  <c r="M273" i="12"/>
  <c r="L273" i="12"/>
  <c r="K273" i="12"/>
  <c r="M272" i="12"/>
  <c r="L272" i="12"/>
  <c r="K272" i="12"/>
  <c r="M271" i="12"/>
  <c r="L271" i="12"/>
  <c r="K271" i="12"/>
  <c r="M270" i="12"/>
  <c r="L270" i="12"/>
  <c r="K270" i="12"/>
  <c r="M269" i="12"/>
  <c r="L269" i="12"/>
  <c r="K269" i="12"/>
  <c r="M268" i="12"/>
  <c r="L268" i="12"/>
  <c r="K268" i="12"/>
  <c r="M267" i="12"/>
  <c r="L267" i="12"/>
  <c r="K267" i="12"/>
  <c r="M266" i="12"/>
  <c r="L266" i="12"/>
  <c r="K266" i="12"/>
  <c r="M265" i="12"/>
  <c r="L265" i="12"/>
  <c r="K265" i="12"/>
  <c r="M264" i="12"/>
  <c r="L264" i="12"/>
  <c r="K264" i="12"/>
  <c r="M263" i="12"/>
  <c r="L263" i="12"/>
  <c r="K263" i="12"/>
  <c r="M262" i="12"/>
  <c r="L262" i="12"/>
  <c r="K262" i="12"/>
  <c r="M261" i="12"/>
  <c r="L261" i="12"/>
  <c r="K261" i="12"/>
  <c r="M260" i="12"/>
  <c r="L260" i="12"/>
  <c r="K260" i="12"/>
  <c r="M259" i="12"/>
  <c r="L259" i="12"/>
  <c r="K259" i="12"/>
  <c r="M258" i="12"/>
  <c r="L258" i="12"/>
  <c r="K258" i="12"/>
  <c r="M257" i="12"/>
  <c r="L257" i="12"/>
  <c r="K257" i="12"/>
  <c r="M256" i="12"/>
  <c r="L256" i="12"/>
  <c r="K256" i="12"/>
  <c r="M255" i="12"/>
  <c r="L255" i="12"/>
  <c r="K255" i="12"/>
  <c r="M254" i="12"/>
  <c r="L254" i="12"/>
  <c r="K254" i="12"/>
  <c r="M253" i="12"/>
  <c r="L253" i="12"/>
  <c r="K253" i="12"/>
  <c r="M252" i="12"/>
  <c r="L252" i="12"/>
  <c r="K252" i="12"/>
  <c r="M251" i="12"/>
  <c r="L251" i="12"/>
  <c r="K251" i="12"/>
  <c r="M250" i="12"/>
  <c r="L250" i="12"/>
  <c r="K250" i="12"/>
  <c r="M249" i="12"/>
  <c r="L249" i="12"/>
  <c r="K249" i="12"/>
  <c r="M248" i="12"/>
  <c r="L248" i="12"/>
  <c r="K248" i="12"/>
  <c r="M247" i="12"/>
  <c r="L247" i="12"/>
  <c r="K247" i="12"/>
  <c r="M246" i="12"/>
  <c r="L246" i="12"/>
  <c r="K246" i="12"/>
  <c r="M245" i="12"/>
  <c r="L245" i="12"/>
  <c r="K245" i="12"/>
  <c r="M244" i="12"/>
  <c r="L244" i="12"/>
  <c r="K244" i="12"/>
  <c r="M243" i="12"/>
  <c r="L243" i="12"/>
  <c r="K243" i="12"/>
  <c r="M242" i="12"/>
  <c r="L242" i="12"/>
  <c r="K242" i="12"/>
  <c r="M241" i="12"/>
  <c r="L241" i="12"/>
  <c r="K241" i="12"/>
  <c r="M240" i="12"/>
  <c r="L240" i="12"/>
  <c r="K240" i="12"/>
  <c r="M239" i="12"/>
  <c r="L239" i="12"/>
  <c r="K239" i="12"/>
  <c r="M238" i="12"/>
  <c r="L238" i="12"/>
  <c r="K238" i="12"/>
  <c r="M237" i="12"/>
  <c r="L237" i="12"/>
  <c r="K237" i="12"/>
  <c r="M236" i="12"/>
  <c r="L236" i="12"/>
  <c r="K236" i="12"/>
  <c r="M235" i="12"/>
  <c r="L235" i="12"/>
  <c r="K235" i="12"/>
  <c r="M234" i="12"/>
  <c r="L234" i="12"/>
  <c r="K234" i="12"/>
  <c r="M233" i="12"/>
  <c r="L233" i="12"/>
  <c r="K233" i="12"/>
  <c r="M232" i="12"/>
  <c r="L232" i="12"/>
  <c r="K232" i="12"/>
  <c r="M231" i="12"/>
  <c r="L231" i="12"/>
  <c r="K231" i="12"/>
  <c r="M230" i="12"/>
  <c r="L230" i="12"/>
  <c r="K230" i="12"/>
  <c r="M229" i="12"/>
  <c r="L229" i="12"/>
  <c r="K229" i="12"/>
  <c r="M228" i="12"/>
  <c r="L228" i="12"/>
  <c r="K228" i="12"/>
  <c r="M227" i="12"/>
  <c r="L227" i="12"/>
  <c r="K227" i="12"/>
  <c r="M226" i="12"/>
  <c r="L226" i="12"/>
  <c r="K226" i="12"/>
  <c r="M225" i="12"/>
  <c r="L225" i="12"/>
  <c r="K225" i="12"/>
  <c r="M224" i="12"/>
  <c r="L224" i="12"/>
  <c r="K224" i="12"/>
  <c r="M223" i="12"/>
  <c r="L223" i="12"/>
  <c r="K223" i="12"/>
  <c r="M222" i="12"/>
  <c r="L222" i="12"/>
  <c r="K222" i="12"/>
  <c r="M221" i="12"/>
  <c r="L221" i="12"/>
  <c r="K221" i="12"/>
  <c r="M220" i="12"/>
  <c r="L220" i="12"/>
  <c r="K220" i="12"/>
  <c r="M219" i="12"/>
  <c r="L219" i="12"/>
  <c r="K219" i="12"/>
  <c r="M218" i="12"/>
  <c r="L218" i="12"/>
  <c r="K218" i="12"/>
  <c r="M217" i="12"/>
  <c r="L217" i="12"/>
  <c r="K217" i="12"/>
  <c r="M216" i="12"/>
  <c r="L216" i="12"/>
  <c r="K216" i="12"/>
  <c r="M215" i="12"/>
  <c r="L215" i="12"/>
  <c r="K215" i="12"/>
  <c r="M214" i="12"/>
  <c r="L214" i="12"/>
  <c r="K214" i="12"/>
  <c r="M213" i="12"/>
  <c r="L213" i="12"/>
  <c r="K213" i="12"/>
  <c r="M212" i="12"/>
  <c r="L212" i="12"/>
  <c r="K212" i="12"/>
  <c r="M211" i="12"/>
  <c r="L211" i="12"/>
  <c r="K211" i="12"/>
  <c r="M210" i="12"/>
  <c r="L210" i="12"/>
  <c r="K210" i="12"/>
  <c r="M209" i="12"/>
  <c r="L209" i="12"/>
  <c r="K209" i="12"/>
  <c r="M208" i="12"/>
  <c r="L208" i="12"/>
  <c r="K208" i="12"/>
  <c r="M207" i="12"/>
  <c r="L207" i="12"/>
  <c r="K207" i="12"/>
  <c r="M206" i="12"/>
  <c r="L206" i="12"/>
  <c r="K206" i="12"/>
  <c r="M205" i="12"/>
  <c r="L205" i="12"/>
  <c r="K205" i="12"/>
  <c r="M204" i="12"/>
  <c r="L204" i="12"/>
  <c r="K204" i="12"/>
  <c r="M203" i="12"/>
  <c r="L203" i="12"/>
  <c r="K203" i="12"/>
  <c r="M202" i="12"/>
  <c r="L202" i="12"/>
  <c r="K202" i="12"/>
  <c r="M201" i="12"/>
  <c r="L201" i="12"/>
  <c r="K201" i="12"/>
  <c r="M200" i="12"/>
  <c r="L200" i="12"/>
  <c r="K200" i="12"/>
  <c r="M199" i="12"/>
  <c r="L199" i="12"/>
  <c r="K199" i="12"/>
  <c r="M198" i="12"/>
  <c r="L198" i="12"/>
  <c r="K198" i="12"/>
  <c r="M197" i="12"/>
  <c r="L197" i="12"/>
  <c r="K197" i="12"/>
  <c r="M196" i="12"/>
  <c r="L196" i="12"/>
  <c r="K196" i="12"/>
  <c r="M195" i="12"/>
  <c r="L195" i="12"/>
  <c r="K195" i="12"/>
  <c r="M194" i="12"/>
  <c r="L194" i="12"/>
  <c r="K194" i="12"/>
  <c r="M193" i="12"/>
  <c r="L193" i="12"/>
  <c r="K193" i="12"/>
  <c r="M192" i="12"/>
  <c r="L192" i="12"/>
  <c r="K192" i="12"/>
  <c r="M191" i="12"/>
  <c r="L191" i="12"/>
  <c r="K191" i="12"/>
  <c r="M190" i="12"/>
  <c r="L190" i="12"/>
  <c r="K190" i="12"/>
  <c r="M189" i="12"/>
  <c r="L189" i="12"/>
  <c r="K189" i="12"/>
  <c r="M188" i="12"/>
  <c r="L188" i="12"/>
  <c r="K188" i="12"/>
  <c r="M187" i="12"/>
  <c r="L187" i="12"/>
  <c r="K187" i="12"/>
  <c r="M186" i="12"/>
  <c r="L186" i="12"/>
  <c r="K186" i="12"/>
  <c r="M185" i="12"/>
  <c r="L185" i="12"/>
  <c r="K185" i="12"/>
  <c r="M184" i="12"/>
  <c r="L184" i="12"/>
  <c r="K184" i="12"/>
  <c r="M183" i="12"/>
  <c r="L183" i="12"/>
  <c r="K183" i="12"/>
  <c r="M182" i="12"/>
  <c r="L182" i="12"/>
  <c r="K182" i="12"/>
  <c r="M181" i="12"/>
  <c r="L181" i="12"/>
  <c r="K181" i="12"/>
  <c r="M180" i="12"/>
  <c r="L180" i="12"/>
  <c r="K180" i="12"/>
  <c r="M179" i="12"/>
  <c r="L179" i="12"/>
  <c r="K179" i="12"/>
  <c r="M178" i="12"/>
  <c r="L178" i="12"/>
  <c r="K178" i="12"/>
  <c r="M177" i="12"/>
  <c r="L177" i="12"/>
  <c r="K177" i="12"/>
  <c r="M176" i="12"/>
  <c r="L176" i="12"/>
  <c r="K176" i="12"/>
  <c r="M175" i="12"/>
  <c r="L175" i="12"/>
  <c r="K175" i="12"/>
  <c r="M174" i="12"/>
  <c r="L174" i="12"/>
  <c r="K174" i="12"/>
  <c r="M173" i="12"/>
  <c r="L173" i="12"/>
  <c r="K173" i="12"/>
  <c r="M172" i="12"/>
  <c r="L172" i="12"/>
  <c r="K172" i="12"/>
  <c r="M171" i="12"/>
  <c r="L171" i="12"/>
  <c r="K171" i="12"/>
  <c r="M170" i="12"/>
  <c r="L170" i="12"/>
  <c r="K170" i="12"/>
  <c r="M169" i="12"/>
  <c r="L169" i="12"/>
  <c r="K169" i="12"/>
  <c r="M168" i="12"/>
  <c r="L168" i="12"/>
  <c r="K168" i="12"/>
  <c r="M167" i="12"/>
  <c r="L167" i="12"/>
  <c r="K167" i="12"/>
  <c r="M166" i="12"/>
  <c r="L166" i="12"/>
  <c r="K166" i="12"/>
  <c r="M165" i="12"/>
  <c r="L165" i="12"/>
  <c r="K165" i="12"/>
  <c r="M164" i="12"/>
  <c r="L164" i="12"/>
  <c r="K164" i="12"/>
  <c r="M163" i="12"/>
  <c r="L163" i="12"/>
  <c r="K163" i="12"/>
  <c r="M162" i="12"/>
  <c r="L162" i="12"/>
  <c r="K162" i="12"/>
  <c r="M161" i="12"/>
  <c r="L161" i="12"/>
  <c r="K161" i="12"/>
  <c r="M160" i="12"/>
  <c r="L160" i="12"/>
  <c r="K160" i="12"/>
  <c r="M159" i="12"/>
  <c r="L159" i="12"/>
  <c r="K159" i="12"/>
  <c r="M158" i="12"/>
  <c r="L158" i="12"/>
  <c r="K158" i="12"/>
  <c r="M157" i="12"/>
  <c r="L157" i="12"/>
  <c r="K157" i="12"/>
  <c r="M156" i="12"/>
  <c r="L156" i="12"/>
  <c r="K156" i="12"/>
  <c r="M155" i="12"/>
  <c r="L155" i="12"/>
  <c r="K155" i="12"/>
  <c r="M154" i="12"/>
  <c r="L154" i="12"/>
  <c r="K154" i="12"/>
  <c r="M153" i="12"/>
  <c r="L153" i="12"/>
  <c r="K153" i="12"/>
  <c r="M152" i="12"/>
  <c r="L152" i="12"/>
  <c r="K152" i="12"/>
  <c r="M151" i="12"/>
  <c r="L151" i="12"/>
  <c r="K151" i="12"/>
  <c r="M150" i="12"/>
  <c r="L150" i="12"/>
  <c r="K150" i="12"/>
  <c r="M149" i="12"/>
  <c r="L149" i="12"/>
  <c r="K149" i="12"/>
  <c r="M148" i="12"/>
  <c r="L148" i="12"/>
  <c r="K148" i="12"/>
  <c r="M147" i="12"/>
  <c r="L147" i="12"/>
  <c r="K147" i="12"/>
  <c r="M146" i="12"/>
  <c r="L146" i="12"/>
  <c r="K146" i="12"/>
  <c r="M145" i="12"/>
  <c r="L145" i="12"/>
  <c r="K145" i="12"/>
  <c r="M144" i="12"/>
  <c r="L144" i="12"/>
  <c r="K144" i="12"/>
  <c r="M143" i="12"/>
  <c r="L143" i="12"/>
  <c r="K143" i="12"/>
  <c r="M142" i="12"/>
  <c r="L142" i="12"/>
  <c r="K142" i="12"/>
  <c r="M141" i="12"/>
  <c r="L141" i="12"/>
  <c r="K141" i="12"/>
  <c r="M140" i="12"/>
  <c r="L140" i="12"/>
  <c r="K140" i="12"/>
  <c r="M139" i="12"/>
  <c r="L139" i="12"/>
  <c r="K139" i="12"/>
  <c r="M138" i="12"/>
  <c r="L138" i="12"/>
  <c r="K138" i="12"/>
  <c r="M137" i="12"/>
  <c r="L137" i="12"/>
  <c r="K137" i="12"/>
  <c r="M136" i="12"/>
  <c r="L136" i="12"/>
  <c r="K136" i="12"/>
  <c r="M135" i="12"/>
  <c r="L135" i="12"/>
  <c r="K135" i="12"/>
  <c r="M134" i="12"/>
  <c r="L134" i="12"/>
  <c r="K134" i="12"/>
  <c r="M133" i="12"/>
  <c r="L133" i="12"/>
  <c r="K133" i="12"/>
  <c r="M132" i="12"/>
  <c r="L132" i="12"/>
  <c r="K132" i="12"/>
  <c r="M131" i="12"/>
  <c r="L131" i="12"/>
  <c r="K131" i="12"/>
  <c r="M130" i="12"/>
  <c r="L130" i="12"/>
  <c r="K130" i="12"/>
  <c r="M129" i="12"/>
  <c r="L129" i="12"/>
  <c r="K129" i="12"/>
  <c r="M128" i="12"/>
  <c r="L128" i="12"/>
  <c r="K128" i="12"/>
  <c r="M127" i="12"/>
  <c r="L127" i="12"/>
  <c r="K127" i="12"/>
  <c r="M126" i="12"/>
  <c r="L126" i="12"/>
  <c r="K126" i="12"/>
  <c r="M125" i="12"/>
  <c r="L125" i="12"/>
  <c r="K125" i="12"/>
  <c r="M124" i="12"/>
  <c r="L124" i="12"/>
  <c r="K124" i="12"/>
  <c r="M123" i="12"/>
  <c r="L123" i="12"/>
  <c r="K123" i="12"/>
  <c r="M122" i="12"/>
  <c r="L122" i="12"/>
  <c r="K122" i="12"/>
  <c r="M121" i="12"/>
  <c r="L121" i="12"/>
  <c r="K121" i="12"/>
  <c r="M120" i="12"/>
  <c r="L120" i="12"/>
  <c r="K120" i="12"/>
  <c r="M119" i="12"/>
  <c r="L119" i="12"/>
  <c r="K119" i="12"/>
  <c r="M118" i="12"/>
  <c r="L118" i="12"/>
  <c r="K118" i="12"/>
  <c r="M117" i="12"/>
  <c r="L117" i="12"/>
  <c r="K117" i="12"/>
  <c r="M116" i="12"/>
  <c r="L116" i="12"/>
  <c r="K116" i="12"/>
  <c r="M115" i="12"/>
  <c r="L115" i="12"/>
  <c r="K115" i="12"/>
  <c r="M114" i="12"/>
  <c r="L114" i="12"/>
  <c r="K114" i="12"/>
  <c r="M113" i="12"/>
  <c r="L113" i="12"/>
  <c r="K113" i="12"/>
  <c r="M112" i="12"/>
  <c r="L112" i="12"/>
  <c r="K112" i="12"/>
  <c r="M111" i="12"/>
  <c r="L111" i="12"/>
  <c r="K111" i="12"/>
  <c r="M110" i="12"/>
  <c r="L110" i="12"/>
  <c r="K110" i="12"/>
  <c r="M109" i="12"/>
  <c r="L109" i="12"/>
  <c r="K109" i="12"/>
  <c r="M108" i="12"/>
  <c r="L108" i="12"/>
  <c r="K108" i="12"/>
  <c r="M107" i="12"/>
  <c r="L107" i="12"/>
  <c r="K107" i="12"/>
  <c r="M106" i="12"/>
  <c r="L106" i="12"/>
  <c r="K106" i="12"/>
  <c r="M105" i="12"/>
  <c r="L105" i="12"/>
  <c r="K105" i="12"/>
  <c r="M104" i="12"/>
  <c r="L104" i="12"/>
  <c r="K104" i="12"/>
  <c r="M103" i="12"/>
  <c r="L103" i="12"/>
  <c r="K103" i="12"/>
  <c r="M102" i="12"/>
  <c r="L102" i="12"/>
  <c r="K102" i="12"/>
  <c r="M101" i="12"/>
  <c r="L101" i="12"/>
  <c r="K101" i="12"/>
  <c r="M100" i="12"/>
  <c r="L100" i="12"/>
  <c r="K100" i="12"/>
  <c r="M99" i="12"/>
  <c r="L99" i="12"/>
  <c r="K99" i="12"/>
  <c r="M98" i="12"/>
  <c r="L98" i="12"/>
  <c r="K98" i="12"/>
  <c r="M97" i="12"/>
  <c r="L97" i="12"/>
  <c r="K97" i="12"/>
  <c r="M96" i="12"/>
  <c r="L96" i="12"/>
  <c r="K96" i="12"/>
  <c r="L95" i="12"/>
  <c r="K95" i="12"/>
  <c r="L94" i="12"/>
  <c r="K94" i="12"/>
  <c r="L93" i="12"/>
  <c r="K93" i="12"/>
  <c r="L92" i="12"/>
  <c r="K92" i="12"/>
  <c r="L91" i="12"/>
  <c r="K91" i="12"/>
  <c r="L90" i="12"/>
  <c r="K90" i="12"/>
  <c r="L89" i="12"/>
  <c r="K89" i="12"/>
  <c r="L88" i="12"/>
  <c r="K88" i="12"/>
  <c r="L87" i="12"/>
  <c r="K87" i="12"/>
  <c r="L86" i="12"/>
  <c r="K86" i="12"/>
  <c r="L85" i="12"/>
  <c r="K85" i="12"/>
  <c r="L84" i="12"/>
  <c r="K84" i="12"/>
  <c r="L83" i="12"/>
  <c r="K83" i="12"/>
  <c r="L82" i="12"/>
  <c r="K82" i="12"/>
  <c r="M81" i="12"/>
  <c r="L81" i="12"/>
  <c r="K81" i="12"/>
  <c r="M80" i="12"/>
  <c r="L80" i="12"/>
  <c r="K80" i="12"/>
  <c r="M79" i="12"/>
  <c r="L79" i="12"/>
  <c r="K79" i="12"/>
  <c r="M78" i="12"/>
  <c r="L78" i="12"/>
  <c r="K78" i="12"/>
  <c r="M77" i="12"/>
  <c r="L77" i="12"/>
  <c r="K77" i="12"/>
  <c r="M76" i="12"/>
  <c r="L76" i="12"/>
  <c r="K76" i="12"/>
  <c r="M75" i="12"/>
  <c r="L75" i="12"/>
  <c r="K75" i="12"/>
  <c r="M74" i="12"/>
  <c r="L74" i="12"/>
  <c r="K74" i="12"/>
  <c r="M73" i="12"/>
  <c r="L73" i="12"/>
  <c r="K73" i="12"/>
  <c r="L72" i="12"/>
  <c r="K72" i="12"/>
  <c r="M71" i="12"/>
  <c r="L71" i="12"/>
  <c r="K71" i="12"/>
  <c r="M70" i="12"/>
  <c r="L70" i="12"/>
  <c r="K70" i="12"/>
  <c r="M69" i="12"/>
  <c r="L69" i="12"/>
  <c r="K69" i="12"/>
  <c r="M68" i="12"/>
  <c r="L68" i="12"/>
  <c r="K68" i="12"/>
  <c r="M67" i="12"/>
  <c r="L67" i="12"/>
  <c r="K67" i="12"/>
  <c r="M66" i="12"/>
  <c r="L66" i="12"/>
  <c r="K66" i="12"/>
  <c r="M65" i="12"/>
  <c r="L65" i="12"/>
  <c r="K65" i="12"/>
  <c r="M64" i="12"/>
  <c r="L64" i="12"/>
  <c r="K64" i="12"/>
  <c r="M63" i="12"/>
  <c r="L63" i="12"/>
  <c r="K63" i="12"/>
  <c r="M62" i="12"/>
  <c r="L62" i="12"/>
  <c r="K62" i="12"/>
  <c r="M61" i="12"/>
  <c r="L61" i="12"/>
  <c r="K61" i="12"/>
  <c r="M60" i="12"/>
  <c r="L60" i="12"/>
  <c r="K60" i="12"/>
  <c r="L59" i="12"/>
  <c r="K59" i="12"/>
  <c r="L58" i="12"/>
  <c r="K58" i="12"/>
  <c r="M57" i="12"/>
  <c r="L57" i="12"/>
  <c r="K57" i="12"/>
  <c r="M56" i="12"/>
  <c r="L56" i="12"/>
  <c r="K56" i="12"/>
  <c r="L55" i="12"/>
  <c r="K55" i="12"/>
  <c r="M54" i="12"/>
  <c r="L54" i="12"/>
  <c r="K54" i="12"/>
  <c r="M53" i="12"/>
  <c r="L53" i="12"/>
  <c r="K53" i="12"/>
  <c r="M52" i="12"/>
  <c r="L52" i="12"/>
  <c r="K52" i="12"/>
  <c r="M51" i="12"/>
  <c r="L51" i="12"/>
  <c r="K51" i="12"/>
  <c r="M50" i="12"/>
  <c r="L50" i="12"/>
  <c r="K50" i="12"/>
  <c r="M49" i="12"/>
  <c r="L49" i="12"/>
  <c r="K49" i="12"/>
  <c r="M48" i="12"/>
  <c r="L48" i="12"/>
  <c r="K48" i="12"/>
  <c r="M47" i="12"/>
  <c r="L47" i="12"/>
  <c r="K47" i="12"/>
  <c r="M46" i="12"/>
  <c r="L46" i="12"/>
  <c r="K46" i="12"/>
  <c r="M45" i="12"/>
  <c r="L45" i="12"/>
  <c r="K45" i="12"/>
  <c r="M44" i="12"/>
  <c r="L44" i="12"/>
  <c r="K44" i="12"/>
  <c r="M43" i="12"/>
  <c r="L43" i="12"/>
  <c r="K43" i="12"/>
  <c r="M42" i="12"/>
  <c r="L42" i="12"/>
  <c r="K42" i="12"/>
  <c r="M41" i="12"/>
  <c r="L41" i="12"/>
  <c r="K41" i="12"/>
  <c r="M40" i="12"/>
  <c r="L40" i="12"/>
  <c r="K40" i="12"/>
  <c r="M39" i="12"/>
  <c r="L39" i="12"/>
  <c r="K39" i="12"/>
  <c r="M38" i="12"/>
  <c r="L38" i="12"/>
  <c r="K38" i="12"/>
  <c r="L37" i="12"/>
  <c r="K37" i="12"/>
  <c r="M36" i="12"/>
  <c r="L36" i="12"/>
  <c r="K36" i="12"/>
  <c r="M35" i="12"/>
  <c r="L35" i="12"/>
  <c r="K35" i="12"/>
  <c r="M34" i="12"/>
  <c r="L34" i="12"/>
  <c r="K34" i="12"/>
  <c r="M33" i="12"/>
  <c r="L33" i="12"/>
  <c r="K33" i="12"/>
  <c r="M32" i="12"/>
  <c r="L32" i="12"/>
  <c r="K32" i="12"/>
  <c r="M31" i="12"/>
  <c r="L31" i="12"/>
  <c r="K31" i="12"/>
  <c r="M30" i="12"/>
  <c r="L30" i="12"/>
  <c r="K30" i="12"/>
  <c r="M29" i="12"/>
  <c r="L29" i="12"/>
  <c r="K29" i="12"/>
  <c r="M28" i="12"/>
  <c r="L28" i="12"/>
  <c r="K28" i="12"/>
  <c r="M27" i="12"/>
  <c r="L27" i="12"/>
  <c r="K27" i="12"/>
  <c r="M26" i="12"/>
  <c r="L26" i="12"/>
  <c r="K26" i="12"/>
  <c r="M25" i="12"/>
  <c r="L25" i="12"/>
  <c r="K25" i="12"/>
  <c r="L24" i="12"/>
  <c r="K24" i="12"/>
  <c r="L23" i="12"/>
  <c r="K23" i="12"/>
  <c r="M22" i="12"/>
  <c r="L22" i="12"/>
  <c r="K22" i="12"/>
  <c r="M21" i="12"/>
  <c r="L21" i="12"/>
  <c r="K21" i="12"/>
  <c r="M20" i="12"/>
  <c r="L20" i="12"/>
  <c r="K20" i="12"/>
  <c r="L19" i="12"/>
  <c r="K19" i="12"/>
  <c r="M18" i="12"/>
  <c r="L18" i="12"/>
  <c r="K18" i="12"/>
  <c r="M17" i="12"/>
  <c r="L17" i="12"/>
  <c r="K17" i="12"/>
  <c r="M16" i="12"/>
  <c r="L16" i="12"/>
  <c r="K16" i="12"/>
  <c r="M15" i="12"/>
  <c r="L15" i="12"/>
  <c r="K15" i="12"/>
  <c r="M14" i="12"/>
  <c r="L14" i="12"/>
  <c r="K14" i="12"/>
  <c r="M13" i="12"/>
  <c r="L13" i="12"/>
  <c r="K13" i="12"/>
  <c r="M12" i="12"/>
  <c r="L12" i="12"/>
  <c r="K12" i="12"/>
  <c r="M11" i="12"/>
  <c r="L11" i="12"/>
  <c r="K11" i="12"/>
  <c r="M10" i="12"/>
  <c r="L10" i="12"/>
  <c r="K10" i="12"/>
  <c r="M9" i="12"/>
  <c r="L9" i="12"/>
  <c r="K9" i="12"/>
  <c r="M8" i="12"/>
  <c r="L8" i="12"/>
  <c r="K8" i="12"/>
  <c r="M7" i="12"/>
  <c r="L7" i="12"/>
  <c r="K7" i="12"/>
  <c r="M6" i="12"/>
  <c r="L6" i="12"/>
  <c r="K6" i="12"/>
  <c r="M5" i="12"/>
  <c r="L5" i="12"/>
  <c r="K5" i="12"/>
  <c r="M4" i="12"/>
  <c r="L4" i="12"/>
  <c r="K4" i="12"/>
  <c r="M3" i="12"/>
  <c r="L3" i="12"/>
  <c r="K3" i="12"/>
  <c r="M2" i="12"/>
  <c r="K7" i="16" l="1"/>
  <c r="L7" i="16"/>
  <c r="P7" i="11"/>
  <c r="P18" i="11" s="1"/>
  <c r="S17" i="11"/>
  <c r="S14" i="11"/>
  <c r="S5" i="11"/>
  <c r="Q19" i="13"/>
  <c r="Q18" i="13"/>
  <c r="Q17" i="13"/>
  <c r="Q16" i="13"/>
  <c r="Q15" i="13"/>
  <c r="AN20" i="1"/>
  <c r="AM20" i="1"/>
  <c r="AL20" i="1"/>
  <c r="AK20" i="1"/>
  <c r="AJ20" i="1"/>
  <c r="AI20" i="1"/>
  <c r="AH20" i="1"/>
  <c r="AG20" i="1"/>
  <c r="AF20" i="1"/>
  <c r="AN19" i="1"/>
  <c r="AM19" i="1"/>
  <c r="AL19" i="1"/>
  <c r="AK19" i="1"/>
  <c r="AJ19" i="1"/>
  <c r="AI19" i="1"/>
  <c r="E2" i="13"/>
  <c r="X18" i="1" l="1"/>
  <c r="C5" i="16" s="1"/>
  <c r="Q10" i="13"/>
  <c r="Q12" i="13"/>
  <c r="Q13" i="13"/>
  <c r="J5" i="16" l="1"/>
  <c r="D5" i="16"/>
  <c r="Q9" i="13"/>
  <c r="Q11" i="13"/>
  <c r="L5" i="16" l="1"/>
  <c r="K5" i="16"/>
  <c r="AF82" i="1"/>
  <c r="Z2" i="3"/>
  <c r="Z8" i="3"/>
  <c r="Z11" i="3" s="1"/>
  <c r="Z68" i="3" s="1"/>
  <c r="AE52" i="1" l="1"/>
  <c r="AE45" i="1"/>
  <c r="AE39" i="1"/>
  <c r="AE32" i="1"/>
  <c r="O23" i="1"/>
  <c r="M22" i="1"/>
  <c r="M20" i="1"/>
  <c r="M101" i="1"/>
  <c r="M9" i="1"/>
  <c r="AE26" i="1" l="1"/>
  <c r="DW52" i="1"/>
  <c r="DW45" i="1"/>
  <c r="DW39" i="1"/>
  <c r="DW32" i="1"/>
  <c r="FQ101" i="1"/>
  <c r="FQ100" i="1"/>
  <c r="FQ99" i="1"/>
  <c r="FQ98" i="1"/>
  <c r="FQ97" i="1"/>
  <c r="FQ96" i="1"/>
  <c r="FQ95" i="1"/>
  <c r="FQ94" i="1"/>
  <c r="FQ93" i="1"/>
  <c r="FQ92" i="1"/>
  <c r="FQ91" i="1"/>
  <c r="FQ88" i="1"/>
  <c r="FQ87" i="1"/>
  <c r="FQ86" i="1"/>
  <c r="FQ85" i="1"/>
  <c r="FQ84" i="1"/>
  <c r="FQ83" i="1"/>
  <c r="FQ82" i="1"/>
  <c r="FQ81" i="1"/>
  <c r="FQ80" i="1"/>
  <c r="FQ79" i="1"/>
  <c r="FQ78" i="1"/>
  <c r="FQ77" i="1"/>
  <c r="FQ76" i="1"/>
  <c r="FQ75" i="1"/>
  <c r="FQ74" i="1"/>
  <c r="FQ73" i="1"/>
  <c r="FQ72" i="1"/>
  <c r="FQ71" i="1"/>
  <c r="FQ70" i="1"/>
  <c r="FQ69" i="1"/>
  <c r="FQ68" i="1"/>
  <c r="FQ67" i="1"/>
  <c r="FQ66" i="1"/>
  <c r="FQ65" i="1"/>
  <c r="FQ50" i="1"/>
  <c r="FQ56" i="1"/>
  <c r="FQ55" i="1"/>
  <c r="FQ54" i="1"/>
  <c r="FQ53" i="1"/>
  <c r="FQ52" i="1"/>
  <c r="FQ51" i="1"/>
  <c r="FQ49" i="1"/>
  <c r="FQ48" i="1"/>
  <c r="FQ47" i="1"/>
  <c r="FQ46" i="1"/>
  <c r="FQ45" i="1"/>
  <c r="FQ44" i="1"/>
  <c r="FQ43" i="1"/>
  <c r="FQ42" i="1"/>
  <c r="FQ41" i="1"/>
  <c r="FQ40" i="1"/>
  <c r="FQ39" i="1"/>
  <c r="FQ38" i="1"/>
  <c r="FQ37" i="1"/>
  <c r="FQ36" i="1"/>
  <c r="FQ35" i="1"/>
  <c r="FQ34" i="1"/>
  <c r="FQ33" i="1"/>
  <c r="FQ32" i="1"/>
  <c r="FQ30" i="1"/>
  <c r="FQ28" i="1"/>
  <c r="FQ27" i="1"/>
  <c r="FQ26" i="1"/>
  <c r="FQ25" i="1"/>
  <c r="FQ24" i="1"/>
  <c r="FQ23" i="1"/>
  <c r="FQ22" i="1"/>
  <c r="FQ21" i="1"/>
  <c r="FQ20" i="1"/>
  <c r="FQ19" i="1"/>
  <c r="FQ18" i="1"/>
  <c r="FQ17" i="1"/>
  <c r="FQ16" i="1"/>
  <c r="FQ15" i="1"/>
  <c r="FQ14" i="1"/>
  <c r="FQ11" i="1"/>
  <c r="FQ9" i="1"/>
  <c r="FQ8" i="1"/>
  <c r="FQ7" i="1"/>
  <c r="FQ6" i="1"/>
  <c r="FQ5" i="1"/>
  <c r="FQ4" i="1"/>
  <c r="FP67" i="1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DT23" i="1"/>
  <c r="ES23" i="1" s="1"/>
  <c r="DT21" i="1"/>
  <c r="ES21" i="1" s="1"/>
  <c r="FO21" i="1"/>
  <c r="EH101" i="1"/>
  <c r="EG101" i="1"/>
  <c r="EF101" i="1"/>
  <c r="EE101" i="1"/>
  <c r="ED101" i="1"/>
  <c r="EC101" i="1"/>
  <c r="EB101" i="1"/>
  <c r="EA101" i="1"/>
  <c r="DZ101" i="1"/>
  <c r="DY101" i="1"/>
  <c r="DX101" i="1"/>
  <c r="DT96" i="1"/>
  <c r="DY87" i="1"/>
  <c r="DX87" i="1"/>
  <c r="DT7" i="1"/>
  <c r="DT6" i="1"/>
  <c r="BR22" i="1"/>
  <c r="R290" i="5" l="1"/>
  <c r="R289" i="5"/>
  <c r="R288" i="5"/>
  <c r="R287" i="5"/>
  <c r="R286" i="5"/>
  <c r="R285" i="5"/>
  <c r="Q255" i="5"/>
  <c r="Q254" i="5"/>
  <c r="Q253" i="5"/>
  <c r="Q252" i="5"/>
  <c r="Q251" i="5"/>
  <c r="Q250" i="5"/>
  <c r="Q249" i="5"/>
  <c r="Q248" i="5"/>
  <c r="Q247" i="5"/>
  <c r="Q246" i="5"/>
  <c r="Q245" i="5"/>
  <c r="Q244" i="5"/>
  <c r="Q243" i="5"/>
  <c r="Q242" i="5"/>
  <c r="Q241" i="5"/>
  <c r="Q240" i="5"/>
  <c r="Q239" i="5"/>
  <c r="Q238" i="5"/>
  <c r="Q237" i="5"/>
  <c r="Q236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V8" i="3" l="1"/>
  <c r="Q3" i="13" l="1"/>
  <c r="Q6" i="13"/>
  <c r="Q7" i="13"/>
  <c r="Q4" i="13" l="1"/>
  <c r="Q5" i="13" l="1"/>
  <c r="Q8" i="1" l="1"/>
  <c r="BX28" i="1" l="1"/>
  <c r="FO6" i="1" l="1"/>
  <c r="FP101" i="1" l="1"/>
  <c r="FO101" i="1"/>
  <c r="FP100" i="1"/>
  <c r="FO100" i="1"/>
  <c r="FP99" i="1"/>
  <c r="FO99" i="1"/>
  <c r="FP98" i="1"/>
  <c r="FO98" i="1"/>
  <c r="FP97" i="1"/>
  <c r="FP96" i="1"/>
  <c r="FO96" i="1"/>
  <c r="FP95" i="1"/>
  <c r="FO95" i="1"/>
  <c r="FP94" i="1"/>
  <c r="FO94" i="1"/>
  <c r="FP93" i="1"/>
  <c r="FO93" i="1"/>
  <c r="FP92" i="1"/>
  <c r="FO92" i="1"/>
  <c r="FP91" i="1"/>
  <c r="FO91" i="1"/>
  <c r="FP88" i="1"/>
  <c r="FO88" i="1"/>
  <c r="FP87" i="1"/>
  <c r="FO87" i="1"/>
  <c r="FP86" i="1"/>
  <c r="FO86" i="1"/>
  <c r="FP85" i="1"/>
  <c r="FO85" i="1"/>
  <c r="FP84" i="1"/>
  <c r="FO84" i="1"/>
  <c r="FP83" i="1"/>
  <c r="FO83" i="1"/>
  <c r="FP82" i="1"/>
  <c r="FO82" i="1"/>
  <c r="FP81" i="1"/>
  <c r="FO81" i="1"/>
  <c r="FP80" i="1"/>
  <c r="FO80" i="1"/>
  <c r="FP79" i="1"/>
  <c r="FO79" i="1"/>
  <c r="FP78" i="1"/>
  <c r="FO78" i="1"/>
  <c r="FP77" i="1"/>
  <c r="FO77" i="1"/>
  <c r="FP76" i="1"/>
  <c r="FO76" i="1"/>
  <c r="FP75" i="1"/>
  <c r="FO75" i="1"/>
  <c r="FP74" i="1"/>
  <c r="FO74" i="1"/>
  <c r="FP73" i="1"/>
  <c r="FO73" i="1"/>
  <c r="FP72" i="1"/>
  <c r="FO72" i="1"/>
  <c r="FP71" i="1"/>
  <c r="FO71" i="1"/>
  <c r="FP70" i="1"/>
  <c r="FO70" i="1"/>
  <c r="FP69" i="1"/>
  <c r="FO69" i="1"/>
  <c r="FP68" i="1"/>
  <c r="FO68" i="1"/>
  <c r="FO67" i="1"/>
  <c r="FP66" i="1"/>
  <c r="FO66" i="1"/>
  <c r="FP65" i="1"/>
  <c r="FO65" i="1"/>
  <c r="FP50" i="1"/>
  <c r="FO50" i="1"/>
  <c r="L50" i="1" s="1"/>
  <c r="O50" i="1" s="1"/>
  <c r="FP56" i="1"/>
  <c r="FO56" i="1"/>
  <c r="FP55" i="1"/>
  <c r="FO55" i="1"/>
  <c r="FP54" i="1"/>
  <c r="FO54" i="1"/>
  <c r="FP53" i="1"/>
  <c r="FO53" i="1"/>
  <c r="FP52" i="1"/>
  <c r="FO52" i="1"/>
  <c r="FP51" i="1"/>
  <c r="FO51" i="1"/>
  <c r="FP49" i="1"/>
  <c r="FO49" i="1"/>
  <c r="FP48" i="1"/>
  <c r="FO48" i="1"/>
  <c r="FP47" i="1"/>
  <c r="FO47" i="1"/>
  <c r="FP46" i="1"/>
  <c r="FO46" i="1"/>
  <c r="FP45" i="1"/>
  <c r="FO45" i="1"/>
  <c r="FP44" i="1"/>
  <c r="FO44" i="1"/>
  <c r="FP43" i="1"/>
  <c r="FO43" i="1"/>
  <c r="FP42" i="1"/>
  <c r="FO42" i="1"/>
  <c r="FP41" i="1"/>
  <c r="FO41" i="1"/>
  <c r="FP40" i="1"/>
  <c r="FO40" i="1"/>
  <c r="FP39" i="1"/>
  <c r="FO39" i="1"/>
  <c r="FP38" i="1"/>
  <c r="FO38" i="1"/>
  <c r="FP37" i="1"/>
  <c r="FO37" i="1"/>
  <c r="FP36" i="1"/>
  <c r="FO36" i="1"/>
  <c r="FP35" i="1"/>
  <c r="FO35" i="1"/>
  <c r="FP34" i="1"/>
  <c r="FO34" i="1"/>
  <c r="FP33" i="1"/>
  <c r="FO33" i="1"/>
  <c r="FP32" i="1"/>
  <c r="FO32" i="1"/>
  <c r="FP30" i="1"/>
  <c r="FO30" i="1"/>
  <c r="FP28" i="1"/>
  <c r="FO28" i="1"/>
  <c r="FP27" i="1"/>
  <c r="FO27" i="1"/>
  <c r="FP26" i="1"/>
  <c r="FO26" i="1"/>
  <c r="FP25" i="1"/>
  <c r="FO25" i="1"/>
  <c r="FP24" i="1"/>
  <c r="FO24" i="1"/>
  <c r="FP22" i="1"/>
  <c r="FO22" i="1"/>
  <c r="FP20" i="1"/>
  <c r="FO20" i="1"/>
  <c r="FP19" i="1"/>
  <c r="FO19" i="1"/>
  <c r="FP18" i="1"/>
  <c r="FO18" i="1"/>
  <c r="FP17" i="1"/>
  <c r="FO17" i="1"/>
  <c r="FP16" i="1"/>
  <c r="FO16" i="1"/>
  <c r="FP15" i="1"/>
  <c r="FO15" i="1"/>
  <c r="FP14" i="1"/>
  <c r="FO14" i="1"/>
  <c r="FP11" i="1"/>
  <c r="FO11" i="1"/>
  <c r="FP9" i="1"/>
  <c r="FO9" i="1"/>
  <c r="FP8" i="1"/>
  <c r="FO8" i="1"/>
  <c r="FP7" i="1"/>
  <c r="FO7" i="1"/>
  <c r="FP6" i="1"/>
  <c r="FP5" i="1"/>
  <c r="FO5" i="1"/>
  <c r="FP4" i="1"/>
  <c r="FO4" i="1"/>
  <c r="Z21" i="6"/>
  <c r="Z20" i="6"/>
  <c r="Z19" i="6"/>
  <c r="Z18" i="6"/>
  <c r="Z17" i="6"/>
  <c r="Z16" i="6"/>
  <c r="Z15" i="6"/>
  <c r="Z14" i="6"/>
  <c r="Z13" i="6"/>
  <c r="Z12" i="6"/>
  <c r="Z11" i="6"/>
  <c r="Z10" i="6"/>
  <c r="Z9" i="6"/>
  <c r="Z8" i="6"/>
  <c r="Z7" i="6"/>
  <c r="Z6" i="6"/>
  <c r="Z5" i="6"/>
  <c r="Z4" i="6"/>
  <c r="L53" i="1" l="1"/>
  <c r="L49" i="1"/>
  <c r="L74" i="1"/>
  <c r="L48" i="1"/>
  <c r="L73" i="1"/>
  <c r="L47" i="1"/>
  <c r="L72" i="1"/>
  <c r="L46" i="1"/>
  <c r="L68" i="1"/>
  <c r="L67" i="1"/>
  <c r="L41" i="1"/>
  <c r="L66" i="1"/>
  <c r="L40" i="1"/>
  <c r="L71" i="1"/>
  <c r="L44" i="1"/>
  <c r="L69" i="1"/>
  <c r="L43" i="1"/>
  <c r="L42" i="1"/>
  <c r="L52" i="1" l="1"/>
  <c r="L18" i="1"/>
  <c r="L70" i="1"/>
  <c r="L65" i="1"/>
  <c r="L39" i="1"/>
  <c r="L32" i="1"/>
  <c r="L45" i="1"/>
  <c r="L55" i="1"/>
  <c r="L76" i="1"/>
  <c r="BR95" i="1"/>
  <c r="DS96" i="1" l="1"/>
  <c r="DS95" i="1"/>
  <c r="DS7" i="1"/>
  <c r="DS6" i="1"/>
  <c r="R284" i="5"/>
  <c r="X8" i="1" l="1"/>
  <c r="P32" i="1"/>
  <c r="P27" i="1"/>
  <c r="P82" i="1"/>
  <c r="P76" i="1"/>
  <c r="P4" i="1" l="1"/>
  <c r="P18" i="1" l="1"/>
  <c r="R70" i="1"/>
  <c r="AN70" i="1"/>
  <c r="AM70" i="1"/>
  <c r="AL70" i="1"/>
  <c r="AK70" i="1"/>
  <c r="AJ70" i="1"/>
  <c r="AI70" i="1"/>
  <c r="AH70" i="1"/>
  <c r="AN65" i="1"/>
  <c r="AM65" i="1"/>
  <c r="AL65" i="1"/>
  <c r="AK65" i="1"/>
  <c r="AJ65" i="1"/>
  <c r="AI65" i="1"/>
  <c r="AH65" i="1"/>
  <c r="AN52" i="1"/>
  <c r="AM52" i="1"/>
  <c r="AL52" i="1"/>
  <c r="AK52" i="1"/>
  <c r="AJ52" i="1"/>
  <c r="AI52" i="1"/>
  <c r="AH52" i="1"/>
  <c r="AN45" i="1"/>
  <c r="AM45" i="1"/>
  <c r="AL45" i="1"/>
  <c r="AK45" i="1"/>
  <c r="AJ45" i="1"/>
  <c r="AI45" i="1"/>
  <c r="AH45" i="1"/>
  <c r="AN39" i="1"/>
  <c r="AM39" i="1"/>
  <c r="AL39" i="1"/>
  <c r="AK39" i="1"/>
  <c r="AJ39" i="1"/>
  <c r="AI39" i="1"/>
  <c r="AH39" i="1"/>
  <c r="AN32" i="1"/>
  <c r="AM32" i="1"/>
  <c r="AL32" i="1"/>
  <c r="AK32" i="1"/>
  <c r="AJ32" i="1"/>
  <c r="AI32" i="1"/>
  <c r="AH32" i="1"/>
  <c r="AN27" i="1"/>
  <c r="AM27" i="1"/>
  <c r="AL27" i="1"/>
  <c r="AK27" i="1"/>
  <c r="AJ27" i="1"/>
  <c r="AI27" i="1"/>
  <c r="AH27" i="1"/>
  <c r="Y8" i="3" l="1"/>
  <c r="Y11" i="3" s="1"/>
  <c r="Y68" i="3" s="1"/>
  <c r="W8" i="3"/>
  <c r="W11" i="3" s="1"/>
  <c r="W68" i="3" s="1"/>
  <c r="U8" i="3"/>
  <c r="S8" i="3"/>
  <c r="O8" i="3"/>
  <c r="X8" i="3"/>
  <c r="V11" i="3"/>
  <c r="V68" i="3" s="1"/>
  <c r="T8" i="3"/>
  <c r="R8" i="3"/>
  <c r="Q8" i="3"/>
  <c r="X11" i="3"/>
  <c r="X68" i="3" s="1"/>
  <c r="Y2" i="3"/>
  <c r="X2" i="3"/>
  <c r="W2" i="3"/>
  <c r="V2" i="3"/>
  <c r="CE16" i="1"/>
  <c r="CH16" i="1" s="1"/>
  <c r="CK16" i="1" s="1"/>
  <c r="CN16" i="1" s="1"/>
  <c r="CQ16" i="1" s="1"/>
  <c r="CT16" i="1" s="1"/>
  <c r="CW16" i="1" s="1"/>
  <c r="CZ16" i="1" s="1"/>
  <c r="DC16" i="1" s="1"/>
  <c r="DF16" i="1" s="1"/>
  <c r="DI16" i="1" s="1"/>
  <c r="CD16" i="1"/>
  <c r="BZ16" i="1"/>
  <c r="CC16" i="1" s="1"/>
  <c r="CF16" i="1" s="1"/>
  <c r="CI16" i="1" s="1"/>
  <c r="CL16" i="1" s="1"/>
  <c r="CO16" i="1" s="1"/>
  <c r="CR16" i="1" s="1"/>
  <c r="CU16" i="1" s="1"/>
  <c r="CX16" i="1" s="1"/>
  <c r="DA16" i="1" s="1"/>
  <c r="DD16" i="1" s="1"/>
  <c r="DG16" i="1" s="1"/>
  <c r="CB15" i="1"/>
  <c r="CE15" i="1" s="1"/>
  <c r="CH15" i="1" s="1"/>
  <c r="CK15" i="1" s="1"/>
  <c r="CN15" i="1" s="1"/>
  <c r="CQ15" i="1" s="1"/>
  <c r="CT15" i="1" s="1"/>
  <c r="CW15" i="1" s="1"/>
  <c r="CZ15" i="1" s="1"/>
  <c r="DC15" i="1" s="1"/>
  <c r="DF15" i="1" s="1"/>
  <c r="DI15" i="1" s="1"/>
  <c r="CA15" i="1"/>
  <c r="DW15" i="1" s="1"/>
  <c r="BZ15" i="1"/>
  <c r="CC15" i="1" s="1"/>
  <c r="CF15" i="1" s="1"/>
  <c r="CI15" i="1" s="1"/>
  <c r="CL15" i="1" s="1"/>
  <c r="CO15" i="1" s="1"/>
  <c r="CR15" i="1" s="1"/>
  <c r="CU15" i="1" s="1"/>
  <c r="CX15" i="1" s="1"/>
  <c r="DA15" i="1" s="1"/>
  <c r="DD15" i="1" s="1"/>
  <c r="DG15" i="1" s="1"/>
  <c r="CB14" i="1"/>
  <c r="CE14" i="1" s="1"/>
  <c r="CH14" i="1" s="1"/>
  <c r="CK14" i="1" s="1"/>
  <c r="CN14" i="1" s="1"/>
  <c r="CQ14" i="1" s="1"/>
  <c r="CT14" i="1" s="1"/>
  <c r="CW14" i="1" s="1"/>
  <c r="CZ14" i="1" s="1"/>
  <c r="DC14" i="1" s="1"/>
  <c r="DF14" i="1" s="1"/>
  <c r="DI14" i="1" s="1"/>
  <c r="BZ14" i="1"/>
  <c r="CC14" i="1" s="1"/>
  <c r="CF14" i="1" s="1"/>
  <c r="CI14" i="1" s="1"/>
  <c r="CL14" i="1" s="1"/>
  <c r="CO14" i="1" s="1"/>
  <c r="CR14" i="1" s="1"/>
  <c r="CU14" i="1" s="1"/>
  <c r="CX14" i="1" s="1"/>
  <c r="DA14" i="1" s="1"/>
  <c r="DD14" i="1" s="1"/>
  <c r="DG14" i="1" s="1"/>
  <c r="CB11" i="1"/>
  <c r="CE11" i="1" s="1"/>
  <c r="CH11" i="1" s="1"/>
  <c r="CK11" i="1" s="1"/>
  <c r="CN11" i="1" s="1"/>
  <c r="CQ11" i="1" s="1"/>
  <c r="CT11" i="1" s="1"/>
  <c r="CW11" i="1" s="1"/>
  <c r="CZ11" i="1" s="1"/>
  <c r="DC11" i="1" s="1"/>
  <c r="DF11" i="1" s="1"/>
  <c r="DI11" i="1" s="1"/>
  <c r="CA11" i="1"/>
  <c r="DW11" i="1" s="1"/>
  <c r="BZ11" i="1"/>
  <c r="CC11" i="1" s="1"/>
  <c r="CF11" i="1" s="1"/>
  <c r="CI11" i="1" s="1"/>
  <c r="CL11" i="1" s="1"/>
  <c r="CO11" i="1" s="1"/>
  <c r="CR11" i="1" s="1"/>
  <c r="CU11" i="1" s="1"/>
  <c r="CX11" i="1" s="1"/>
  <c r="DA11" i="1" s="1"/>
  <c r="DD11" i="1" s="1"/>
  <c r="DG11" i="1" s="1"/>
  <c r="CB9" i="1"/>
  <c r="CE9" i="1" s="1"/>
  <c r="CH9" i="1" s="1"/>
  <c r="CK9" i="1" s="1"/>
  <c r="CN9" i="1" s="1"/>
  <c r="CQ9" i="1" s="1"/>
  <c r="CT9" i="1" s="1"/>
  <c r="CW9" i="1" s="1"/>
  <c r="CZ9" i="1" s="1"/>
  <c r="DC9" i="1" s="1"/>
  <c r="DF9" i="1" s="1"/>
  <c r="DI9" i="1" s="1"/>
  <c r="CA9" i="1"/>
  <c r="DW9" i="1" s="1"/>
  <c r="BZ9" i="1"/>
  <c r="CC9" i="1" s="1"/>
  <c r="CF9" i="1" s="1"/>
  <c r="CI9" i="1" s="1"/>
  <c r="CL9" i="1" s="1"/>
  <c r="CO9" i="1" s="1"/>
  <c r="CR9" i="1" s="1"/>
  <c r="CU9" i="1" s="1"/>
  <c r="CX9" i="1" s="1"/>
  <c r="DA9" i="1" s="1"/>
  <c r="DD9" i="1" s="1"/>
  <c r="DG9" i="1" s="1"/>
  <c r="CB8" i="1"/>
  <c r="CE8" i="1" s="1"/>
  <c r="CH8" i="1" s="1"/>
  <c r="CK8" i="1" s="1"/>
  <c r="CN8" i="1" s="1"/>
  <c r="CQ8" i="1" s="1"/>
  <c r="CT8" i="1" s="1"/>
  <c r="CW8" i="1" s="1"/>
  <c r="CZ8" i="1" s="1"/>
  <c r="DC8" i="1" s="1"/>
  <c r="DF8" i="1" s="1"/>
  <c r="DI8" i="1" s="1"/>
  <c r="BZ8" i="1"/>
  <c r="CC8" i="1" s="1"/>
  <c r="CF8" i="1" s="1"/>
  <c r="CI8" i="1" s="1"/>
  <c r="CL8" i="1" s="1"/>
  <c r="CO8" i="1" s="1"/>
  <c r="CR8" i="1" s="1"/>
  <c r="CU8" i="1" s="1"/>
  <c r="CX8" i="1" s="1"/>
  <c r="DA8" i="1" s="1"/>
  <c r="DD8" i="1" s="1"/>
  <c r="DG8" i="1" s="1"/>
  <c r="CB7" i="1"/>
  <c r="CE7" i="1" s="1"/>
  <c r="CH7" i="1" s="1"/>
  <c r="CK7" i="1" s="1"/>
  <c r="CN7" i="1" s="1"/>
  <c r="CQ7" i="1" s="1"/>
  <c r="CT7" i="1" s="1"/>
  <c r="CW7" i="1" s="1"/>
  <c r="CZ7" i="1" s="1"/>
  <c r="DC7" i="1" s="1"/>
  <c r="DF7" i="1" s="1"/>
  <c r="DI7" i="1" s="1"/>
  <c r="CA7" i="1"/>
  <c r="DW7" i="1" s="1"/>
  <c r="BZ7" i="1"/>
  <c r="CC7" i="1" s="1"/>
  <c r="CF7" i="1" s="1"/>
  <c r="CI7" i="1" s="1"/>
  <c r="CL7" i="1" s="1"/>
  <c r="CO7" i="1" s="1"/>
  <c r="CR7" i="1" s="1"/>
  <c r="CU7" i="1" s="1"/>
  <c r="CX7" i="1" s="1"/>
  <c r="DA7" i="1" s="1"/>
  <c r="DD7" i="1" s="1"/>
  <c r="DG7" i="1" s="1"/>
  <c r="CB6" i="1"/>
  <c r="CE6" i="1" s="1"/>
  <c r="CH6" i="1" s="1"/>
  <c r="CK6" i="1" s="1"/>
  <c r="CN6" i="1" s="1"/>
  <c r="CQ6" i="1" s="1"/>
  <c r="CT6" i="1" s="1"/>
  <c r="CW6" i="1" s="1"/>
  <c r="CZ6" i="1" s="1"/>
  <c r="DC6" i="1" s="1"/>
  <c r="DF6" i="1" s="1"/>
  <c r="DI6" i="1" s="1"/>
  <c r="CA6" i="1"/>
  <c r="DW6" i="1" s="1"/>
  <c r="BZ6" i="1"/>
  <c r="CB24" i="1"/>
  <c r="CE24" i="1" s="1"/>
  <c r="CH24" i="1" s="1"/>
  <c r="CK24" i="1" s="1"/>
  <c r="CN24" i="1" s="1"/>
  <c r="CQ24" i="1" s="1"/>
  <c r="CT24" i="1" s="1"/>
  <c r="CW24" i="1" s="1"/>
  <c r="CZ24" i="1" s="1"/>
  <c r="BZ24" i="1"/>
  <c r="CC24" i="1" s="1"/>
  <c r="CF24" i="1" s="1"/>
  <c r="CI24" i="1" s="1"/>
  <c r="CL24" i="1" s="1"/>
  <c r="CO24" i="1" s="1"/>
  <c r="CR24" i="1" s="1"/>
  <c r="CU24" i="1" s="1"/>
  <c r="CX24" i="1" s="1"/>
  <c r="DA24" i="1" s="1"/>
  <c r="DD24" i="1" s="1"/>
  <c r="DG24" i="1" s="1"/>
  <c r="CB22" i="1"/>
  <c r="CE22" i="1" s="1"/>
  <c r="CH22" i="1" s="1"/>
  <c r="CK22" i="1" s="1"/>
  <c r="CN22" i="1" s="1"/>
  <c r="CQ22" i="1" s="1"/>
  <c r="CT22" i="1" s="1"/>
  <c r="CW22" i="1" s="1"/>
  <c r="CZ22" i="1" s="1"/>
  <c r="BZ22" i="1"/>
  <c r="CC22" i="1" s="1"/>
  <c r="CF22" i="1" s="1"/>
  <c r="CI22" i="1" s="1"/>
  <c r="CL22" i="1" s="1"/>
  <c r="CO22" i="1" s="1"/>
  <c r="CR22" i="1" s="1"/>
  <c r="CU22" i="1" s="1"/>
  <c r="CX22" i="1" s="1"/>
  <c r="DA22" i="1" s="1"/>
  <c r="DD22" i="1" s="1"/>
  <c r="DG22" i="1" s="1"/>
  <c r="CB20" i="1"/>
  <c r="CE20" i="1" s="1"/>
  <c r="CH20" i="1" s="1"/>
  <c r="CK20" i="1" s="1"/>
  <c r="CN20" i="1" s="1"/>
  <c r="CQ20" i="1" s="1"/>
  <c r="CT20" i="1" s="1"/>
  <c r="CW20" i="1" s="1"/>
  <c r="CZ20" i="1" s="1"/>
  <c r="BZ20" i="1"/>
  <c r="CC20" i="1" s="1"/>
  <c r="CF20" i="1" s="1"/>
  <c r="CI20" i="1" s="1"/>
  <c r="CL20" i="1" s="1"/>
  <c r="CO20" i="1" s="1"/>
  <c r="CR20" i="1" s="1"/>
  <c r="CU20" i="1" s="1"/>
  <c r="CX20" i="1" s="1"/>
  <c r="DA20" i="1" s="1"/>
  <c r="DD20" i="1" s="1"/>
  <c r="DG20" i="1" s="1"/>
  <c r="CB19" i="1"/>
  <c r="CE19" i="1" s="1"/>
  <c r="CH19" i="1" s="1"/>
  <c r="CK19" i="1" s="1"/>
  <c r="CN19" i="1" s="1"/>
  <c r="CQ19" i="1" s="1"/>
  <c r="CT19" i="1" s="1"/>
  <c r="CW19" i="1" s="1"/>
  <c r="CZ19" i="1" s="1"/>
  <c r="CA19" i="1"/>
  <c r="DW19" i="1" s="1"/>
  <c r="BZ19" i="1"/>
  <c r="CC19" i="1" s="1"/>
  <c r="CF19" i="1" s="1"/>
  <c r="CI19" i="1" s="1"/>
  <c r="CL19" i="1" s="1"/>
  <c r="CR19" i="1" s="1"/>
  <c r="CU19" i="1" s="1"/>
  <c r="CX19" i="1" s="1"/>
  <c r="DA19" i="1" s="1"/>
  <c r="DD19" i="1" s="1"/>
  <c r="DG19" i="1" s="1"/>
  <c r="CB74" i="1"/>
  <c r="CE74" i="1" s="1"/>
  <c r="CH74" i="1" s="1"/>
  <c r="CK74" i="1" s="1"/>
  <c r="CN74" i="1" s="1"/>
  <c r="CQ74" i="1" s="1"/>
  <c r="CT74" i="1" s="1"/>
  <c r="CW74" i="1" s="1"/>
  <c r="CZ74" i="1" s="1"/>
  <c r="CA74" i="1"/>
  <c r="DW74" i="1" s="1"/>
  <c r="BZ74" i="1"/>
  <c r="CC74" i="1" s="1"/>
  <c r="CF74" i="1" s="1"/>
  <c r="CI74" i="1" s="1"/>
  <c r="CL74" i="1" s="1"/>
  <c r="CO74" i="1" s="1"/>
  <c r="CR74" i="1" s="1"/>
  <c r="CU74" i="1" s="1"/>
  <c r="CX74" i="1" s="1"/>
  <c r="DA74" i="1" s="1"/>
  <c r="DD74" i="1" s="1"/>
  <c r="DG74" i="1" s="1"/>
  <c r="CB73" i="1"/>
  <c r="CE73" i="1" s="1"/>
  <c r="CH73" i="1" s="1"/>
  <c r="CK73" i="1" s="1"/>
  <c r="CN73" i="1" s="1"/>
  <c r="CQ73" i="1" s="1"/>
  <c r="CT73" i="1" s="1"/>
  <c r="CW73" i="1" s="1"/>
  <c r="CZ73" i="1" s="1"/>
  <c r="CA73" i="1"/>
  <c r="DW73" i="1" s="1"/>
  <c r="BZ73" i="1"/>
  <c r="CC73" i="1" s="1"/>
  <c r="CF73" i="1" s="1"/>
  <c r="CI73" i="1" s="1"/>
  <c r="CL73" i="1" s="1"/>
  <c r="CO73" i="1" s="1"/>
  <c r="CR73" i="1" s="1"/>
  <c r="CU73" i="1" s="1"/>
  <c r="CX73" i="1" s="1"/>
  <c r="DA73" i="1" s="1"/>
  <c r="DD73" i="1" s="1"/>
  <c r="DG73" i="1" s="1"/>
  <c r="CB72" i="1"/>
  <c r="CE72" i="1" s="1"/>
  <c r="CH72" i="1" s="1"/>
  <c r="CK72" i="1" s="1"/>
  <c r="CN72" i="1" s="1"/>
  <c r="CQ72" i="1" s="1"/>
  <c r="CT72" i="1" s="1"/>
  <c r="CW72" i="1" s="1"/>
  <c r="CZ72" i="1" s="1"/>
  <c r="CA72" i="1"/>
  <c r="DW72" i="1" s="1"/>
  <c r="BZ72" i="1"/>
  <c r="CC72" i="1" s="1"/>
  <c r="CF72" i="1" s="1"/>
  <c r="CI72" i="1" s="1"/>
  <c r="CL72" i="1" s="1"/>
  <c r="CO72" i="1" s="1"/>
  <c r="CR72" i="1" s="1"/>
  <c r="CU72" i="1" s="1"/>
  <c r="CX72" i="1" s="1"/>
  <c r="DA72" i="1" s="1"/>
  <c r="DD72" i="1" s="1"/>
  <c r="DG72" i="1" s="1"/>
  <c r="CB71" i="1"/>
  <c r="CA71" i="1"/>
  <c r="DW71" i="1" s="1"/>
  <c r="BZ71" i="1"/>
  <c r="CB69" i="1"/>
  <c r="CE69" i="1" s="1"/>
  <c r="CH69" i="1" s="1"/>
  <c r="CK69" i="1" s="1"/>
  <c r="CN69" i="1" s="1"/>
  <c r="CQ69" i="1" s="1"/>
  <c r="CT69" i="1" s="1"/>
  <c r="CW69" i="1" s="1"/>
  <c r="CZ69" i="1" s="1"/>
  <c r="CC69" i="1"/>
  <c r="CF69" i="1" s="1"/>
  <c r="CI69" i="1" s="1"/>
  <c r="CL69" i="1" s="1"/>
  <c r="CO69" i="1" s="1"/>
  <c r="CR69" i="1" s="1"/>
  <c r="CU69" i="1" s="1"/>
  <c r="CX69" i="1" s="1"/>
  <c r="DA69" i="1" s="1"/>
  <c r="DD69" i="1" s="1"/>
  <c r="DG69" i="1" s="1"/>
  <c r="CB68" i="1"/>
  <c r="CE68" i="1" s="1"/>
  <c r="CH68" i="1" s="1"/>
  <c r="CK68" i="1" s="1"/>
  <c r="CN68" i="1" s="1"/>
  <c r="CQ68" i="1" s="1"/>
  <c r="CT68" i="1" s="1"/>
  <c r="CW68" i="1" s="1"/>
  <c r="CZ68" i="1" s="1"/>
  <c r="DC68" i="1" s="1"/>
  <c r="CC68" i="1"/>
  <c r="CF68" i="1" s="1"/>
  <c r="CI68" i="1" s="1"/>
  <c r="CL68" i="1" s="1"/>
  <c r="CO68" i="1" s="1"/>
  <c r="CR68" i="1" s="1"/>
  <c r="CU68" i="1" s="1"/>
  <c r="CX68" i="1" s="1"/>
  <c r="DA68" i="1" s="1"/>
  <c r="DD68" i="1" s="1"/>
  <c r="DG68" i="1" s="1"/>
  <c r="CB67" i="1"/>
  <c r="CE67" i="1" s="1"/>
  <c r="CH67" i="1" s="1"/>
  <c r="CK67" i="1" s="1"/>
  <c r="CN67" i="1" s="1"/>
  <c r="CQ67" i="1" s="1"/>
  <c r="CT67" i="1" s="1"/>
  <c r="CW67" i="1" s="1"/>
  <c r="CZ67" i="1" s="1"/>
  <c r="CC67" i="1"/>
  <c r="CF67" i="1" s="1"/>
  <c r="CI67" i="1" s="1"/>
  <c r="CL67" i="1" s="1"/>
  <c r="CO67" i="1" s="1"/>
  <c r="CR67" i="1" s="1"/>
  <c r="CU67" i="1" s="1"/>
  <c r="CX67" i="1" s="1"/>
  <c r="DA67" i="1" s="1"/>
  <c r="DD67" i="1" s="1"/>
  <c r="DG67" i="1" s="1"/>
  <c r="CB66" i="1"/>
  <c r="CE50" i="1"/>
  <c r="CH50" i="1" s="1"/>
  <c r="CK50" i="1" s="1"/>
  <c r="CN50" i="1" s="1"/>
  <c r="CQ50" i="1" s="1"/>
  <c r="CT50" i="1" s="1"/>
  <c r="CW50" i="1" s="1"/>
  <c r="CZ50" i="1" s="1"/>
  <c r="CC50" i="1"/>
  <c r="CF50" i="1" s="1"/>
  <c r="CI50" i="1" s="1"/>
  <c r="CL50" i="1" s="1"/>
  <c r="CO50" i="1" s="1"/>
  <c r="CR50" i="1" s="1"/>
  <c r="CU50" i="1" s="1"/>
  <c r="CX50" i="1" s="1"/>
  <c r="DA50" i="1" s="1"/>
  <c r="DD50" i="1" s="1"/>
  <c r="DG50" i="1" s="1"/>
  <c r="CB56" i="1"/>
  <c r="CE56" i="1" s="1"/>
  <c r="CH56" i="1" s="1"/>
  <c r="CK56" i="1" s="1"/>
  <c r="CB54" i="1"/>
  <c r="CE54" i="1" s="1"/>
  <c r="CH54" i="1" s="1"/>
  <c r="CK54" i="1" s="1"/>
  <c r="CN54" i="1" s="1"/>
  <c r="CQ54" i="1" s="1"/>
  <c r="CT54" i="1" s="1"/>
  <c r="CW54" i="1" s="1"/>
  <c r="CZ54" i="1" s="1"/>
  <c r="CC54" i="1"/>
  <c r="CF54" i="1" s="1"/>
  <c r="CI54" i="1" s="1"/>
  <c r="CL54" i="1" s="1"/>
  <c r="CO54" i="1" s="1"/>
  <c r="CR54" i="1" s="1"/>
  <c r="CU54" i="1" s="1"/>
  <c r="CX54" i="1" s="1"/>
  <c r="DA54" i="1" s="1"/>
  <c r="DD54" i="1" s="1"/>
  <c r="DG54" i="1" s="1"/>
  <c r="CB53" i="1"/>
  <c r="CE53" i="1" s="1"/>
  <c r="CH53" i="1" s="1"/>
  <c r="CK53" i="1" s="1"/>
  <c r="CC53" i="1"/>
  <c r="CF53" i="1" s="1"/>
  <c r="CI53" i="1" s="1"/>
  <c r="CB51" i="1"/>
  <c r="CE51" i="1" s="1"/>
  <c r="CH51" i="1" s="1"/>
  <c r="CK51" i="1" s="1"/>
  <c r="CN51" i="1" s="1"/>
  <c r="CQ51" i="1" s="1"/>
  <c r="CT51" i="1" s="1"/>
  <c r="CW51" i="1" s="1"/>
  <c r="CZ51" i="1" s="1"/>
  <c r="CC51" i="1"/>
  <c r="CF51" i="1" s="1"/>
  <c r="CI51" i="1" s="1"/>
  <c r="CL51" i="1" s="1"/>
  <c r="CO51" i="1" s="1"/>
  <c r="CR51" i="1" s="1"/>
  <c r="CU51" i="1" s="1"/>
  <c r="CX51" i="1" s="1"/>
  <c r="DA51" i="1" s="1"/>
  <c r="DD51" i="1" s="1"/>
  <c r="DG51" i="1" s="1"/>
  <c r="CB49" i="1"/>
  <c r="CE49" i="1" s="1"/>
  <c r="CH49" i="1" s="1"/>
  <c r="CK49" i="1" s="1"/>
  <c r="CN49" i="1" s="1"/>
  <c r="CQ49" i="1" s="1"/>
  <c r="CT49" i="1" s="1"/>
  <c r="CW49" i="1" s="1"/>
  <c r="CZ49" i="1" s="1"/>
  <c r="CC49" i="1"/>
  <c r="CF49" i="1" s="1"/>
  <c r="CI49" i="1" s="1"/>
  <c r="CL49" i="1" s="1"/>
  <c r="CO49" i="1" s="1"/>
  <c r="CR49" i="1" s="1"/>
  <c r="CU49" i="1" s="1"/>
  <c r="CX49" i="1" s="1"/>
  <c r="DA49" i="1" s="1"/>
  <c r="DD49" i="1" s="1"/>
  <c r="DG49" i="1" s="1"/>
  <c r="CB48" i="1"/>
  <c r="CE48" i="1" s="1"/>
  <c r="CH48" i="1" s="1"/>
  <c r="CK48" i="1" s="1"/>
  <c r="CN48" i="1" s="1"/>
  <c r="CQ48" i="1" s="1"/>
  <c r="CT48" i="1" s="1"/>
  <c r="CW48" i="1" s="1"/>
  <c r="CZ48" i="1" s="1"/>
  <c r="CC48" i="1"/>
  <c r="CF48" i="1" s="1"/>
  <c r="CI48" i="1" s="1"/>
  <c r="CL48" i="1" s="1"/>
  <c r="CO48" i="1" s="1"/>
  <c r="CR48" i="1" s="1"/>
  <c r="CU48" i="1" s="1"/>
  <c r="CX48" i="1" s="1"/>
  <c r="DA48" i="1" s="1"/>
  <c r="DD48" i="1" s="1"/>
  <c r="DG48" i="1" s="1"/>
  <c r="CB47" i="1"/>
  <c r="CE47" i="1" s="1"/>
  <c r="CH47" i="1" s="1"/>
  <c r="CK47" i="1" s="1"/>
  <c r="CN47" i="1" s="1"/>
  <c r="CQ47" i="1" s="1"/>
  <c r="CT47" i="1" s="1"/>
  <c r="CW47" i="1" s="1"/>
  <c r="CZ47" i="1" s="1"/>
  <c r="DC47" i="1" s="1"/>
  <c r="CC47" i="1"/>
  <c r="CF47" i="1" s="1"/>
  <c r="CI47" i="1" s="1"/>
  <c r="CL47" i="1" s="1"/>
  <c r="CO47" i="1" s="1"/>
  <c r="CR47" i="1" s="1"/>
  <c r="CU47" i="1" s="1"/>
  <c r="CX47" i="1" s="1"/>
  <c r="DA47" i="1" s="1"/>
  <c r="DD47" i="1" s="1"/>
  <c r="DG47" i="1" s="1"/>
  <c r="CB46" i="1"/>
  <c r="CE46" i="1" s="1"/>
  <c r="CH46" i="1" s="1"/>
  <c r="CK46" i="1" s="1"/>
  <c r="CC46" i="1"/>
  <c r="CF46" i="1" s="1"/>
  <c r="CI46" i="1" s="1"/>
  <c r="CB44" i="1"/>
  <c r="CE44" i="1" s="1"/>
  <c r="CH44" i="1" s="1"/>
  <c r="CK44" i="1" s="1"/>
  <c r="CN44" i="1" s="1"/>
  <c r="CQ44" i="1" s="1"/>
  <c r="CT44" i="1" s="1"/>
  <c r="CW44" i="1" s="1"/>
  <c r="CZ44" i="1" s="1"/>
  <c r="CC44" i="1"/>
  <c r="CF44" i="1" s="1"/>
  <c r="CI44" i="1" s="1"/>
  <c r="CL44" i="1" s="1"/>
  <c r="CO44" i="1" s="1"/>
  <c r="CR44" i="1" s="1"/>
  <c r="CU44" i="1" s="1"/>
  <c r="CX44" i="1" s="1"/>
  <c r="DA44" i="1" s="1"/>
  <c r="DD44" i="1" s="1"/>
  <c r="DG44" i="1" s="1"/>
  <c r="CB43" i="1"/>
  <c r="CE43" i="1" s="1"/>
  <c r="CH43" i="1" s="1"/>
  <c r="CK43" i="1" s="1"/>
  <c r="CN43" i="1" s="1"/>
  <c r="CQ43" i="1" s="1"/>
  <c r="CT43" i="1" s="1"/>
  <c r="CW43" i="1" s="1"/>
  <c r="CZ43" i="1" s="1"/>
  <c r="CC43" i="1"/>
  <c r="CF43" i="1" s="1"/>
  <c r="CI43" i="1" s="1"/>
  <c r="CL43" i="1" s="1"/>
  <c r="CO43" i="1" s="1"/>
  <c r="CR43" i="1" s="1"/>
  <c r="CU43" i="1" s="1"/>
  <c r="CX43" i="1" s="1"/>
  <c r="DA43" i="1" s="1"/>
  <c r="DD43" i="1" s="1"/>
  <c r="DG43" i="1" s="1"/>
  <c r="CB42" i="1"/>
  <c r="CE42" i="1" s="1"/>
  <c r="CH42" i="1" s="1"/>
  <c r="CK42" i="1" s="1"/>
  <c r="CN42" i="1" s="1"/>
  <c r="CQ42" i="1" s="1"/>
  <c r="CT42" i="1" s="1"/>
  <c r="CW42" i="1" s="1"/>
  <c r="CZ42" i="1" s="1"/>
  <c r="CC42" i="1"/>
  <c r="CF42" i="1" s="1"/>
  <c r="CI42" i="1" s="1"/>
  <c r="CL42" i="1" s="1"/>
  <c r="CO42" i="1" s="1"/>
  <c r="CR42" i="1" s="1"/>
  <c r="CU42" i="1" s="1"/>
  <c r="CX42" i="1" s="1"/>
  <c r="DA42" i="1" s="1"/>
  <c r="DD42" i="1" s="1"/>
  <c r="DG42" i="1" s="1"/>
  <c r="CB41" i="1"/>
  <c r="CE41" i="1" s="1"/>
  <c r="CH41" i="1" s="1"/>
  <c r="CK41" i="1" s="1"/>
  <c r="CN41" i="1" s="1"/>
  <c r="CQ41" i="1" s="1"/>
  <c r="CT41" i="1" s="1"/>
  <c r="CW41" i="1" s="1"/>
  <c r="CZ41" i="1" s="1"/>
  <c r="CC41" i="1"/>
  <c r="CF41" i="1" s="1"/>
  <c r="CI41" i="1" s="1"/>
  <c r="CL41" i="1" s="1"/>
  <c r="CO41" i="1" s="1"/>
  <c r="CR41" i="1" s="1"/>
  <c r="CU41" i="1" s="1"/>
  <c r="CX41" i="1" s="1"/>
  <c r="DA41" i="1" s="1"/>
  <c r="DD41" i="1" s="1"/>
  <c r="DG41" i="1" s="1"/>
  <c r="CB40" i="1"/>
  <c r="CB38" i="1"/>
  <c r="CE38" i="1" s="1"/>
  <c r="CH38" i="1" s="1"/>
  <c r="CK38" i="1" s="1"/>
  <c r="CN38" i="1" s="1"/>
  <c r="CQ38" i="1" s="1"/>
  <c r="CT38" i="1" s="1"/>
  <c r="CW38" i="1" s="1"/>
  <c r="CZ38" i="1" s="1"/>
  <c r="DC38" i="1" s="1"/>
  <c r="BZ38" i="1"/>
  <c r="CC38" i="1" s="1"/>
  <c r="CF38" i="1" s="1"/>
  <c r="CI38" i="1" s="1"/>
  <c r="CL38" i="1" s="1"/>
  <c r="CO38" i="1" s="1"/>
  <c r="CR38" i="1" s="1"/>
  <c r="CU38" i="1" s="1"/>
  <c r="CX38" i="1" s="1"/>
  <c r="DA38" i="1" s="1"/>
  <c r="DD38" i="1" s="1"/>
  <c r="DG38" i="1" s="1"/>
  <c r="CB37" i="1"/>
  <c r="CE37" i="1" s="1"/>
  <c r="CH37" i="1" s="1"/>
  <c r="CK37" i="1" s="1"/>
  <c r="CN37" i="1" s="1"/>
  <c r="CQ37" i="1" s="1"/>
  <c r="CT37" i="1" s="1"/>
  <c r="CW37" i="1" s="1"/>
  <c r="CZ37" i="1" s="1"/>
  <c r="BZ37" i="1"/>
  <c r="CC37" i="1" s="1"/>
  <c r="CF37" i="1" s="1"/>
  <c r="CI37" i="1" s="1"/>
  <c r="CL37" i="1" s="1"/>
  <c r="CO37" i="1" s="1"/>
  <c r="CR37" i="1" s="1"/>
  <c r="CU37" i="1" s="1"/>
  <c r="CX37" i="1" s="1"/>
  <c r="DA37" i="1" s="1"/>
  <c r="DD37" i="1" s="1"/>
  <c r="DG37" i="1" s="1"/>
  <c r="CB36" i="1"/>
  <c r="CE36" i="1" s="1"/>
  <c r="CH36" i="1" s="1"/>
  <c r="CK36" i="1" s="1"/>
  <c r="CN36" i="1" s="1"/>
  <c r="CQ36" i="1" s="1"/>
  <c r="CT36" i="1" s="1"/>
  <c r="CW36" i="1" s="1"/>
  <c r="CZ36" i="1" s="1"/>
  <c r="BZ36" i="1"/>
  <c r="CC36" i="1" s="1"/>
  <c r="CF36" i="1" s="1"/>
  <c r="CI36" i="1" s="1"/>
  <c r="CL36" i="1" s="1"/>
  <c r="CO36" i="1" s="1"/>
  <c r="CR36" i="1" s="1"/>
  <c r="CU36" i="1" s="1"/>
  <c r="CX36" i="1" s="1"/>
  <c r="DA36" i="1" s="1"/>
  <c r="DD36" i="1" s="1"/>
  <c r="DG36" i="1" s="1"/>
  <c r="CB35" i="1"/>
  <c r="CE35" i="1" s="1"/>
  <c r="CH35" i="1" s="1"/>
  <c r="CK35" i="1" s="1"/>
  <c r="CN35" i="1" s="1"/>
  <c r="CQ35" i="1" s="1"/>
  <c r="CT35" i="1" s="1"/>
  <c r="CW35" i="1" s="1"/>
  <c r="CZ35" i="1" s="1"/>
  <c r="DC35" i="1" s="1"/>
  <c r="BZ35" i="1"/>
  <c r="CC35" i="1" s="1"/>
  <c r="CF35" i="1" s="1"/>
  <c r="CI35" i="1" s="1"/>
  <c r="CL35" i="1" s="1"/>
  <c r="CO35" i="1" s="1"/>
  <c r="CR35" i="1" s="1"/>
  <c r="CU35" i="1" s="1"/>
  <c r="CX35" i="1" s="1"/>
  <c r="DA35" i="1" s="1"/>
  <c r="DD35" i="1" s="1"/>
  <c r="DG35" i="1" s="1"/>
  <c r="CB34" i="1"/>
  <c r="CE34" i="1" s="1"/>
  <c r="CH34" i="1" s="1"/>
  <c r="CK34" i="1" s="1"/>
  <c r="CN34" i="1" s="1"/>
  <c r="CQ34" i="1" s="1"/>
  <c r="CT34" i="1" s="1"/>
  <c r="CW34" i="1" s="1"/>
  <c r="CZ34" i="1" s="1"/>
  <c r="DC34" i="1" s="1"/>
  <c r="BZ34" i="1"/>
  <c r="CC34" i="1" s="1"/>
  <c r="CF34" i="1" s="1"/>
  <c r="CI34" i="1" s="1"/>
  <c r="CL34" i="1" s="1"/>
  <c r="CO34" i="1" s="1"/>
  <c r="CR34" i="1" s="1"/>
  <c r="CU34" i="1" s="1"/>
  <c r="CX34" i="1" s="1"/>
  <c r="DA34" i="1" s="1"/>
  <c r="DD34" i="1" s="1"/>
  <c r="DG34" i="1" s="1"/>
  <c r="CB33" i="1"/>
  <c r="BZ33" i="1"/>
  <c r="CB30" i="1"/>
  <c r="CE30" i="1" s="1"/>
  <c r="CH30" i="1" s="1"/>
  <c r="CK30" i="1" s="1"/>
  <c r="CN30" i="1" s="1"/>
  <c r="CQ30" i="1" s="1"/>
  <c r="CT30" i="1" s="1"/>
  <c r="CW30" i="1" s="1"/>
  <c r="CZ30" i="1" s="1"/>
  <c r="DC30" i="1" s="1"/>
  <c r="DF30" i="1" s="1"/>
  <c r="BZ30" i="1"/>
  <c r="CC30" i="1" s="1"/>
  <c r="CF30" i="1" s="1"/>
  <c r="CI30" i="1" s="1"/>
  <c r="CL30" i="1" s="1"/>
  <c r="CO30" i="1" s="1"/>
  <c r="CR30" i="1" s="1"/>
  <c r="CU30" i="1" s="1"/>
  <c r="CX30" i="1" s="1"/>
  <c r="DA30" i="1" s="1"/>
  <c r="DD30" i="1" s="1"/>
  <c r="DG30" i="1" s="1"/>
  <c r="CB28" i="1"/>
  <c r="BZ28" i="1"/>
  <c r="CB80" i="1"/>
  <c r="CE80" i="1" s="1"/>
  <c r="CH80" i="1" s="1"/>
  <c r="CK80" i="1" s="1"/>
  <c r="CN80" i="1" s="1"/>
  <c r="CQ80" i="1" s="1"/>
  <c r="CT80" i="1" s="1"/>
  <c r="CW80" i="1" s="1"/>
  <c r="CZ80" i="1" s="1"/>
  <c r="DC80" i="1" s="1"/>
  <c r="DF80" i="1" s="1"/>
  <c r="DI80" i="1" s="1"/>
  <c r="CA80" i="1"/>
  <c r="DW80" i="1" s="1"/>
  <c r="CB79" i="1"/>
  <c r="CE79" i="1" s="1"/>
  <c r="CH79" i="1" s="1"/>
  <c r="CK79" i="1" s="1"/>
  <c r="CN79" i="1" s="1"/>
  <c r="CQ79" i="1" s="1"/>
  <c r="CT79" i="1" s="1"/>
  <c r="CW79" i="1" s="1"/>
  <c r="CZ79" i="1" s="1"/>
  <c r="DC79" i="1" s="1"/>
  <c r="DF79" i="1" s="1"/>
  <c r="DI79" i="1" s="1"/>
  <c r="CA79" i="1"/>
  <c r="DW79" i="1" s="1"/>
  <c r="CB78" i="1"/>
  <c r="CE78" i="1" s="1"/>
  <c r="CH78" i="1" s="1"/>
  <c r="CK78" i="1" s="1"/>
  <c r="CN78" i="1" s="1"/>
  <c r="CQ78" i="1" s="1"/>
  <c r="CT78" i="1" s="1"/>
  <c r="CW78" i="1" s="1"/>
  <c r="CZ78" i="1" s="1"/>
  <c r="DC78" i="1" s="1"/>
  <c r="DF78" i="1" s="1"/>
  <c r="DI78" i="1" s="1"/>
  <c r="CA78" i="1"/>
  <c r="DW78" i="1" s="1"/>
  <c r="CB77" i="1"/>
  <c r="CE77" i="1" s="1"/>
  <c r="CH77" i="1" s="1"/>
  <c r="CK77" i="1" s="1"/>
  <c r="CN77" i="1" s="1"/>
  <c r="CQ77" i="1" s="1"/>
  <c r="CT77" i="1" s="1"/>
  <c r="CW77" i="1" s="1"/>
  <c r="CZ77" i="1" s="1"/>
  <c r="DC77" i="1" s="1"/>
  <c r="DF77" i="1" s="1"/>
  <c r="DI77" i="1" s="1"/>
  <c r="CA77" i="1"/>
  <c r="DW77" i="1" s="1"/>
  <c r="CB96" i="1"/>
  <c r="CE96" i="1" s="1"/>
  <c r="CH96" i="1" s="1"/>
  <c r="CK96" i="1" s="1"/>
  <c r="CN96" i="1" s="1"/>
  <c r="CQ96" i="1" s="1"/>
  <c r="CT96" i="1" s="1"/>
  <c r="CW96" i="1" s="1"/>
  <c r="CZ96" i="1" s="1"/>
  <c r="DC96" i="1" s="1"/>
  <c r="DF96" i="1" s="1"/>
  <c r="DI96" i="1" s="1"/>
  <c r="CA96" i="1"/>
  <c r="DW96" i="1" s="1"/>
  <c r="CB95" i="1"/>
  <c r="CE95" i="1" s="1"/>
  <c r="CH95" i="1" s="1"/>
  <c r="CK95" i="1" s="1"/>
  <c r="CN95" i="1" s="1"/>
  <c r="CQ95" i="1" s="1"/>
  <c r="CT95" i="1" s="1"/>
  <c r="CW95" i="1" s="1"/>
  <c r="CZ95" i="1" s="1"/>
  <c r="DC95" i="1" s="1"/>
  <c r="DF95" i="1" s="1"/>
  <c r="DI95" i="1" s="1"/>
  <c r="CB94" i="1"/>
  <c r="CE94" i="1" s="1"/>
  <c r="CH94" i="1" s="1"/>
  <c r="CK94" i="1" s="1"/>
  <c r="CN94" i="1" s="1"/>
  <c r="CQ94" i="1" s="1"/>
  <c r="CT94" i="1" s="1"/>
  <c r="CW94" i="1" s="1"/>
  <c r="CZ94" i="1" s="1"/>
  <c r="DC94" i="1" s="1"/>
  <c r="DF94" i="1" s="1"/>
  <c r="DI94" i="1" s="1"/>
  <c r="CB93" i="1"/>
  <c r="CE93" i="1" s="1"/>
  <c r="CH93" i="1" s="1"/>
  <c r="CK93" i="1" s="1"/>
  <c r="CN93" i="1" s="1"/>
  <c r="CQ93" i="1" s="1"/>
  <c r="CT93" i="1" s="1"/>
  <c r="CW93" i="1" s="1"/>
  <c r="CZ93" i="1" s="1"/>
  <c r="DC93" i="1" s="1"/>
  <c r="DF93" i="1" s="1"/>
  <c r="DI93" i="1" s="1"/>
  <c r="CB92" i="1"/>
  <c r="CE92" i="1" s="1"/>
  <c r="CH92" i="1" s="1"/>
  <c r="CK92" i="1" s="1"/>
  <c r="CN92" i="1" s="1"/>
  <c r="CQ92" i="1" s="1"/>
  <c r="CT92" i="1" s="1"/>
  <c r="CW92" i="1" s="1"/>
  <c r="CZ92" i="1" s="1"/>
  <c r="DC92" i="1" s="1"/>
  <c r="DF92" i="1" s="1"/>
  <c r="DI92" i="1" s="1"/>
  <c r="CA92" i="1"/>
  <c r="DW92" i="1" s="1"/>
  <c r="CB91" i="1"/>
  <c r="CE91" i="1" s="1"/>
  <c r="CH91" i="1" s="1"/>
  <c r="CK91" i="1" s="1"/>
  <c r="CN91" i="1" s="1"/>
  <c r="CQ91" i="1" s="1"/>
  <c r="CT91" i="1" s="1"/>
  <c r="CW91" i="1" s="1"/>
  <c r="CZ91" i="1" s="1"/>
  <c r="DC91" i="1" s="1"/>
  <c r="DF91" i="1" s="1"/>
  <c r="DI91" i="1" s="1"/>
  <c r="CB88" i="1"/>
  <c r="CE88" i="1" s="1"/>
  <c r="CH88" i="1" s="1"/>
  <c r="CK88" i="1" s="1"/>
  <c r="CN88" i="1" s="1"/>
  <c r="CQ88" i="1" s="1"/>
  <c r="CT88" i="1" s="1"/>
  <c r="CW88" i="1" s="1"/>
  <c r="CZ88" i="1" s="1"/>
  <c r="DC88" i="1" s="1"/>
  <c r="DF88" i="1" s="1"/>
  <c r="DI88" i="1" s="1"/>
  <c r="CB87" i="1"/>
  <c r="CE87" i="1" s="1"/>
  <c r="CH87" i="1" s="1"/>
  <c r="CK87" i="1" s="1"/>
  <c r="CN87" i="1" s="1"/>
  <c r="CQ87" i="1" s="1"/>
  <c r="CT87" i="1" s="1"/>
  <c r="CW87" i="1" s="1"/>
  <c r="CZ87" i="1" s="1"/>
  <c r="DC87" i="1" s="1"/>
  <c r="DF87" i="1" s="1"/>
  <c r="DI87" i="1" s="1"/>
  <c r="CJ87" i="1"/>
  <c r="CB86" i="1"/>
  <c r="CE86" i="1" s="1"/>
  <c r="CH86" i="1" s="1"/>
  <c r="CK86" i="1" s="1"/>
  <c r="CN86" i="1" s="1"/>
  <c r="CQ86" i="1" s="1"/>
  <c r="CT86" i="1" s="1"/>
  <c r="CW86" i="1" s="1"/>
  <c r="CZ86" i="1" s="1"/>
  <c r="DC86" i="1" s="1"/>
  <c r="DF86" i="1" s="1"/>
  <c r="DI86" i="1" s="1"/>
  <c r="CA86" i="1"/>
  <c r="DW86" i="1" s="1"/>
  <c r="CB85" i="1"/>
  <c r="CE85" i="1" s="1"/>
  <c r="CH85" i="1" s="1"/>
  <c r="CK85" i="1" s="1"/>
  <c r="CN85" i="1" s="1"/>
  <c r="CQ85" i="1" s="1"/>
  <c r="CT85" i="1" s="1"/>
  <c r="CW85" i="1" s="1"/>
  <c r="CZ85" i="1" s="1"/>
  <c r="DC85" i="1" s="1"/>
  <c r="DF85" i="1" s="1"/>
  <c r="DI85" i="1" s="1"/>
  <c r="CA85" i="1"/>
  <c r="DW85" i="1" s="1"/>
  <c r="CB84" i="1"/>
  <c r="CE84" i="1" s="1"/>
  <c r="CH84" i="1" s="1"/>
  <c r="CK84" i="1" s="1"/>
  <c r="CN84" i="1" s="1"/>
  <c r="CQ84" i="1" s="1"/>
  <c r="CT84" i="1" s="1"/>
  <c r="CW84" i="1" s="1"/>
  <c r="CZ84" i="1" s="1"/>
  <c r="DC84" i="1" s="1"/>
  <c r="DF84" i="1" s="1"/>
  <c r="DI84" i="1" s="1"/>
  <c r="CA84" i="1"/>
  <c r="DW84" i="1" s="1"/>
  <c r="CB83" i="1"/>
  <c r="CE83" i="1" s="1"/>
  <c r="CH83" i="1" s="1"/>
  <c r="CK83" i="1" s="1"/>
  <c r="CN83" i="1" s="1"/>
  <c r="CQ83" i="1" s="1"/>
  <c r="CT83" i="1" s="1"/>
  <c r="CW83" i="1" s="1"/>
  <c r="CZ83" i="1" s="1"/>
  <c r="DC83" i="1" s="1"/>
  <c r="DF83" i="1" s="1"/>
  <c r="DI83" i="1" s="1"/>
  <c r="CA83" i="1"/>
  <c r="DW83" i="1" s="1"/>
  <c r="CE97" i="1"/>
  <c r="CH97" i="1" s="1"/>
  <c r="CK97" i="1" s="1"/>
  <c r="CN97" i="1" s="1"/>
  <c r="CQ97" i="1" s="1"/>
  <c r="CT97" i="1" s="1"/>
  <c r="CW97" i="1" s="1"/>
  <c r="CZ97" i="1" s="1"/>
  <c r="DC97" i="1" s="1"/>
  <c r="DF97" i="1" s="1"/>
  <c r="CB101" i="1"/>
  <c r="CA101" i="1"/>
  <c r="DW101" i="1" s="1"/>
  <c r="BZ101" i="1"/>
  <c r="FG101" i="1"/>
  <c r="FF101" i="1"/>
  <c r="FE101" i="1"/>
  <c r="FD101" i="1"/>
  <c r="AN76" i="1"/>
  <c r="AM76" i="1"/>
  <c r="AL76" i="1"/>
  <c r="AN3" i="1"/>
  <c r="AM3" i="1"/>
  <c r="AL3" i="1"/>
  <c r="FG1" i="1"/>
  <c r="FF1" i="1"/>
  <c r="FE1" i="1"/>
  <c r="FD1" i="1"/>
  <c r="R283" i="5"/>
  <c r="CC28" i="1" l="1"/>
  <c r="CF28" i="1" s="1"/>
  <c r="CC6" i="1"/>
  <c r="CD85" i="1"/>
  <c r="CD56" i="1"/>
  <c r="CD93" i="1"/>
  <c r="CD78" i="1"/>
  <c r="CD43" i="1"/>
  <c r="CD69" i="1"/>
  <c r="CD9" i="1"/>
  <c r="CD54" i="1"/>
  <c r="CD24" i="1"/>
  <c r="CD68" i="1"/>
  <c r="CD8" i="1"/>
  <c r="CD37" i="1"/>
  <c r="CD38" i="1"/>
  <c r="CD50" i="1"/>
  <c r="CD92" i="1"/>
  <c r="CD77" i="1"/>
  <c r="CD48" i="1"/>
  <c r="CD74" i="1"/>
  <c r="CM87" i="1"/>
  <c r="DZ87" i="1"/>
  <c r="CD94" i="1"/>
  <c r="CD79" i="1"/>
  <c r="CD44" i="1"/>
  <c r="CD71" i="1"/>
  <c r="CD11" i="1"/>
  <c r="CD36" i="1"/>
  <c r="CD42" i="1"/>
  <c r="CD30" i="1"/>
  <c r="CG16" i="1"/>
  <c r="DX16" i="1"/>
  <c r="CD86" i="1"/>
  <c r="CD97" i="1"/>
  <c r="CD49" i="1"/>
  <c r="CD19" i="1"/>
  <c r="CD83" i="1"/>
  <c r="CD34" i="1"/>
  <c r="CD51" i="1"/>
  <c r="CD20" i="1"/>
  <c r="CD72" i="1"/>
  <c r="CD14" i="1"/>
  <c r="CD80" i="1"/>
  <c r="CD84" i="1"/>
  <c r="CD22" i="1"/>
  <c r="CD88" i="1"/>
  <c r="CD6" i="1"/>
  <c r="CD35" i="1"/>
  <c r="CD41" i="1"/>
  <c r="CD53" i="1"/>
  <c r="CD91" i="1"/>
  <c r="CD96" i="1"/>
  <c r="CD7" i="1"/>
  <c r="CD47" i="1"/>
  <c r="CD73" i="1"/>
  <c r="CD15" i="1"/>
  <c r="CL53" i="1"/>
  <c r="CO53" i="1" s="1"/>
  <c r="CR53" i="1" s="1"/>
  <c r="CU53" i="1" s="1"/>
  <c r="CX53" i="1" s="1"/>
  <c r="DA53" i="1" s="1"/>
  <c r="DD53" i="1" s="1"/>
  <c r="DG53" i="1" s="1"/>
  <c r="CI52" i="1"/>
  <c r="CL52" i="1" s="1"/>
  <c r="CO52" i="1" s="1"/>
  <c r="CR52" i="1" s="1"/>
  <c r="CU52" i="1" s="1"/>
  <c r="CX52" i="1" s="1"/>
  <c r="DA52" i="1" s="1"/>
  <c r="DD52" i="1" s="1"/>
  <c r="DG52" i="1" s="1"/>
  <c r="CN46" i="1"/>
  <c r="CQ46" i="1" s="1"/>
  <c r="CT46" i="1" s="1"/>
  <c r="CW46" i="1" s="1"/>
  <c r="CZ46" i="1" s="1"/>
  <c r="DC46" i="1" s="1"/>
  <c r="CK45" i="1"/>
  <c r="CN45" i="1" s="1"/>
  <c r="CQ45" i="1" s="1"/>
  <c r="CT45" i="1" s="1"/>
  <c r="CW45" i="1" s="1"/>
  <c r="CZ45" i="1" s="1"/>
  <c r="DC45" i="1" s="1"/>
  <c r="CN53" i="1"/>
  <c r="CQ53" i="1" s="1"/>
  <c r="CT53" i="1" s="1"/>
  <c r="CW53" i="1" s="1"/>
  <c r="CZ53" i="1" s="1"/>
  <c r="DC53" i="1" s="1"/>
  <c r="CK52" i="1"/>
  <c r="CN52" i="1" s="1"/>
  <c r="CQ52" i="1" s="1"/>
  <c r="CT52" i="1" s="1"/>
  <c r="CW52" i="1" s="1"/>
  <c r="CZ52" i="1" s="1"/>
  <c r="DC52" i="1" s="1"/>
  <c r="CN56" i="1"/>
  <c r="CQ56" i="1" s="1"/>
  <c r="CT56" i="1" s="1"/>
  <c r="CW56" i="1" s="1"/>
  <c r="CZ56" i="1" s="1"/>
  <c r="DC56" i="1" s="1"/>
  <c r="CK55" i="1"/>
  <c r="CN55" i="1" s="1"/>
  <c r="CQ55" i="1" s="1"/>
  <c r="CT55" i="1" s="1"/>
  <c r="CW55" i="1" s="1"/>
  <c r="CZ55" i="1" s="1"/>
  <c r="DC55" i="1" s="1"/>
  <c r="CL46" i="1"/>
  <c r="CO46" i="1" s="1"/>
  <c r="CR46" i="1" s="1"/>
  <c r="CU46" i="1" s="1"/>
  <c r="CX46" i="1" s="1"/>
  <c r="DA46" i="1" s="1"/>
  <c r="DD46" i="1" s="1"/>
  <c r="DG46" i="1" s="1"/>
  <c r="CI45" i="1"/>
  <c r="CL45" i="1" s="1"/>
  <c r="CO45" i="1" s="1"/>
  <c r="CR45" i="1" s="1"/>
  <c r="CU45" i="1" s="1"/>
  <c r="CX45" i="1" s="1"/>
  <c r="DA45" i="1" s="1"/>
  <c r="DD45" i="1" s="1"/>
  <c r="DG45" i="1" s="1"/>
  <c r="CC71" i="1"/>
  <c r="CF71" i="1" s="1"/>
  <c r="CI71" i="1" s="1"/>
  <c r="CE71" i="1"/>
  <c r="CH71" i="1" s="1"/>
  <c r="CK71" i="1" s="1"/>
  <c r="CC66" i="1"/>
  <c r="CD66" i="1"/>
  <c r="CC56" i="1"/>
  <c r="CF56" i="1" s="1"/>
  <c r="CI56" i="1" s="1"/>
  <c r="CE66" i="1"/>
  <c r="CH66" i="1" s="1"/>
  <c r="CK66" i="1" s="1"/>
  <c r="CD33" i="1"/>
  <c r="CD46" i="1"/>
  <c r="CC33" i="1"/>
  <c r="CF33" i="1" s="1"/>
  <c r="CI33" i="1" s="1"/>
  <c r="CC40" i="1"/>
  <c r="CF40" i="1" s="1"/>
  <c r="CI40" i="1" s="1"/>
  <c r="CD28" i="1"/>
  <c r="CE33" i="1"/>
  <c r="CH33" i="1" s="1"/>
  <c r="CK33" i="1" s="1"/>
  <c r="CE28" i="1"/>
  <c r="CH28" i="1" s="1"/>
  <c r="CK28" i="1" s="1"/>
  <c r="CD40" i="1"/>
  <c r="CE40" i="1"/>
  <c r="CH40" i="1" s="1"/>
  <c r="CK40" i="1" s="1"/>
  <c r="DC20" i="1"/>
  <c r="DC22" i="1"/>
  <c r="DC19" i="1"/>
  <c r="DC24" i="1"/>
  <c r="DF68" i="1"/>
  <c r="DC51" i="1"/>
  <c r="DC43" i="1"/>
  <c r="DC48" i="1"/>
  <c r="DC41" i="1"/>
  <c r="DC36" i="1"/>
  <c r="DC42" i="1"/>
  <c r="DC72" i="1"/>
  <c r="DC37" i="1"/>
  <c r="DC54" i="1"/>
  <c r="DC67" i="1"/>
  <c r="DC74" i="1"/>
  <c r="DF35" i="1"/>
  <c r="DC44" i="1"/>
  <c r="DC73" i="1"/>
  <c r="DF34" i="1"/>
  <c r="DC69" i="1"/>
  <c r="DF38" i="1"/>
  <c r="DF47" i="1"/>
  <c r="DC49" i="1"/>
  <c r="DI30" i="1"/>
  <c r="DC50" i="1"/>
  <c r="DI97" i="1"/>
  <c r="CI28" i="1" l="1"/>
  <c r="CL28" i="1" s="1"/>
  <c r="CO28" i="1" s="1"/>
  <c r="CR28" i="1" s="1"/>
  <c r="CU28" i="1" s="1"/>
  <c r="CX28" i="1" s="1"/>
  <c r="DA28" i="1" s="1"/>
  <c r="DD28" i="1" s="1"/>
  <c r="DG28" i="1" s="1"/>
  <c r="CF66" i="1"/>
  <c r="CI66" i="1" s="1"/>
  <c r="CL66" i="1" s="1"/>
  <c r="CO66" i="1" s="1"/>
  <c r="CR66" i="1" s="1"/>
  <c r="CU66" i="1" s="1"/>
  <c r="CX66" i="1" s="1"/>
  <c r="DA66" i="1" s="1"/>
  <c r="DD66" i="1" s="1"/>
  <c r="DG66" i="1" s="1"/>
  <c r="CI27" i="1"/>
  <c r="CL27" i="1" s="1"/>
  <c r="CO27" i="1" s="1"/>
  <c r="CR27" i="1" s="1"/>
  <c r="CU27" i="1" s="1"/>
  <c r="CX27" i="1" s="1"/>
  <c r="DA27" i="1" s="1"/>
  <c r="DD27" i="1" s="1"/>
  <c r="DG27" i="1" s="1"/>
  <c r="CF6" i="1"/>
  <c r="CG47" i="1"/>
  <c r="DX47" i="1"/>
  <c r="CG35" i="1"/>
  <c r="DX35" i="1"/>
  <c r="CG97" i="1"/>
  <c r="DX97" i="1"/>
  <c r="CG71" i="1"/>
  <c r="DX71" i="1"/>
  <c r="CG77" i="1"/>
  <c r="DX77" i="1"/>
  <c r="CG68" i="1"/>
  <c r="DX68" i="1"/>
  <c r="CG6" i="1"/>
  <c r="DX6" i="1"/>
  <c r="CG20" i="1"/>
  <c r="DX20" i="1"/>
  <c r="CG86" i="1"/>
  <c r="DX86" i="1"/>
  <c r="CG44" i="1"/>
  <c r="DX44" i="1"/>
  <c r="CG92" i="1"/>
  <c r="DX92" i="1"/>
  <c r="CG67" i="1"/>
  <c r="DX67" i="1"/>
  <c r="CG51" i="1"/>
  <c r="DX51" i="1"/>
  <c r="CJ16" i="1"/>
  <c r="DY16" i="1"/>
  <c r="CG79" i="1"/>
  <c r="DX79" i="1"/>
  <c r="DX5" i="1"/>
  <c r="CG54" i="1"/>
  <c r="DX54" i="1"/>
  <c r="CG66" i="1"/>
  <c r="DX66" i="1"/>
  <c r="CG96" i="1"/>
  <c r="DX96" i="1"/>
  <c r="CG22" i="1"/>
  <c r="DX22" i="1"/>
  <c r="CG34" i="1"/>
  <c r="DX34" i="1"/>
  <c r="CG94" i="1"/>
  <c r="DX94" i="1"/>
  <c r="CG50" i="1"/>
  <c r="DX50" i="1"/>
  <c r="CG9" i="1"/>
  <c r="DX9" i="1"/>
  <c r="CG40" i="1"/>
  <c r="DX40" i="1"/>
  <c r="CG91" i="1"/>
  <c r="DX91" i="1"/>
  <c r="CG84" i="1"/>
  <c r="DX84" i="1"/>
  <c r="CG83" i="1"/>
  <c r="DX83" i="1"/>
  <c r="CP87" i="1"/>
  <c r="EA87" i="1"/>
  <c r="CG38" i="1"/>
  <c r="DX38" i="1"/>
  <c r="CG69" i="1"/>
  <c r="DX69" i="1"/>
  <c r="CG28" i="1"/>
  <c r="DX28" i="1"/>
  <c r="CG15" i="1"/>
  <c r="DX15" i="1"/>
  <c r="CG53" i="1"/>
  <c r="DX53" i="1"/>
  <c r="CG80" i="1"/>
  <c r="DX80" i="1"/>
  <c r="CG19" i="1"/>
  <c r="DX19" i="1"/>
  <c r="CG36" i="1"/>
  <c r="DX36" i="1"/>
  <c r="CG74" i="1"/>
  <c r="DX74" i="1"/>
  <c r="CG37" i="1"/>
  <c r="DX37" i="1"/>
  <c r="CG43" i="1"/>
  <c r="DX43" i="1"/>
  <c r="CG72" i="1"/>
  <c r="DX72" i="1"/>
  <c r="CG93" i="1"/>
  <c r="DX93" i="1"/>
  <c r="CG7" i="1"/>
  <c r="DX7" i="1"/>
  <c r="CG56" i="1"/>
  <c r="DX56" i="1"/>
  <c r="CG88" i="1"/>
  <c r="DX88" i="1"/>
  <c r="CG85" i="1"/>
  <c r="DX85" i="1"/>
  <c r="CG30" i="1"/>
  <c r="DX30" i="1"/>
  <c r="CG42" i="1"/>
  <c r="DX42" i="1"/>
  <c r="CG46" i="1"/>
  <c r="DX46" i="1"/>
  <c r="CG24" i="1"/>
  <c r="DX24" i="1"/>
  <c r="CG33" i="1"/>
  <c r="DX33" i="1"/>
  <c r="CG73" i="1"/>
  <c r="DX73" i="1"/>
  <c r="CG41" i="1"/>
  <c r="DX41" i="1"/>
  <c r="CG14" i="1"/>
  <c r="DX14" i="1"/>
  <c r="CG49" i="1"/>
  <c r="DX49" i="1"/>
  <c r="CG11" i="1"/>
  <c r="DX11" i="1"/>
  <c r="CG48" i="1"/>
  <c r="DX48" i="1"/>
  <c r="CG8" i="1"/>
  <c r="DX8" i="1"/>
  <c r="CG78" i="1"/>
  <c r="DX78" i="1"/>
  <c r="DX4" i="1"/>
  <c r="CN28" i="1"/>
  <c r="CQ28" i="1" s="1"/>
  <c r="CT28" i="1" s="1"/>
  <c r="CW28" i="1" s="1"/>
  <c r="CZ28" i="1" s="1"/>
  <c r="DC28" i="1" s="1"/>
  <c r="DF28" i="1" s="1"/>
  <c r="CK27" i="1"/>
  <c r="CN27" i="1" s="1"/>
  <c r="CQ27" i="1" s="1"/>
  <c r="CT27" i="1" s="1"/>
  <c r="CW27" i="1" s="1"/>
  <c r="CZ27" i="1" s="1"/>
  <c r="DC27" i="1" s="1"/>
  <c r="DF27" i="1" s="1"/>
  <c r="CN33" i="1"/>
  <c r="CQ33" i="1" s="1"/>
  <c r="CT33" i="1" s="1"/>
  <c r="CW33" i="1" s="1"/>
  <c r="CZ33" i="1" s="1"/>
  <c r="DC33" i="1" s="1"/>
  <c r="DF33" i="1" s="1"/>
  <c r="DI33" i="1" s="1"/>
  <c r="CK32" i="1"/>
  <c r="CN32" i="1" s="1"/>
  <c r="CQ32" i="1" s="1"/>
  <c r="CT32" i="1" s="1"/>
  <c r="CW32" i="1" s="1"/>
  <c r="CZ32" i="1" s="1"/>
  <c r="DC32" i="1" s="1"/>
  <c r="DF32" i="1" s="1"/>
  <c r="CN66" i="1"/>
  <c r="CQ66" i="1" s="1"/>
  <c r="CT66" i="1" s="1"/>
  <c r="CW66" i="1" s="1"/>
  <c r="CZ66" i="1" s="1"/>
  <c r="DC66" i="1" s="1"/>
  <c r="DF66" i="1" s="1"/>
  <c r="DI66" i="1" s="1"/>
  <c r="CK65" i="1"/>
  <c r="CN65" i="1" s="1"/>
  <c r="CQ65" i="1" s="1"/>
  <c r="CT65" i="1" s="1"/>
  <c r="CW65" i="1" s="1"/>
  <c r="CZ65" i="1" s="1"/>
  <c r="DC65" i="1" s="1"/>
  <c r="DF65" i="1" s="1"/>
  <c r="CN71" i="1"/>
  <c r="CQ71" i="1" s="1"/>
  <c r="CT71" i="1" s="1"/>
  <c r="CW71" i="1" s="1"/>
  <c r="CZ71" i="1" s="1"/>
  <c r="DC71" i="1" s="1"/>
  <c r="DF71" i="1" s="1"/>
  <c r="CK70" i="1"/>
  <c r="CN70" i="1" s="1"/>
  <c r="CQ70" i="1" s="1"/>
  <c r="CT70" i="1" s="1"/>
  <c r="CW70" i="1" s="1"/>
  <c r="CZ70" i="1" s="1"/>
  <c r="DC70" i="1" s="1"/>
  <c r="DF70" i="1" s="1"/>
  <c r="CL33" i="1"/>
  <c r="CO33" i="1" s="1"/>
  <c r="CR33" i="1" s="1"/>
  <c r="CU33" i="1" s="1"/>
  <c r="CX33" i="1" s="1"/>
  <c r="DA33" i="1" s="1"/>
  <c r="DD33" i="1" s="1"/>
  <c r="DG33" i="1" s="1"/>
  <c r="CI32" i="1"/>
  <c r="CL32" i="1" s="1"/>
  <c r="CO32" i="1" s="1"/>
  <c r="CR32" i="1" s="1"/>
  <c r="CU32" i="1" s="1"/>
  <c r="CX32" i="1" s="1"/>
  <c r="DA32" i="1" s="1"/>
  <c r="DD32" i="1" s="1"/>
  <c r="DG32" i="1" s="1"/>
  <c r="CL56" i="1"/>
  <c r="CO56" i="1" s="1"/>
  <c r="CR56" i="1" s="1"/>
  <c r="CU56" i="1" s="1"/>
  <c r="CX56" i="1" s="1"/>
  <c r="DA56" i="1" s="1"/>
  <c r="DD56" i="1" s="1"/>
  <c r="DG56" i="1" s="1"/>
  <c r="CI55" i="1"/>
  <c r="CL55" i="1" s="1"/>
  <c r="CO55" i="1" s="1"/>
  <c r="CR55" i="1" s="1"/>
  <c r="CU55" i="1" s="1"/>
  <c r="CX55" i="1" s="1"/>
  <c r="DA55" i="1" s="1"/>
  <c r="DD55" i="1" s="1"/>
  <c r="DG55" i="1" s="1"/>
  <c r="CL40" i="1"/>
  <c r="CO40" i="1" s="1"/>
  <c r="CR40" i="1" s="1"/>
  <c r="CU40" i="1" s="1"/>
  <c r="CX40" i="1" s="1"/>
  <c r="DA40" i="1" s="1"/>
  <c r="DD40" i="1" s="1"/>
  <c r="DG40" i="1" s="1"/>
  <c r="CI39" i="1"/>
  <c r="CL39" i="1" s="1"/>
  <c r="CO39" i="1" s="1"/>
  <c r="CR39" i="1" s="1"/>
  <c r="CU39" i="1" s="1"/>
  <c r="CX39" i="1" s="1"/>
  <c r="DA39" i="1" s="1"/>
  <c r="DD39" i="1" s="1"/>
  <c r="DG39" i="1" s="1"/>
  <c r="CL71" i="1"/>
  <c r="CO71" i="1" s="1"/>
  <c r="CR71" i="1" s="1"/>
  <c r="CU71" i="1" s="1"/>
  <c r="CX71" i="1" s="1"/>
  <c r="DA71" i="1" s="1"/>
  <c r="DD71" i="1" s="1"/>
  <c r="DG71" i="1" s="1"/>
  <c r="CI70" i="1"/>
  <c r="CL70" i="1" s="1"/>
  <c r="CO70" i="1" s="1"/>
  <c r="CR70" i="1" s="1"/>
  <c r="CU70" i="1" s="1"/>
  <c r="CX70" i="1" s="1"/>
  <c r="DA70" i="1" s="1"/>
  <c r="DD70" i="1" s="1"/>
  <c r="DG70" i="1" s="1"/>
  <c r="CN40" i="1"/>
  <c r="CQ40" i="1" s="1"/>
  <c r="CT40" i="1" s="1"/>
  <c r="CW40" i="1" s="1"/>
  <c r="CZ40" i="1" s="1"/>
  <c r="DC40" i="1" s="1"/>
  <c r="DF40" i="1" s="1"/>
  <c r="CK39" i="1"/>
  <c r="CN39" i="1" s="1"/>
  <c r="CQ39" i="1" s="1"/>
  <c r="CT39" i="1" s="1"/>
  <c r="CW39" i="1" s="1"/>
  <c r="CZ39" i="1" s="1"/>
  <c r="DC39" i="1" s="1"/>
  <c r="DF24" i="1"/>
  <c r="DF19" i="1"/>
  <c r="DF22" i="1"/>
  <c r="DF20" i="1"/>
  <c r="DF37" i="1"/>
  <c r="DI68" i="1"/>
  <c r="DF67" i="1"/>
  <c r="DI34" i="1"/>
  <c r="DF45" i="1"/>
  <c r="DF72" i="1"/>
  <c r="DF44" i="1"/>
  <c r="DI38" i="1"/>
  <c r="DF54" i="1"/>
  <c r="DF42" i="1"/>
  <c r="DF50" i="1"/>
  <c r="DI35" i="1"/>
  <c r="DF48" i="1"/>
  <c r="DF51" i="1"/>
  <c r="DF56" i="1"/>
  <c r="DF41" i="1"/>
  <c r="DF46" i="1"/>
  <c r="DF53" i="1"/>
  <c r="DI47" i="1"/>
  <c r="DF52" i="1"/>
  <c r="DF55" i="1"/>
  <c r="DF73" i="1"/>
  <c r="DF36" i="1"/>
  <c r="DF43" i="1"/>
  <c r="DF69" i="1"/>
  <c r="DF74" i="1"/>
  <c r="DF49" i="1"/>
  <c r="CI65" i="1" l="1"/>
  <c r="CL65" i="1" s="1"/>
  <c r="CO65" i="1" s="1"/>
  <c r="CR65" i="1" s="1"/>
  <c r="CU65" i="1" s="1"/>
  <c r="CX65" i="1" s="1"/>
  <c r="DA65" i="1" s="1"/>
  <c r="DD65" i="1" s="1"/>
  <c r="DG65" i="1" s="1"/>
  <c r="DF39" i="1"/>
  <c r="DI39" i="1" s="1"/>
  <c r="CI6" i="1"/>
  <c r="CJ11" i="1"/>
  <c r="DY11" i="1"/>
  <c r="CJ93" i="1"/>
  <c r="DY93" i="1"/>
  <c r="CJ80" i="1"/>
  <c r="DY80" i="1"/>
  <c r="CJ83" i="1"/>
  <c r="DY83" i="1"/>
  <c r="CJ6" i="1"/>
  <c r="DY6" i="1"/>
  <c r="CJ49" i="1"/>
  <c r="DY49" i="1"/>
  <c r="CJ42" i="1"/>
  <c r="DY42" i="1"/>
  <c r="CJ72" i="1"/>
  <c r="DY72" i="1"/>
  <c r="CJ84" i="1"/>
  <c r="DY84" i="1"/>
  <c r="CJ22" i="1"/>
  <c r="DY22" i="1"/>
  <c r="CJ68" i="1"/>
  <c r="DY68" i="1"/>
  <c r="CJ46" i="1"/>
  <c r="DY46" i="1"/>
  <c r="CM16" i="1"/>
  <c r="DZ16" i="1"/>
  <c r="CJ53" i="1"/>
  <c r="DY53" i="1"/>
  <c r="CJ51" i="1"/>
  <c r="DY51" i="1"/>
  <c r="CJ14" i="1"/>
  <c r="DY14" i="1"/>
  <c r="CJ30" i="1"/>
  <c r="DY30" i="1"/>
  <c r="CJ43" i="1"/>
  <c r="DY43" i="1"/>
  <c r="CJ15" i="1"/>
  <c r="DY15" i="1"/>
  <c r="CJ91" i="1"/>
  <c r="DY91" i="1"/>
  <c r="CJ96" i="1"/>
  <c r="DY96" i="1"/>
  <c r="CJ67" i="1"/>
  <c r="DY67" i="1"/>
  <c r="CJ77" i="1"/>
  <c r="DY77" i="1"/>
  <c r="CJ34" i="1"/>
  <c r="DY34" i="1"/>
  <c r="CJ54" i="1"/>
  <c r="DY54" i="1"/>
  <c r="CJ41" i="1"/>
  <c r="DY41" i="1"/>
  <c r="CJ85" i="1"/>
  <c r="DY85" i="1"/>
  <c r="CJ37" i="1"/>
  <c r="DY37" i="1"/>
  <c r="CJ40" i="1"/>
  <c r="DY40" i="1"/>
  <c r="CJ66" i="1"/>
  <c r="DY66" i="1"/>
  <c r="CJ92" i="1"/>
  <c r="DY92" i="1"/>
  <c r="CJ78" i="1"/>
  <c r="DY78" i="1"/>
  <c r="CJ73" i="1"/>
  <c r="DY73" i="1"/>
  <c r="CJ88" i="1"/>
  <c r="DY88" i="1"/>
  <c r="CJ74" i="1"/>
  <c r="DY74" i="1"/>
  <c r="CJ69" i="1"/>
  <c r="DY69" i="1"/>
  <c r="CJ9" i="1"/>
  <c r="DY9" i="1"/>
  <c r="CJ44" i="1"/>
  <c r="DY44" i="1"/>
  <c r="CJ97" i="1"/>
  <c r="DY97" i="1"/>
  <c r="CJ8" i="1"/>
  <c r="DY8" i="1"/>
  <c r="CJ33" i="1"/>
  <c r="DY33" i="1"/>
  <c r="CJ56" i="1"/>
  <c r="DY56" i="1"/>
  <c r="CJ36" i="1"/>
  <c r="DY36" i="1"/>
  <c r="CJ38" i="1"/>
  <c r="DY38" i="1"/>
  <c r="CJ50" i="1"/>
  <c r="DY50" i="1"/>
  <c r="DY5" i="1"/>
  <c r="CJ86" i="1"/>
  <c r="DY86" i="1"/>
  <c r="CJ35" i="1"/>
  <c r="DY35" i="1"/>
  <c r="CJ28" i="1"/>
  <c r="DY28" i="1"/>
  <c r="CJ71" i="1"/>
  <c r="DY71" i="1"/>
  <c r="CJ48" i="1"/>
  <c r="DY48" i="1"/>
  <c r="CJ24" i="1"/>
  <c r="DY24" i="1"/>
  <c r="CJ7" i="1"/>
  <c r="DY7" i="1"/>
  <c r="CJ19" i="1"/>
  <c r="DY19" i="1"/>
  <c r="CS87" i="1"/>
  <c r="EB87" i="1"/>
  <c r="CJ94" i="1"/>
  <c r="DY94" i="1"/>
  <c r="CJ79" i="1"/>
  <c r="DY79" i="1"/>
  <c r="CJ20" i="1"/>
  <c r="DY20" i="1"/>
  <c r="CJ47" i="1"/>
  <c r="DY47" i="1"/>
  <c r="DI20" i="1"/>
  <c r="DI22" i="1"/>
  <c r="DI19" i="1"/>
  <c r="DI24" i="1"/>
  <c r="DI49" i="1"/>
  <c r="DI32" i="1"/>
  <c r="DI41" i="1"/>
  <c r="DI56" i="1"/>
  <c r="DI43" i="1"/>
  <c r="DI53" i="1"/>
  <c r="DI48" i="1"/>
  <c r="DI45" i="1"/>
  <c r="DI51" i="1"/>
  <c r="DI36" i="1"/>
  <c r="DI55" i="1"/>
  <c r="DI70" i="1"/>
  <c r="DI74" i="1"/>
  <c r="DI42" i="1"/>
  <c r="DI44" i="1"/>
  <c r="DI52" i="1"/>
  <c r="DI27" i="1"/>
  <c r="DI54" i="1"/>
  <c r="DI69" i="1"/>
  <c r="DI37" i="1"/>
  <c r="DI65" i="1"/>
  <c r="DI40" i="1"/>
  <c r="DI73" i="1"/>
  <c r="DI46" i="1"/>
  <c r="DI28" i="1"/>
  <c r="DI71" i="1"/>
  <c r="DI50" i="1"/>
  <c r="DI72" i="1"/>
  <c r="DI67" i="1"/>
  <c r="CL6" i="1" l="1"/>
  <c r="DZ28" i="1"/>
  <c r="CM28" i="1"/>
  <c r="CP28" i="1" s="1"/>
  <c r="CJ27" i="1"/>
  <c r="CM27" i="1" s="1"/>
  <c r="CM37" i="1"/>
  <c r="CP37" i="1" s="1"/>
  <c r="DZ37" i="1"/>
  <c r="CM96" i="1"/>
  <c r="DZ96" i="1"/>
  <c r="CM35" i="1"/>
  <c r="DZ35" i="1"/>
  <c r="DZ33" i="1"/>
  <c r="CM33" i="1"/>
  <c r="CP33" i="1" s="1"/>
  <c r="CJ32" i="1"/>
  <c r="CM32" i="1" s="1"/>
  <c r="CM85" i="1"/>
  <c r="DZ85" i="1"/>
  <c r="CM49" i="1"/>
  <c r="DZ49" i="1"/>
  <c r="CM94" i="1"/>
  <c r="CP94" i="1" s="1"/>
  <c r="DZ94" i="1"/>
  <c r="CM74" i="1"/>
  <c r="DZ74" i="1"/>
  <c r="DZ53" i="1"/>
  <c r="CJ52" i="1"/>
  <c r="CM52" i="1" s="1"/>
  <c r="CP52" i="1" s="1"/>
  <c r="CS52" i="1" s="1"/>
  <c r="CV52" i="1" s="1"/>
  <c r="CY52" i="1" s="1"/>
  <c r="DB52" i="1" s="1"/>
  <c r="DE52" i="1" s="1"/>
  <c r="DH52" i="1" s="1"/>
  <c r="CM53" i="1"/>
  <c r="CV87" i="1"/>
  <c r="EC87" i="1"/>
  <c r="CM88" i="1"/>
  <c r="DZ88" i="1"/>
  <c r="CM91" i="1"/>
  <c r="CP91" i="1" s="1"/>
  <c r="DZ91" i="1"/>
  <c r="CP16" i="1"/>
  <c r="EA16" i="1"/>
  <c r="CM19" i="1"/>
  <c r="DZ19" i="1"/>
  <c r="CM86" i="1"/>
  <c r="DZ86" i="1"/>
  <c r="CM8" i="1"/>
  <c r="DZ8" i="1"/>
  <c r="CM73" i="1"/>
  <c r="DZ73" i="1"/>
  <c r="CM41" i="1"/>
  <c r="DZ41" i="1"/>
  <c r="CM15" i="1"/>
  <c r="DZ15" i="1"/>
  <c r="DZ46" i="1"/>
  <c r="CJ45" i="1"/>
  <c r="CM45" i="1" s="1"/>
  <c r="CP45" i="1" s="1"/>
  <c r="CS45" i="1" s="1"/>
  <c r="CV45" i="1" s="1"/>
  <c r="CY45" i="1" s="1"/>
  <c r="DB45" i="1" s="1"/>
  <c r="DE45" i="1" s="1"/>
  <c r="DH45" i="1" s="1"/>
  <c r="CM46" i="1"/>
  <c r="CM6" i="1"/>
  <c r="DZ6" i="1"/>
  <c r="DZ56" i="1"/>
  <c r="CJ55" i="1"/>
  <c r="CM55" i="1" s="1"/>
  <c r="CP55" i="1" s="1"/>
  <c r="CS55" i="1" s="1"/>
  <c r="CV55" i="1" s="1"/>
  <c r="CY55" i="1" s="1"/>
  <c r="CM56" i="1"/>
  <c r="CM42" i="1"/>
  <c r="DZ42" i="1"/>
  <c r="CM7" i="1"/>
  <c r="DZ7" i="1"/>
  <c r="CM78" i="1"/>
  <c r="DZ78" i="1"/>
  <c r="CM68" i="1"/>
  <c r="DZ68" i="1"/>
  <c r="CM22" i="1"/>
  <c r="DZ22" i="1"/>
  <c r="CM20" i="1"/>
  <c r="DZ20" i="1"/>
  <c r="CM48" i="1"/>
  <c r="DZ48" i="1"/>
  <c r="CM38" i="1"/>
  <c r="CP38" i="1" s="1"/>
  <c r="DZ38" i="1"/>
  <c r="CM9" i="1"/>
  <c r="DZ9" i="1"/>
  <c r="DZ66" i="1"/>
  <c r="CM66" i="1"/>
  <c r="CJ65" i="1"/>
  <c r="CM65" i="1" s="1"/>
  <c r="CP65" i="1" s="1"/>
  <c r="CS65" i="1" s="1"/>
  <c r="CV65" i="1" s="1"/>
  <c r="CY65" i="1" s="1"/>
  <c r="CM77" i="1"/>
  <c r="DZ77" i="1"/>
  <c r="CM14" i="1"/>
  <c r="DZ14" i="1"/>
  <c r="CM84" i="1"/>
  <c r="DZ84" i="1"/>
  <c r="CM93" i="1"/>
  <c r="CP93" i="1" s="1"/>
  <c r="DZ93" i="1"/>
  <c r="DZ5" i="1"/>
  <c r="CM97" i="1"/>
  <c r="DZ97" i="1"/>
  <c r="CM54" i="1"/>
  <c r="DZ54" i="1"/>
  <c r="CM43" i="1"/>
  <c r="DZ43" i="1"/>
  <c r="CM83" i="1"/>
  <c r="DZ83" i="1"/>
  <c r="CM47" i="1"/>
  <c r="DZ47" i="1"/>
  <c r="CM24" i="1"/>
  <c r="DZ24" i="1"/>
  <c r="CM50" i="1"/>
  <c r="DZ50" i="1"/>
  <c r="CM44" i="1"/>
  <c r="DZ44" i="1"/>
  <c r="CM92" i="1"/>
  <c r="CP92" i="1" s="1"/>
  <c r="DZ92" i="1"/>
  <c r="CM34" i="1"/>
  <c r="CP34" i="1" s="1"/>
  <c r="DZ34" i="1"/>
  <c r="CM30" i="1"/>
  <c r="CP30" i="1" s="1"/>
  <c r="DZ30" i="1"/>
  <c r="CM80" i="1"/>
  <c r="DZ80" i="1"/>
  <c r="CM79" i="1"/>
  <c r="DZ79" i="1"/>
  <c r="DZ71" i="1"/>
  <c r="CM71" i="1"/>
  <c r="CJ70" i="1"/>
  <c r="CM70" i="1" s="1"/>
  <c r="CP70" i="1" s="1"/>
  <c r="CS70" i="1" s="1"/>
  <c r="CV70" i="1" s="1"/>
  <c r="CY70" i="1" s="1"/>
  <c r="CM36" i="1"/>
  <c r="CP36" i="1" s="1"/>
  <c r="DZ36" i="1"/>
  <c r="CM69" i="1"/>
  <c r="DZ69" i="1"/>
  <c r="DZ40" i="1"/>
  <c r="CM40" i="1"/>
  <c r="CJ39" i="1"/>
  <c r="CM39" i="1" s="1"/>
  <c r="CP39" i="1" s="1"/>
  <c r="CS39" i="1" s="1"/>
  <c r="CV39" i="1" s="1"/>
  <c r="CY39" i="1" s="1"/>
  <c r="DB39" i="1" s="1"/>
  <c r="DE39" i="1" s="1"/>
  <c r="DH39" i="1" s="1"/>
  <c r="CM67" i="1"/>
  <c r="DZ67" i="1"/>
  <c r="CM51" i="1"/>
  <c r="DZ51" i="1"/>
  <c r="CM72" i="1"/>
  <c r="DZ72" i="1"/>
  <c r="CM11" i="1"/>
  <c r="DZ11" i="1"/>
  <c r="DZ4" i="1"/>
  <c r="DN50" i="1"/>
  <c r="R2" i="5"/>
  <c r="CP35" i="1" l="1"/>
  <c r="EA35" i="1"/>
  <c r="CP32" i="1"/>
  <c r="CS32" i="1" s="1"/>
  <c r="CV32" i="1" s="1"/>
  <c r="CY32" i="1" s="1"/>
  <c r="DB32" i="1" s="1"/>
  <c r="DE32" i="1" s="1"/>
  <c r="DH32" i="1" s="1"/>
  <c r="CP27" i="1"/>
  <c r="CS27" i="1" s="1"/>
  <c r="CV27" i="1" s="1"/>
  <c r="CY27" i="1" s="1"/>
  <c r="DB27" i="1" s="1"/>
  <c r="DE27" i="1" s="1"/>
  <c r="DH27" i="1" s="1"/>
  <c r="CO6" i="1"/>
  <c r="CP85" i="1"/>
  <c r="EA85" i="1"/>
  <c r="CP42" i="1"/>
  <c r="EA42" i="1"/>
  <c r="EA33" i="1"/>
  <c r="CP40" i="1"/>
  <c r="EA40" i="1"/>
  <c r="CY87" i="1"/>
  <c r="ED87" i="1"/>
  <c r="CP80" i="1"/>
  <c r="EA80" i="1"/>
  <c r="CP47" i="1"/>
  <c r="EA47" i="1"/>
  <c r="CP84" i="1"/>
  <c r="EA84" i="1"/>
  <c r="DB55" i="1"/>
  <c r="EE55" i="1"/>
  <c r="FD55" i="1" s="1"/>
  <c r="CP8" i="1"/>
  <c r="EA8" i="1"/>
  <c r="CP53" i="1"/>
  <c r="EA53" i="1"/>
  <c r="EA38" i="1"/>
  <c r="CP88" i="1"/>
  <c r="EA88" i="1"/>
  <c r="CP24" i="1"/>
  <c r="EA24" i="1"/>
  <c r="EA93" i="1"/>
  <c r="CP73" i="1"/>
  <c r="EA73" i="1"/>
  <c r="CP56" i="1"/>
  <c r="EA56" i="1"/>
  <c r="CP20" i="1"/>
  <c r="EA20" i="1"/>
  <c r="CP67" i="1"/>
  <c r="EA67" i="1"/>
  <c r="CP48" i="1"/>
  <c r="EA48" i="1"/>
  <c r="CP69" i="1"/>
  <c r="EA69" i="1"/>
  <c r="EA30" i="1"/>
  <c r="CP83" i="1"/>
  <c r="EA83" i="1"/>
  <c r="CP14" i="1"/>
  <c r="EA14" i="1"/>
  <c r="CP86" i="1"/>
  <c r="EA86" i="1"/>
  <c r="CP41" i="1"/>
  <c r="EA41" i="1"/>
  <c r="CP19" i="1"/>
  <c r="EA19" i="1"/>
  <c r="DB70" i="1"/>
  <c r="EE70" i="1"/>
  <c r="FD70" i="1" s="1"/>
  <c r="EA94" i="1"/>
  <c r="EA37" i="1"/>
  <c r="CP68" i="1"/>
  <c r="EA68" i="1"/>
  <c r="CP78" i="1"/>
  <c r="EA78" i="1"/>
  <c r="CS16" i="1"/>
  <c r="EB16" i="1"/>
  <c r="CP50" i="1"/>
  <c r="EA50" i="1"/>
  <c r="EA5" i="1"/>
  <c r="CP22" i="1"/>
  <c r="EA22" i="1"/>
  <c r="CP6" i="1"/>
  <c r="EA6" i="1"/>
  <c r="EA36" i="1"/>
  <c r="EA34" i="1"/>
  <c r="CP43" i="1"/>
  <c r="EA43" i="1"/>
  <c r="CP77" i="1"/>
  <c r="EA77" i="1"/>
  <c r="CP46" i="1"/>
  <c r="EA46" i="1"/>
  <c r="CP74" i="1"/>
  <c r="EA74" i="1"/>
  <c r="CP96" i="1"/>
  <c r="EA96" i="1"/>
  <c r="CP11" i="1"/>
  <c r="EA11" i="1"/>
  <c r="EE65" i="1"/>
  <c r="FD65" i="1" s="1"/>
  <c r="DB65" i="1"/>
  <c r="CP71" i="1"/>
  <c r="EA71" i="1"/>
  <c r="EA92" i="1"/>
  <c r="CP54" i="1"/>
  <c r="EA54" i="1"/>
  <c r="CP66" i="1"/>
  <c r="EA66" i="1"/>
  <c r="CP72" i="1"/>
  <c r="EA72" i="1"/>
  <c r="CP44" i="1"/>
  <c r="EA44" i="1"/>
  <c r="CP97" i="1"/>
  <c r="EA97" i="1"/>
  <c r="CP15" i="1"/>
  <c r="EA15" i="1"/>
  <c r="CP49" i="1"/>
  <c r="EA49" i="1"/>
  <c r="EA28" i="1"/>
  <c r="CP51" i="1"/>
  <c r="EA51" i="1"/>
  <c r="CP79" i="1"/>
  <c r="EA79" i="1"/>
  <c r="CP9" i="1"/>
  <c r="EA9" i="1"/>
  <c r="CP7" i="1"/>
  <c r="EA7" i="1"/>
  <c r="EA91" i="1"/>
  <c r="EA4" i="1"/>
  <c r="CR6" i="1" l="1"/>
  <c r="CS54" i="1"/>
  <c r="EB54" i="1"/>
  <c r="CS85" i="1"/>
  <c r="EB85" i="1"/>
  <c r="CS77" i="1"/>
  <c r="EB77" i="1"/>
  <c r="CS48" i="1"/>
  <c r="EB48" i="1"/>
  <c r="CS15" i="1"/>
  <c r="EB15" i="1"/>
  <c r="CV16" i="1"/>
  <c r="EC16" i="1"/>
  <c r="DE65" i="1"/>
  <c r="EF65" i="1"/>
  <c r="FE65" i="1" s="1"/>
  <c r="CS46" i="1"/>
  <c r="EB46" i="1"/>
  <c r="CS69" i="1"/>
  <c r="EB69" i="1"/>
  <c r="CS19" i="1"/>
  <c r="EB19" i="1"/>
  <c r="CS47" i="1"/>
  <c r="EB47" i="1"/>
  <c r="CS91" i="1"/>
  <c r="EB91" i="1"/>
  <c r="CS43" i="1"/>
  <c r="EB43" i="1"/>
  <c r="CS41" i="1"/>
  <c r="EB41" i="1"/>
  <c r="CS80" i="1"/>
  <c r="EB80" i="1"/>
  <c r="CS7" i="1"/>
  <c r="EB7" i="1"/>
  <c r="CS97" i="1"/>
  <c r="EB97" i="1"/>
  <c r="CS34" i="1"/>
  <c r="EB34" i="1"/>
  <c r="CS78" i="1"/>
  <c r="EB78" i="1"/>
  <c r="CS86" i="1"/>
  <c r="EB86" i="1"/>
  <c r="CS35" i="1"/>
  <c r="EB35" i="1"/>
  <c r="CS38" i="1"/>
  <c r="EB38" i="1"/>
  <c r="DB87" i="1"/>
  <c r="EE87" i="1"/>
  <c r="EB5" i="1"/>
  <c r="CS84" i="1"/>
  <c r="EB84" i="1"/>
  <c r="CS92" i="1"/>
  <c r="EB92" i="1"/>
  <c r="CS24" i="1"/>
  <c r="EB24" i="1"/>
  <c r="CS67" i="1"/>
  <c r="EB67" i="1"/>
  <c r="CS28" i="1"/>
  <c r="EB28" i="1"/>
  <c r="DE70" i="1"/>
  <c r="EF70" i="1"/>
  <c r="FE70" i="1" s="1"/>
  <c r="CS93" i="1"/>
  <c r="EB93" i="1"/>
  <c r="CS49" i="1"/>
  <c r="EB49" i="1"/>
  <c r="CS50" i="1"/>
  <c r="EB50" i="1"/>
  <c r="CS71" i="1"/>
  <c r="EB71" i="1"/>
  <c r="CS88" i="1"/>
  <c r="EB88" i="1"/>
  <c r="CS9" i="1"/>
  <c r="EB9" i="1"/>
  <c r="CS44" i="1"/>
  <c r="EB44" i="1"/>
  <c r="CS11" i="1"/>
  <c r="EB11" i="1"/>
  <c r="CS36" i="1"/>
  <c r="EB36" i="1"/>
  <c r="CS68" i="1"/>
  <c r="EB68" i="1"/>
  <c r="CS14" i="1"/>
  <c r="EB14" i="1"/>
  <c r="CS20" i="1"/>
  <c r="EB20" i="1"/>
  <c r="CS53" i="1"/>
  <c r="EB53" i="1"/>
  <c r="CS40" i="1"/>
  <c r="EB40" i="1"/>
  <c r="CS79" i="1"/>
  <c r="EB79" i="1"/>
  <c r="CS72" i="1"/>
  <c r="EB72" i="1"/>
  <c r="CS96" i="1"/>
  <c r="EB96" i="1"/>
  <c r="CS6" i="1"/>
  <c r="EB6" i="1"/>
  <c r="CS37" i="1"/>
  <c r="EB37" i="1"/>
  <c r="CS83" i="1"/>
  <c r="EB83" i="1"/>
  <c r="CS56" i="1"/>
  <c r="EB56" i="1"/>
  <c r="CS8" i="1"/>
  <c r="EB8" i="1"/>
  <c r="CS33" i="1"/>
  <c r="EB33" i="1"/>
  <c r="CS51" i="1"/>
  <c r="EB51" i="1"/>
  <c r="CS66" i="1"/>
  <c r="EB66" i="1"/>
  <c r="CS74" i="1"/>
  <c r="EB74" i="1"/>
  <c r="CS22" i="1"/>
  <c r="EB22" i="1"/>
  <c r="CS94" i="1"/>
  <c r="EB94" i="1"/>
  <c r="CS30" i="1"/>
  <c r="EB30" i="1"/>
  <c r="CS73" i="1"/>
  <c r="EB73" i="1"/>
  <c r="EF55" i="1"/>
  <c r="FE55" i="1" s="1"/>
  <c r="DE55" i="1"/>
  <c r="CS42" i="1"/>
  <c r="EB42" i="1"/>
  <c r="EB4" i="1"/>
  <c r="CU6" i="1" l="1"/>
  <c r="CV88" i="1"/>
  <c r="EC88" i="1"/>
  <c r="DH65" i="1"/>
  <c r="EH65" i="1" s="1"/>
  <c r="FG65" i="1" s="1"/>
  <c r="EG65" i="1"/>
  <c r="FF65" i="1" s="1"/>
  <c r="CV66" i="1"/>
  <c r="EC66" i="1"/>
  <c r="CV24" i="1"/>
  <c r="EC24" i="1"/>
  <c r="CV20" i="1"/>
  <c r="EC20" i="1"/>
  <c r="CV35" i="1"/>
  <c r="EC35" i="1"/>
  <c r="CV42" i="1"/>
  <c r="EC42" i="1"/>
  <c r="CY16" i="1"/>
  <c r="ED16" i="1"/>
  <c r="CV51" i="1"/>
  <c r="EC51" i="1"/>
  <c r="CV92" i="1"/>
  <c r="EC92" i="1"/>
  <c r="CV37" i="1"/>
  <c r="EC37" i="1"/>
  <c r="CV41" i="1"/>
  <c r="EC41" i="1"/>
  <c r="CV14" i="1"/>
  <c r="EC14" i="1"/>
  <c r="CV43" i="1"/>
  <c r="EC43" i="1"/>
  <c r="DH55" i="1"/>
  <c r="EH55" i="1" s="1"/>
  <c r="FG55" i="1" s="1"/>
  <c r="EG55" i="1"/>
  <c r="FF55" i="1" s="1"/>
  <c r="CV96" i="1"/>
  <c r="EC96" i="1"/>
  <c r="CV68" i="1"/>
  <c r="EC68" i="1"/>
  <c r="CV50" i="1"/>
  <c r="EC50" i="1"/>
  <c r="CV78" i="1"/>
  <c r="EC78" i="1"/>
  <c r="CV91" i="1"/>
  <c r="EC91" i="1"/>
  <c r="CV15" i="1"/>
  <c r="EC15" i="1"/>
  <c r="CV73" i="1"/>
  <c r="EC73" i="1"/>
  <c r="CV33" i="1"/>
  <c r="EC33" i="1"/>
  <c r="CV72" i="1"/>
  <c r="EC72" i="1"/>
  <c r="CV36" i="1"/>
  <c r="EC36" i="1"/>
  <c r="CV49" i="1"/>
  <c r="EC49" i="1"/>
  <c r="CV84" i="1"/>
  <c r="EC84" i="1"/>
  <c r="CV34" i="1"/>
  <c r="EC34" i="1"/>
  <c r="CV47" i="1"/>
  <c r="EC47" i="1"/>
  <c r="CV48" i="1"/>
  <c r="EC48" i="1"/>
  <c r="CV74" i="1"/>
  <c r="EC74" i="1"/>
  <c r="CV67" i="1"/>
  <c r="EC67" i="1"/>
  <c r="CV6" i="1"/>
  <c r="EC6" i="1"/>
  <c r="CV71" i="1"/>
  <c r="EC71" i="1"/>
  <c r="CV86" i="1"/>
  <c r="EC86" i="1"/>
  <c r="CV30" i="1"/>
  <c r="EC30" i="1"/>
  <c r="CV8" i="1"/>
  <c r="EC8" i="1"/>
  <c r="CV79" i="1"/>
  <c r="EC79" i="1"/>
  <c r="CV11" i="1"/>
  <c r="EC11" i="1"/>
  <c r="CV93" i="1"/>
  <c r="EC93" i="1"/>
  <c r="EC5" i="1"/>
  <c r="CV97" i="1"/>
  <c r="EC97" i="1"/>
  <c r="CV19" i="1"/>
  <c r="EC19" i="1"/>
  <c r="CV77" i="1"/>
  <c r="EC77" i="1"/>
  <c r="CV94" i="1"/>
  <c r="EC94" i="1"/>
  <c r="CV56" i="1"/>
  <c r="EC56" i="1"/>
  <c r="CV40" i="1"/>
  <c r="EC40" i="1"/>
  <c r="CV44" i="1"/>
  <c r="EC44" i="1"/>
  <c r="EG70" i="1"/>
  <c r="FF70" i="1" s="1"/>
  <c r="DH70" i="1"/>
  <c r="EH70" i="1" s="1"/>
  <c r="FG70" i="1" s="1"/>
  <c r="DE87" i="1"/>
  <c r="EF87" i="1"/>
  <c r="CV7" i="1"/>
  <c r="EC7" i="1"/>
  <c r="CV69" i="1"/>
  <c r="EC69" i="1"/>
  <c r="CV85" i="1"/>
  <c r="EC85" i="1"/>
  <c r="CV22" i="1"/>
  <c r="EC22" i="1"/>
  <c r="CV83" i="1"/>
  <c r="EC83" i="1"/>
  <c r="CV53" i="1"/>
  <c r="EC53" i="1"/>
  <c r="CV9" i="1"/>
  <c r="EC9" i="1"/>
  <c r="CV28" i="1"/>
  <c r="EC28" i="1"/>
  <c r="CV38" i="1"/>
  <c r="EC38" i="1"/>
  <c r="CV80" i="1"/>
  <c r="EC80" i="1"/>
  <c r="CV46" i="1"/>
  <c r="EC46" i="1"/>
  <c r="CV54" i="1"/>
  <c r="EC54" i="1"/>
  <c r="EC4" i="1"/>
  <c r="CX6" i="1" l="1"/>
  <c r="CY97" i="1"/>
  <c r="ED97" i="1"/>
  <c r="CY43" i="1"/>
  <c r="ED43" i="1"/>
  <c r="CY54" i="1"/>
  <c r="ED54" i="1"/>
  <c r="CY91" i="1"/>
  <c r="ED91" i="1"/>
  <c r="CY53" i="1"/>
  <c r="ED53" i="1"/>
  <c r="CY86" i="1"/>
  <c r="ED86" i="1"/>
  <c r="ED5" i="1"/>
  <c r="CY71" i="1"/>
  <c r="ED71" i="1"/>
  <c r="CY14" i="1"/>
  <c r="ED14" i="1"/>
  <c r="CY46" i="1"/>
  <c r="ED46" i="1"/>
  <c r="CY78" i="1"/>
  <c r="ED78" i="1"/>
  <c r="CY15" i="1"/>
  <c r="ED15" i="1"/>
  <c r="CY83" i="1"/>
  <c r="ED83" i="1"/>
  <c r="CY84" i="1"/>
  <c r="ED84" i="1"/>
  <c r="CY40" i="1"/>
  <c r="ED40" i="1"/>
  <c r="CY93" i="1"/>
  <c r="ED93" i="1"/>
  <c r="CY49" i="1"/>
  <c r="ED49" i="1"/>
  <c r="CY41" i="1"/>
  <c r="ED41" i="1"/>
  <c r="CY20" i="1"/>
  <c r="ED20" i="1"/>
  <c r="CY80" i="1"/>
  <c r="ED80" i="1"/>
  <c r="CY85" i="1"/>
  <c r="ED85" i="1"/>
  <c r="CY56" i="1"/>
  <c r="ED56" i="1"/>
  <c r="CY11" i="1"/>
  <c r="ED11" i="1"/>
  <c r="CY67" i="1"/>
  <c r="ED67" i="1"/>
  <c r="CY36" i="1"/>
  <c r="ED36" i="1"/>
  <c r="CY50" i="1"/>
  <c r="ED50" i="1"/>
  <c r="CY37" i="1"/>
  <c r="ED37" i="1"/>
  <c r="CY24" i="1"/>
  <c r="ED24" i="1"/>
  <c r="CY34" i="1"/>
  <c r="ED34" i="1"/>
  <c r="CY42" i="1"/>
  <c r="ED42" i="1"/>
  <c r="CY44" i="1"/>
  <c r="ED44" i="1"/>
  <c r="CY35" i="1"/>
  <c r="ED35" i="1"/>
  <c r="CY22" i="1"/>
  <c r="ED22" i="1"/>
  <c r="CY6" i="1"/>
  <c r="ED6" i="1"/>
  <c r="CY38" i="1"/>
  <c r="ED38" i="1"/>
  <c r="CY69" i="1"/>
  <c r="ED69" i="1"/>
  <c r="CY94" i="1"/>
  <c r="ED94" i="1"/>
  <c r="CY79" i="1"/>
  <c r="ED79" i="1"/>
  <c r="CY74" i="1"/>
  <c r="ED74" i="1"/>
  <c r="CY72" i="1"/>
  <c r="ED72" i="1"/>
  <c r="CY68" i="1"/>
  <c r="ED68" i="1"/>
  <c r="CY92" i="1"/>
  <c r="ED92" i="1"/>
  <c r="CY66" i="1"/>
  <c r="ED66" i="1"/>
  <c r="CY28" i="1"/>
  <c r="ED28" i="1"/>
  <c r="CY7" i="1"/>
  <c r="ED7" i="1"/>
  <c r="CY77" i="1"/>
  <c r="ED77" i="1"/>
  <c r="CY8" i="1"/>
  <c r="ED8" i="1"/>
  <c r="CY48" i="1"/>
  <c r="ED48" i="1"/>
  <c r="CY33" i="1"/>
  <c r="ED33" i="1"/>
  <c r="CY96" i="1"/>
  <c r="ED96" i="1"/>
  <c r="CY51" i="1"/>
  <c r="ED51" i="1"/>
  <c r="CY9" i="1"/>
  <c r="ED9" i="1"/>
  <c r="DH87" i="1"/>
  <c r="EH87" i="1" s="1"/>
  <c r="EG87" i="1"/>
  <c r="CY19" i="1"/>
  <c r="ED19" i="1"/>
  <c r="CY30" i="1"/>
  <c r="ED30" i="1"/>
  <c r="CY47" i="1"/>
  <c r="ED47" i="1"/>
  <c r="CY73" i="1"/>
  <c r="ED73" i="1"/>
  <c r="DB16" i="1"/>
  <c r="EE16" i="1"/>
  <c r="FD16" i="1" s="1"/>
  <c r="CY88" i="1"/>
  <c r="ED88" i="1"/>
  <c r="ED4" i="1"/>
  <c r="DA6" i="1" l="1"/>
  <c r="EE24" i="1"/>
  <c r="FD24" i="1" s="1"/>
  <c r="DB24" i="1"/>
  <c r="DB33" i="1"/>
  <c r="EE33" i="1"/>
  <c r="FD33" i="1" s="1"/>
  <c r="EE5" i="1"/>
  <c r="FD5" i="1" s="1"/>
  <c r="EE48" i="1"/>
  <c r="FD48" i="1" s="1"/>
  <c r="DB48" i="1"/>
  <c r="DB80" i="1"/>
  <c r="EE80" i="1"/>
  <c r="FD80" i="1" s="1"/>
  <c r="EE50" i="1"/>
  <c r="FD50" i="1" s="1"/>
  <c r="DB50" i="1"/>
  <c r="DB85" i="1"/>
  <c r="EE85" i="1"/>
  <c r="FD85" i="1" s="1"/>
  <c r="EE30" i="1"/>
  <c r="FD30" i="1" s="1"/>
  <c r="DB30" i="1"/>
  <c r="EE37" i="1"/>
  <c r="FD37" i="1" s="1"/>
  <c r="DB37" i="1"/>
  <c r="EE19" i="1"/>
  <c r="DB19" i="1"/>
  <c r="DB77" i="1"/>
  <c r="EE77" i="1"/>
  <c r="FD77" i="1" s="1"/>
  <c r="EE74" i="1"/>
  <c r="FD74" i="1" s="1"/>
  <c r="DB74" i="1"/>
  <c r="DB35" i="1"/>
  <c r="EE35" i="1"/>
  <c r="FD35" i="1" s="1"/>
  <c r="EE36" i="1"/>
  <c r="FD36" i="1" s="1"/>
  <c r="DB36" i="1"/>
  <c r="EE41" i="1"/>
  <c r="FD41" i="1" s="1"/>
  <c r="DB41" i="1"/>
  <c r="DB78" i="1"/>
  <c r="EE78" i="1"/>
  <c r="FD78" i="1" s="1"/>
  <c r="DB91" i="1"/>
  <c r="EE91" i="1"/>
  <c r="FD91" i="1" s="1"/>
  <c r="DB84" i="1"/>
  <c r="EE84" i="1"/>
  <c r="FD84" i="1" s="1"/>
  <c r="DB86" i="1"/>
  <c r="EE86" i="1"/>
  <c r="FD86" i="1" s="1"/>
  <c r="EE22" i="1"/>
  <c r="DB22" i="1"/>
  <c r="DB47" i="1"/>
  <c r="EE47" i="1"/>
  <c r="FD47" i="1" s="1"/>
  <c r="DB83" i="1"/>
  <c r="EE83" i="1"/>
  <c r="FD83" i="1" s="1"/>
  <c r="DB8" i="1"/>
  <c r="EE8" i="1"/>
  <c r="DB15" i="1"/>
  <c r="EE15" i="1"/>
  <c r="FD15" i="1" s="1"/>
  <c r="DB88" i="1"/>
  <c r="EE88" i="1"/>
  <c r="FD88" i="1" s="1"/>
  <c r="DB79" i="1"/>
  <c r="EE79" i="1"/>
  <c r="FD79" i="1" s="1"/>
  <c r="EE49" i="1"/>
  <c r="FD49" i="1" s="1"/>
  <c r="DB49" i="1"/>
  <c r="DB92" i="1"/>
  <c r="EE92" i="1"/>
  <c r="FD92" i="1" s="1"/>
  <c r="DB6" i="1"/>
  <c r="EE6" i="1"/>
  <c r="FD6" i="1" s="1"/>
  <c r="EE20" i="1"/>
  <c r="DB20" i="1"/>
  <c r="DB9" i="1"/>
  <c r="EE9" i="1"/>
  <c r="FD9" i="1" s="1"/>
  <c r="EE44" i="1"/>
  <c r="FD44" i="1" s="1"/>
  <c r="DB44" i="1"/>
  <c r="DB67" i="1"/>
  <c r="EE67" i="1"/>
  <c r="FD67" i="1" s="1"/>
  <c r="EE54" i="1"/>
  <c r="FD54" i="1" s="1"/>
  <c r="DB54" i="1"/>
  <c r="EE38" i="1"/>
  <c r="FD38" i="1" s="1"/>
  <c r="DB38" i="1"/>
  <c r="EE68" i="1"/>
  <c r="FD68" i="1" s="1"/>
  <c r="DB68" i="1"/>
  <c r="DB72" i="1"/>
  <c r="EE72" i="1"/>
  <c r="FD72" i="1" s="1"/>
  <c r="DB53" i="1"/>
  <c r="EE53" i="1"/>
  <c r="FD53" i="1" s="1"/>
  <c r="DB7" i="1"/>
  <c r="EE7" i="1"/>
  <c r="FD7" i="1" s="1"/>
  <c r="DB46" i="1"/>
  <c r="EE46" i="1"/>
  <c r="FD46" i="1" s="1"/>
  <c r="DE16" i="1"/>
  <c r="EF16" i="1"/>
  <c r="FE16" i="1" s="1"/>
  <c r="EE51" i="1"/>
  <c r="FD51" i="1" s="1"/>
  <c r="DB51" i="1"/>
  <c r="EE28" i="1"/>
  <c r="FD28" i="1" s="1"/>
  <c r="DB28" i="1"/>
  <c r="DB94" i="1"/>
  <c r="EE94" i="1"/>
  <c r="EE42" i="1"/>
  <c r="FD42" i="1" s="1"/>
  <c r="DB42" i="1"/>
  <c r="DB11" i="1"/>
  <c r="EE11" i="1"/>
  <c r="FD11" i="1" s="1"/>
  <c r="DB93" i="1"/>
  <c r="EE93" i="1"/>
  <c r="DB14" i="1"/>
  <c r="EE14" i="1"/>
  <c r="FD14" i="1" s="1"/>
  <c r="EE43" i="1"/>
  <c r="FD43" i="1" s="1"/>
  <c r="DB43" i="1"/>
  <c r="DB73" i="1"/>
  <c r="EE73" i="1"/>
  <c r="FD73" i="1" s="1"/>
  <c r="DB96" i="1"/>
  <c r="EE96" i="1"/>
  <c r="FD96" i="1" s="1"/>
  <c r="EE66" i="1"/>
  <c r="FD66" i="1" s="1"/>
  <c r="DB66" i="1"/>
  <c r="EE69" i="1"/>
  <c r="FD69" i="1" s="1"/>
  <c r="DB69" i="1"/>
  <c r="EE34" i="1"/>
  <c r="FD34" i="1" s="1"/>
  <c r="DB34" i="1"/>
  <c r="EE56" i="1"/>
  <c r="FD56" i="1" s="1"/>
  <c r="DB56" i="1"/>
  <c r="EE40" i="1"/>
  <c r="FD40" i="1" s="1"/>
  <c r="DB40" i="1"/>
  <c r="EE71" i="1"/>
  <c r="FD71" i="1" s="1"/>
  <c r="DB71" i="1"/>
  <c r="EE97" i="1"/>
  <c r="FD97" i="1" s="1"/>
  <c r="DB97" i="1"/>
  <c r="EE4" i="1"/>
  <c r="AG2" i="1"/>
  <c r="AH2" i="1" s="1"/>
  <c r="AI2" i="1" s="1"/>
  <c r="AJ2" i="1" s="1"/>
  <c r="AK2" i="1" s="1"/>
  <c r="AL2" i="1" s="1"/>
  <c r="AM2" i="1" s="1"/>
  <c r="AN2" i="1" s="1"/>
  <c r="DD6" i="1" l="1"/>
  <c r="FD4" i="1"/>
  <c r="FD8" i="1"/>
  <c r="EF38" i="1"/>
  <c r="FE38" i="1" s="1"/>
  <c r="DE38" i="1"/>
  <c r="EF47" i="1"/>
  <c r="FE47" i="1" s="1"/>
  <c r="DE47" i="1"/>
  <c r="DE14" i="1"/>
  <c r="EF14" i="1"/>
  <c r="FE14" i="1" s="1"/>
  <c r="EF49" i="1"/>
  <c r="FE49" i="1" s="1"/>
  <c r="DE49" i="1"/>
  <c r="DE74" i="1"/>
  <c r="EF74" i="1"/>
  <c r="FE74" i="1" s="1"/>
  <c r="EF44" i="1"/>
  <c r="FE44" i="1" s="1"/>
  <c r="DE44" i="1"/>
  <c r="EF48" i="1"/>
  <c r="FE48" i="1" s="1"/>
  <c r="DE48" i="1"/>
  <c r="DE92" i="1"/>
  <c r="EF92" i="1"/>
  <c r="FE92" i="1" s="1"/>
  <c r="EF50" i="1"/>
  <c r="FE50" i="1" s="1"/>
  <c r="DE50" i="1"/>
  <c r="DH16" i="1"/>
  <c r="EH16" i="1" s="1"/>
  <c r="FG16" i="1" s="1"/>
  <c r="EG16" i="1"/>
  <c r="FF16" i="1" s="1"/>
  <c r="EF67" i="1"/>
  <c r="FE67" i="1" s="1"/>
  <c r="DE67" i="1"/>
  <c r="DE80" i="1"/>
  <c r="EF80" i="1"/>
  <c r="FE80" i="1" s="1"/>
  <c r="EF51" i="1"/>
  <c r="FE51" i="1" s="1"/>
  <c r="DE51" i="1"/>
  <c r="EF56" i="1"/>
  <c r="FE56" i="1" s="1"/>
  <c r="DE56" i="1"/>
  <c r="EF22" i="1"/>
  <c r="DE22" i="1"/>
  <c r="EF35" i="1"/>
  <c r="FE35" i="1" s="1"/>
  <c r="DE35" i="1"/>
  <c r="DE79" i="1"/>
  <c r="EF79" i="1"/>
  <c r="FE79" i="1" s="1"/>
  <c r="DE11" i="1"/>
  <c r="EF11" i="1"/>
  <c r="FE11" i="1" s="1"/>
  <c r="DE7" i="1"/>
  <c r="EF7" i="1"/>
  <c r="FE7" i="1" s="1"/>
  <c r="EF97" i="1"/>
  <c r="FE97" i="1" s="1"/>
  <c r="DE97" i="1"/>
  <c r="EF53" i="1"/>
  <c r="FE53" i="1" s="1"/>
  <c r="DE53" i="1"/>
  <c r="DE15" i="1"/>
  <c r="EF15" i="1"/>
  <c r="FE15" i="1" s="1"/>
  <c r="EF5" i="1"/>
  <c r="FE5" i="1" s="1"/>
  <c r="DE96" i="1"/>
  <c r="EF96" i="1"/>
  <c r="FE96" i="1" s="1"/>
  <c r="DE94" i="1"/>
  <c r="EF94" i="1"/>
  <c r="EF20" i="1"/>
  <c r="DE20" i="1"/>
  <c r="EF37" i="1"/>
  <c r="FE37" i="1" s="1"/>
  <c r="DE37" i="1"/>
  <c r="DE85" i="1"/>
  <c r="EF85" i="1"/>
  <c r="FE85" i="1" s="1"/>
  <c r="EF54" i="1"/>
  <c r="FE54" i="1" s="1"/>
  <c r="DE54" i="1"/>
  <c r="EF34" i="1"/>
  <c r="FE34" i="1" s="1"/>
  <c r="DE34" i="1"/>
  <c r="DE93" i="1"/>
  <c r="EF93" i="1"/>
  <c r="EF69" i="1"/>
  <c r="FE69" i="1" s="1"/>
  <c r="DE69" i="1"/>
  <c r="DE42" i="1"/>
  <c r="EF42" i="1"/>
  <c r="FE42" i="1" s="1"/>
  <c r="DE88" i="1"/>
  <c r="EF88" i="1"/>
  <c r="FE88" i="1" s="1"/>
  <c r="DE84" i="1"/>
  <c r="EF84" i="1"/>
  <c r="FE84" i="1" s="1"/>
  <c r="EF19" i="1"/>
  <c r="DE19" i="1"/>
  <c r="DE9" i="1"/>
  <c r="EF9" i="1"/>
  <c r="FE9" i="1" s="1"/>
  <c r="EF71" i="1"/>
  <c r="FE71" i="1" s="1"/>
  <c r="DE71" i="1"/>
  <c r="DE28" i="1"/>
  <c r="EF28" i="1"/>
  <c r="FE28" i="1" s="1"/>
  <c r="EF72" i="1"/>
  <c r="FE72" i="1" s="1"/>
  <c r="DE72" i="1"/>
  <c r="DE8" i="1"/>
  <c r="EF8" i="1"/>
  <c r="DE78" i="1"/>
  <c r="EF78" i="1"/>
  <c r="FE78" i="1" s="1"/>
  <c r="EF33" i="1"/>
  <c r="FE33" i="1" s="1"/>
  <c r="DE33" i="1"/>
  <c r="DE73" i="1"/>
  <c r="EF73" i="1"/>
  <c r="FE73" i="1" s="1"/>
  <c r="EF68" i="1"/>
  <c r="FE68" i="1" s="1"/>
  <c r="DE68" i="1"/>
  <c r="EF41" i="1"/>
  <c r="FE41" i="1" s="1"/>
  <c r="DE41" i="1"/>
  <c r="EF30" i="1"/>
  <c r="FE30" i="1" s="1"/>
  <c r="DE30" i="1"/>
  <c r="EF24" i="1"/>
  <c r="FE24" i="1" s="1"/>
  <c r="DE24" i="1"/>
  <c r="EF36" i="1"/>
  <c r="FE36" i="1" s="1"/>
  <c r="DE36" i="1"/>
  <c r="EF46" i="1"/>
  <c r="FE46" i="1" s="1"/>
  <c r="DE46" i="1"/>
  <c r="DE86" i="1"/>
  <c r="EF86" i="1"/>
  <c r="FE86" i="1" s="1"/>
  <c r="DE66" i="1"/>
  <c r="EF66" i="1"/>
  <c r="FE66" i="1" s="1"/>
  <c r="DE77" i="1"/>
  <c r="EF77" i="1"/>
  <c r="FE77" i="1" s="1"/>
  <c r="DE91" i="1"/>
  <c r="EF91" i="1"/>
  <c r="FE91" i="1" s="1"/>
  <c r="DE40" i="1"/>
  <c r="EF40" i="1"/>
  <c r="FE40" i="1" s="1"/>
  <c r="EF43" i="1"/>
  <c r="FE43" i="1" s="1"/>
  <c r="DE43" i="1"/>
  <c r="DE6" i="1"/>
  <c r="EF6" i="1"/>
  <c r="FE6" i="1" s="1"/>
  <c r="DE83" i="1"/>
  <c r="EF83" i="1"/>
  <c r="FE83" i="1" s="1"/>
  <c r="EF4" i="1"/>
  <c r="DG6" i="1" l="1"/>
  <c r="FE4" i="1"/>
  <c r="FE8" i="1"/>
  <c r="DH84" i="1"/>
  <c r="EH84" i="1" s="1"/>
  <c r="FG84" i="1" s="1"/>
  <c r="EG84" i="1"/>
  <c r="FF84" i="1" s="1"/>
  <c r="EG42" i="1"/>
  <c r="FF42" i="1" s="1"/>
  <c r="DH42" i="1"/>
  <c r="EH42" i="1" s="1"/>
  <c r="FG42" i="1" s="1"/>
  <c r="DH7" i="1"/>
  <c r="EH7" i="1" s="1"/>
  <c r="FG7" i="1" s="1"/>
  <c r="EG7" i="1"/>
  <c r="FF7" i="1" s="1"/>
  <c r="DH91" i="1"/>
  <c r="EH91" i="1" s="1"/>
  <c r="FG91" i="1" s="1"/>
  <c r="EG91" i="1"/>
  <c r="FF91" i="1" s="1"/>
  <c r="EG44" i="1"/>
  <c r="FF44" i="1" s="1"/>
  <c r="DH44" i="1"/>
  <c r="EH44" i="1" s="1"/>
  <c r="FG44" i="1" s="1"/>
  <c r="DH66" i="1"/>
  <c r="EG66" i="1"/>
  <c r="FF66" i="1" s="1"/>
  <c r="EG68" i="1"/>
  <c r="FF68" i="1" s="1"/>
  <c r="DH68" i="1"/>
  <c r="DH28" i="1"/>
  <c r="EH28" i="1" s="1"/>
  <c r="FG28" i="1" s="1"/>
  <c r="EG28" i="1"/>
  <c r="FF28" i="1" s="1"/>
  <c r="DH94" i="1"/>
  <c r="EH94" i="1" s="1"/>
  <c r="EG94" i="1"/>
  <c r="DH11" i="1"/>
  <c r="EH11" i="1" s="1"/>
  <c r="FG11" i="1" s="1"/>
  <c r="EG11" i="1"/>
  <c r="FF11" i="1" s="1"/>
  <c r="EG67" i="1"/>
  <c r="FF67" i="1" s="1"/>
  <c r="DH67" i="1"/>
  <c r="EH67" i="1" s="1"/>
  <c r="FG67" i="1" s="1"/>
  <c r="EG49" i="1"/>
  <c r="FF49" i="1" s="1"/>
  <c r="DH49" i="1"/>
  <c r="EH49" i="1" s="1"/>
  <c r="FG49" i="1" s="1"/>
  <c r="EG97" i="1"/>
  <c r="FF97" i="1" s="1"/>
  <c r="DH97" i="1"/>
  <c r="DH8" i="1"/>
  <c r="EH8" i="1" s="1"/>
  <c r="EG8" i="1"/>
  <c r="DH77" i="1"/>
  <c r="EH77" i="1" s="1"/>
  <c r="FG77" i="1" s="1"/>
  <c r="EG77" i="1"/>
  <c r="FF77" i="1" s="1"/>
  <c r="EG69" i="1"/>
  <c r="FF69" i="1" s="1"/>
  <c r="DH69" i="1"/>
  <c r="EH69" i="1" s="1"/>
  <c r="FG69" i="1" s="1"/>
  <c r="EG71" i="1"/>
  <c r="FF71" i="1" s="1"/>
  <c r="DH71" i="1"/>
  <c r="EH71" i="1" s="1"/>
  <c r="FG71" i="1" s="1"/>
  <c r="EG48" i="1"/>
  <c r="FF48" i="1" s="1"/>
  <c r="DH48" i="1"/>
  <c r="EH48" i="1" s="1"/>
  <c r="FG48" i="1" s="1"/>
  <c r="EG41" i="1"/>
  <c r="FF41" i="1" s="1"/>
  <c r="DH41" i="1"/>
  <c r="EH41" i="1" s="1"/>
  <c r="FG41" i="1" s="1"/>
  <c r="DH93" i="1"/>
  <c r="EH93" i="1" s="1"/>
  <c r="EG93" i="1"/>
  <c r="DH96" i="1"/>
  <c r="EH96" i="1" s="1"/>
  <c r="FG96" i="1" s="1"/>
  <c r="EG96" i="1"/>
  <c r="FF96" i="1" s="1"/>
  <c r="DH79" i="1"/>
  <c r="EH79" i="1" s="1"/>
  <c r="FG79" i="1" s="1"/>
  <c r="EG79" i="1"/>
  <c r="FF79" i="1" s="1"/>
  <c r="DH78" i="1"/>
  <c r="EH78" i="1" s="1"/>
  <c r="FG78" i="1" s="1"/>
  <c r="EG78" i="1"/>
  <c r="FF78" i="1" s="1"/>
  <c r="DH88" i="1"/>
  <c r="EH88" i="1" s="1"/>
  <c r="FG88" i="1" s="1"/>
  <c r="EG88" i="1"/>
  <c r="FF88" i="1" s="1"/>
  <c r="DH83" i="1"/>
  <c r="EH83" i="1" s="1"/>
  <c r="FG83" i="1" s="1"/>
  <c r="EG83" i="1"/>
  <c r="FF83" i="1" s="1"/>
  <c r="EG35" i="1"/>
  <c r="FF35" i="1" s="1"/>
  <c r="DH35" i="1"/>
  <c r="EH35" i="1" s="1"/>
  <c r="FG35" i="1" s="1"/>
  <c r="DH14" i="1"/>
  <c r="EH14" i="1" s="1"/>
  <c r="FG14" i="1" s="1"/>
  <c r="EG14" i="1"/>
  <c r="FF14" i="1" s="1"/>
  <c r="DH6" i="1"/>
  <c r="EH6" i="1" s="1"/>
  <c r="FG6" i="1" s="1"/>
  <c r="EG6" i="1"/>
  <c r="FF6" i="1" s="1"/>
  <c r="DH73" i="1"/>
  <c r="EH73" i="1" s="1"/>
  <c r="FG73" i="1" s="1"/>
  <c r="EG73" i="1"/>
  <c r="FF73" i="1" s="1"/>
  <c r="DH9" i="1"/>
  <c r="EH9" i="1" s="1"/>
  <c r="FG9" i="1" s="1"/>
  <c r="EG9" i="1"/>
  <c r="FF9" i="1" s="1"/>
  <c r="EH5" i="1"/>
  <c r="FG5" i="1" s="1"/>
  <c r="EG5" i="1"/>
  <c r="FF5" i="1" s="1"/>
  <c r="EG50" i="1"/>
  <c r="FF50" i="1" s="1"/>
  <c r="DH50" i="1"/>
  <c r="EH50" i="1" s="1"/>
  <c r="FG50" i="1" s="1"/>
  <c r="EG47" i="1"/>
  <c r="FF47" i="1" s="1"/>
  <c r="DH47" i="1"/>
  <c r="EH47" i="1" s="1"/>
  <c r="FG47" i="1" s="1"/>
  <c r="DH40" i="1"/>
  <c r="EH40" i="1" s="1"/>
  <c r="FG40" i="1" s="1"/>
  <c r="EG40" i="1"/>
  <c r="FF40" i="1" s="1"/>
  <c r="EG30" i="1"/>
  <c r="FF30" i="1" s="1"/>
  <c r="DH30" i="1"/>
  <c r="EG51" i="1"/>
  <c r="FF51" i="1" s="1"/>
  <c r="DH51" i="1"/>
  <c r="EH51" i="1" s="1"/>
  <c r="FG51" i="1" s="1"/>
  <c r="DH72" i="1"/>
  <c r="EH72" i="1" s="1"/>
  <c r="FG72" i="1" s="1"/>
  <c r="EG72" i="1"/>
  <c r="FF72" i="1" s="1"/>
  <c r="EG20" i="1"/>
  <c r="DH20" i="1"/>
  <c r="EH20" i="1" s="1"/>
  <c r="EG74" i="1"/>
  <c r="FF74" i="1" s="1"/>
  <c r="DH74" i="1"/>
  <c r="EH74" i="1" s="1"/>
  <c r="FG74" i="1" s="1"/>
  <c r="DH86" i="1"/>
  <c r="EH86" i="1" s="1"/>
  <c r="FG86" i="1" s="1"/>
  <c r="EG86" i="1"/>
  <c r="FF86" i="1" s="1"/>
  <c r="EG36" i="1"/>
  <c r="FF36" i="1" s="1"/>
  <c r="DH36" i="1"/>
  <c r="EH36" i="1" s="1"/>
  <c r="FG36" i="1" s="1"/>
  <c r="DH15" i="1"/>
  <c r="EH15" i="1" s="1"/>
  <c r="FG15" i="1" s="1"/>
  <c r="EG15" i="1"/>
  <c r="FF15" i="1" s="1"/>
  <c r="EG38" i="1"/>
  <c r="FF38" i="1" s="1"/>
  <c r="DH38" i="1"/>
  <c r="EG24" i="1"/>
  <c r="FF24" i="1" s="1"/>
  <c r="DH24" i="1"/>
  <c r="EH24" i="1" s="1"/>
  <c r="FG24" i="1" s="1"/>
  <c r="DH85" i="1"/>
  <c r="EH85" i="1" s="1"/>
  <c r="FG85" i="1" s="1"/>
  <c r="EG85" i="1"/>
  <c r="FF85" i="1" s="1"/>
  <c r="EG37" i="1"/>
  <c r="FF37" i="1" s="1"/>
  <c r="DH37" i="1"/>
  <c r="EH37" i="1" s="1"/>
  <c r="FG37" i="1" s="1"/>
  <c r="DH80" i="1"/>
  <c r="EH80" i="1" s="1"/>
  <c r="FG80" i="1" s="1"/>
  <c r="EG80" i="1"/>
  <c r="FF80" i="1" s="1"/>
  <c r="EG46" i="1"/>
  <c r="FF46" i="1" s="1"/>
  <c r="DH46" i="1"/>
  <c r="EG34" i="1"/>
  <c r="FF34" i="1" s="1"/>
  <c r="DH34" i="1"/>
  <c r="EG43" i="1"/>
  <c r="FF43" i="1" s="1"/>
  <c r="DH43" i="1"/>
  <c r="EH43" i="1" s="1"/>
  <c r="FG43" i="1" s="1"/>
  <c r="DH33" i="1"/>
  <c r="EG33" i="1"/>
  <c r="FF33" i="1" s="1"/>
  <c r="EG19" i="1"/>
  <c r="DH19" i="1"/>
  <c r="EH19" i="1" s="1"/>
  <c r="EG54" i="1"/>
  <c r="FF54" i="1" s="1"/>
  <c r="DH54" i="1"/>
  <c r="EH54" i="1" s="1"/>
  <c r="FG54" i="1" s="1"/>
  <c r="EG22" i="1"/>
  <c r="DH22" i="1"/>
  <c r="EH22" i="1" s="1"/>
  <c r="EG53" i="1"/>
  <c r="FF53" i="1" s="1"/>
  <c r="DH53" i="1"/>
  <c r="EH53" i="1" s="1"/>
  <c r="FG53" i="1" s="1"/>
  <c r="DH56" i="1"/>
  <c r="EH56" i="1" s="1"/>
  <c r="FG56" i="1" s="1"/>
  <c r="EG56" i="1"/>
  <c r="FF56" i="1" s="1"/>
  <c r="DH92" i="1"/>
  <c r="EH92" i="1" s="1"/>
  <c r="FG92" i="1" s="1"/>
  <c r="EG92" i="1"/>
  <c r="FF92" i="1" s="1"/>
  <c r="EH4" i="1"/>
  <c r="EG4" i="1"/>
  <c r="EE39" i="1"/>
  <c r="FD39" i="1" s="1"/>
  <c r="EE32" i="1"/>
  <c r="FD32" i="1" s="1"/>
  <c r="AF26" i="1"/>
  <c r="BR51" i="1"/>
  <c r="BR49" i="1"/>
  <c r="BR42" i="1"/>
  <c r="BR35" i="1"/>
  <c r="BR34" i="1"/>
  <c r="BL96" i="1"/>
  <c r="FF4" i="1" l="1"/>
  <c r="FG8" i="1"/>
  <c r="FG4" i="1"/>
  <c r="FF8" i="1"/>
  <c r="EH66" i="1"/>
  <c r="FG66" i="1" s="1"/>
  <c r="EH46" i="1"/>
  <c r="FG46" i="1" s="1"/>
  <c r="EH97" i="1"/>
  <c r="FG97" i="1" s="1"/>
  <c r="EH33" i="1"/>
  <c r="FG33" i="1" s="1"/>
  <c r="EH38" i="1"/>
  <c r="FG38" i="1" s="1"/>
  <c r="EH34" i="1"/>
  <c r="FG34" i="1" s="1"/>
  <c r="EH30" i="1"/>
  <c r="FG30" i="1" s="1"/>
  <c r="EH68" i="1"/>
  <c r="FG68" i="1" s="1"/>
  <c r="EE45" i="1"/>
  <c r="FD45" i="1" s="1"/>
  <c r="EE52" i="1"/>
  <c r="FD52" i="1" s="1"/>
  <c r="EF32" i="1"/>
  <c r="FE32" i="1" s="1"/>
  <c r="EF45" i="1"/>
  <c r="FE45" i="1" s="1"/>
  <c r="EF39" i="1"/>
  <c r="FE39" i="1" s="1"/>
  <c r="AG26" i="1"/>
  <c r="EG39" i="1" l="1"/>
  <c r="FF39" i="1" s="1"/>
  <c r="EH45" i="1"/>
  <c r="FG45" i="1" s="1"/>
  <c r="EG45" i="1"/>
  <c r="FF45" i="1" s="1"/>
  <c r="EH32" i="1"/>
  <c r="FG32" i="1" s="1"/>
  <c r="EG32" i="1"/>
  <c r="FF32" i="1" s="1"/>
  <c r="EF52" i="1"/>
  <c r="FE52" i="1" s="1"/>
  <c r="U11" i="3"/>
  <c r="U68" i="3" s="1"/>
  <c r="U2" i="3"/>
  <c r="EJ101" i="1"/>
  <c r="FC101" i="1"/>
  <c r="FB101" i="1"/>
  <c r="FA101" i="1"/>
  <c r="FC97" i="1"/>
  <c r="FB97" i="1"/>
  <c r="FA97" i="1"/>
  <c r="FC96" i="1"/>
  <c r="FB96" i="1"/>
  <c r="FA96" i="1"/>
  <c r="FC92" i="1"/>
  <c r="FB92" i="1"/>
  <c r="FA92" i="1"/>
  <c r="FC91" i="1"/>
  <c r="FB91" i="1"/>
  <c r="FA91" i="1"/>
  <c r="FC88" i="1"/>
  <c r="FB88" i="1"/>
  <c r="FA88" i="1"/>
  <c r="FC86" i="1"/>
  <c r="FB86" i="1"/>
  <c r="FA86" i="1"/>
  <c r="FC85" i="1"/>
  <c r="FB85" i="1"/>
  <c r="FA85" i="1"/>
  <c r="FC84" i="1"/>
  <c r="FB84" i="1"/>
  <c r="FA84" i="1"/>
  <c r="FC83" i="1"/>
  <c r="FB83" i="1"/>
  <c r="FA83" i="1"/>
  <c r="FC80" i="1"/>
  <c r="FB80" i="1"/>
  <c r="FA80" i="1"/>
  <c r="EM79" i="1"/>
  <c r="FC79" i="1"/>
  <c r="FB79" i="1"/>
  <c r="FA79" i="1"/>
  <c r="FC78" i="1"/>
  <c r="FB78" i="1"/>
  <c r="FA78" i="1"/>
  <c r="FC77" i="1"/>
  <c r="FB77" i="1"/>
  <c r="FA77" i="1"/>
  <c r="FC74" i="1"/>
  <c r="FB74" i="1"/>
  <c r="FA74" i="1"/>
  <c r="FC73" i="1"/>
  <c r="FB73" i="1"/>
  <c r="FA73" i="1"/>
  <c r="FC72" i="1"/>
  <c r="FB72" i="1"/>
  <c r="FA72" i="1"/>
  <c r="FC71" i="1"/>
  <c r="FB71" i="1"/>
  <c r="FA71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FC69" i="1"/>
  <c r="FB69" i="1"/>
  <c r="FA69" i="1"/>
  <c r="FC68" i="1"/>
  <c r="FB68" i="1"/>
  <c r="FA68" i="1"/>
  <c r="FC67" i="1"/>
  <c r="FB67" i="1"/>
  <c r="FA67" i="1"/>
  <c r="FC66" i="1"/>
  <c r="FB66" i="1"/>
  <c r="FA66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FC50" i="1"/>
  <c r="FB50" i="1"/>
  <c r="FA50" i="1"/>
  <c r="FC56" i="1"/>
  <c r="FB56" i="1"/>
  <c r="FA56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FC54" i="1"/>
  <c r="FB54" i="1"/>
  <c r="FA54" i="1"/>
  <c r="FC53" i="1"/>
  <c r="FB53" i="1"/>
  <c r="FA53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FC51" i="1"/>
  <c r="FB51" i="1"/>
  <c r="FA51" i="1"/>
  <c r="FC49" i="1"/>
  <c r="FB49" i="1"/>
  <c r="FA49" i="1"/>
  <c r="EM48" i="1"/>
  <c r="FC48" i="1"/>
  <c r="FB48" i="1"/>
  <c r="FA48" i="1"/>
  <c r="FC47" i="1"/>
  <c r="FB47" i="1"/>
  <c r="FA47" i="1"/>
  <c r="FC46" i="1"/>
  <c r="FB46" i="1"/>
  <c r="FA46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FC44" i="1"/>
  <c r="FB44" i="1"/>
  <c r="FA44" i="1"/>
  <c r="FC43" i="1"/>
  <c r="FB43" i="1"/>
  <c r="FA43" i="1"/>
  <c r="FC42" i="1"/>
  <c r="FB42" i="1"/>
  <c r="FA42" i="1"/>
  <c r="EM41" i="1"/>
  <c r="FC41" i="1"/>
  <c r="FB41" i="1"/>
  <c r="FA41" i="1"/>
  <c r="FC40" i="1"/>
  <c r="FB40" i="1"/>
  <c r="FA40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FC38" i="1"/>
  <c r="FB38" i="1"/>
  <c r="FA38" i="1"/>
  <c r="FC37" i="1"/>
  <c r="FB37" i="1"/>
  <c r="FA37" i="1"/>
  <c r="FC36" i="1"/>
  <c r="FB36" i="1"/>
  <c r="FA36" i="1"/>
  <c r="FC35" i="1"/>
  <c r="FB35" i="1"/>
  <c r="FA35" i="1"/>
  <c r="FC34" i="1"/>
  <c r="FB34" i="1"/>
  <c r="FA34" i="1"/>
  <c r="EM33" i="1"/>
  <c r="FC33" i="1"/>
  <c r="FB33" i="1"/>
  <c r="FA33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FC30" i="1"/>
  <c r="FB30" i="1"/>
  <c r="FA30" i="1"/>
  <c r="FC28" i="1"/>
  <c r="FB28" i="1"/>
  <c r="FA28" i="1"/>
  <c r="FC24" i="1"/>
  <c r="FB24" i="1"/>
  <c r="FA24" i="1"/>
  <c r="FC16" i="1"/>
  <c r="FB16" i="1"/>
  <c r="FA16" i="1"/>
  <c r="FC15" i="1"/>
  <c r="FB15" i="1"/>
  <c r="FA15" i="1"/>
  <c r="FC14" i="1"/>
  <c r="FB14" i="1"/>
  <c r="FA14" i="1"/>
  <c r="FC11" i="1"/>
  <c r="FB11" i="1"/>
  <c r="FA11" i="1"/>
  <c r="FB9" i="1"/>
  <c r="FA9" i="1"/>
  <c r="FC7" i="1"/>
  <c r="FB7" i="1"/>
  <c r="FA7" i="1"/>
  <c r="FC6" i="1"/>
  <c r="FB6" i="1"/>
  <c r="FA6" i="1"/>
  <c r="EM5" i="1"/>
  <c r="EJ5" i="1"/>
  <c r="FC5" i="1"/>
  <c r="FB5" i="1"/>
  <c r="FA5" i="1"/>
  <c r="FC4" i="1"/>
  <c r="FC1" i="1"/>
  <c r="FB1" i="1"/>
  <c r="ED70" i="1"/>
  <c r="ED65" i="1"/>
  <c r="ED55" i="1"/>
  <c r="ED52" i="1"/>
  <c r="ED45" i="1"/>
  <c r="ED39" i="1"/>
  <c r="ED32" i="1"/>
  <c r="EC70" i="1"/>
  <c r="EC65" i="1"/>
  <c r="EC55" i="1"/>
  <c r="EC52" i="1"/>
  <c r="EC45" i="1"/>
  <c r="EC39" i="1"/>
  <c r="EC32" i="1"/>
  <c r="AK76" i="1"/>
  <c r="AK3" i="1"/>
  <c r="AJ76" i="1"/>
  <c r="AJ3" i="1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N70" i="1"/>
  <c r="EZ49" i="1"/>
  <c r="EY49" i="1"/>
  <c r="EX49" i="1"/>
  <c r="EW49" i="1"/>
  <c r="EV49" i="1"/>
  <c r="M70" i="1"/>
  <c r="M65" i="1"/>
  <c r="M55" i="1"/>
  <c r="M52" i="1"/>
  <c r="M45" i="1"/>
  <c r="M39" i="1"/>
  <c r="M32" i="1"/>
  <c r="EH39" i="1" l="1"/>
  <c r="FG39" i="1" s="1"/>
  <c r="FA8" i="1"/>
  <c r="FB4" i="1"/>
  <c r="FB8" i="1"/>
  <c r="FC8" i="1"/>
  <c r="FC9" i="1"/>
  <c r="EH52" i="1"/>
  <c r="FG52" i="1" s="1"/>
  <c r="EG52" i="1"/>
  <c r="FF52" i="1" s="1"/>
  <c r="AH26" i="1"/>
  <c r="FB39" i="1"/>
  <c r="FC39" i="1"/>
  <c r="FC45" i="1"/>
  <c r="FB45" i="1"/>
  <c r="FC32" i="1"/>
  <c r="FB32" i="1"/>
  <c r="FB70" i="1"/>
  <c r="FB55" i="1"/>
  <c r="FC52" i="1"/>
  <c r="FC55" i="1"/>
  <c r="FC70" i="1"/>
  <c r="FC65" i="1"/>
  <c r="FB65" i="1"/>
  <c r="FB52" i="1"/>
  <c r="AI26" i="1" l="1"/>
  <c r="R282" i="5"/>
  <c r="R281" i="5"/>
  <c r="R280" i="5"/>
  <c r="R279" i="5"/>
  <c r="R278" i="5"/>
  <c r="R277" i="5"/>
  <c r="R276" i="5"/>
  <c r="R275" i="5"/>
  <c r="R274" i="5"/>
  <c r="R273" i="5"/>
  <c r="R272" i="5"/>
  <c r="AJ26" i="1" l="1"/>
  <c r="EC27" i="1"/>
  <c r="FB27" i="1" s="1"/>
  <c r="EE27" i="1" l="1"/>
  <c r="FD27" i="1" s="1"/>
  <c r="AL26" i="1"/>
  <c r="AK26" i="1"/>
  <c r="ED27" i="1"/>
  <c r="FC27" i="1" s="1"/>
  <c r="K11" i="3"/>
  <c r="K68" i="3" s="1"/>
  <c r="EF27" i="1" l="1"/>
  <c r="FE27" i="1" s="1"/>
  <c r="AM26" i="1"/>
  <c r="AN26" i="1" l="1"/>
  <c r="EG27" i="1"/>
  <c r="FF27" i="1" s="1"/>
  <c r="EH27" i="1" l="1"/>
  <c r="FG27" i="1" s="1"/>
  <c r="Q20" i="13"/>
  <c r="Q14" i="13"/>
  <c r="Q8" i="13"/>
  <c r="BJ89" i="1" l="1"/>
  <c r="BH89" i="1"/>
  <c r="BK89" i="1" s="1"/>
  <c r="BN89" i="1" s="1"/>
  <c r="BM89" i="1" l="1"/>
  <c r="BP89" i="1" s="1"/>
  <c r="BQ89" i="1"/>
  <c r="FO89" i="1" s="1"/>
  <c r="BS89" i="1" l="1"/>
  <c r="BT89" i="1"/>
  <c r="BF89" i="1"/>
  <c r="BI89" i="1" s="1"/>
  <c r="BL89" i="1" s="1"/>
  <c r="BO89" i="1" s="1"/>
  <c r="BR89" i="1" s="1"/>
  <c r="BU89" i="1" s="1"/>
  <c r="BX89" i="1" s="1"/>
  <c r="AZ89" i="1"/>
  <c r="AZ88" i="1"/>
  <c r="EZ88" i="1"/>
  <c r="EY88" i="1"/>
  <c r="EX88" i="1"/>
  <c r="EW88" i="1"/>
  <c r="EV88" i="1"/>
  <c r="CD89" i="1" l="1"/>
  <c r="AB3" i="11"/>
  <c r="AB23" i="11" s="1"/>
  <c r="AA3" i="11"/>
  <c r="BW89" i="1"/>
  <c r="FP89" i="1"/>
  <c r="BV89" i="1"/>
  <c r="FQ89" i="1" l="1"/>
  <c r="CG89" i="1"/>
  <c r="DX89" i="1"/>
  <c r="AB18" i="11"/>
  <c r="AC3" i="11"/>
  <c r="AA18" i="11"/>
  <c r="AA23" i="11"/>
  <c r="FD87" i="1"/>
  <c r="BY89" i="1"/>
  <c r="CB89" i="1" s="1"/>
  <c r="CE89" i="1" s="1"/>
  <c r="CH89" i="1" s="1"/>
  <c r="CK89" i="1" s="1"/>
  <c r="CN89" i="1" s="1"/>
  <c r="CQ89" i="1" s="1"/>
  <c r="CT89" i="1" s="1"/>
  <c r="CW89" i="1" s="1"/>
  <c r="CZ89" i="1" s="1"/>
  <c r="DC89" i="1" s="1"/>
  <c r="DF89" i="1" s="1"/>
  <c r="DI89" i="1" s="1"/>
  <c r="R271" i="5"/>
  <c r="R270" i="5"/>
  <c r="R269" i="5"/>
  <c r="R268" i="5"/>
  <c r="R267" i="5"/>
  <c r="R266" i="5"/>
  <c r="R265" i="5"/>
  <c r="R264" i="5"/>
  <c r="R263" i="5"/>
  <c r="R262" i="5"/>
  <c r="R261" i="5"/>
  <c r="R260" i="5"/>
  <c r="BI7" i="1"/>
  <c r="CJ89" i="1" l="1"/>
  <c r="DY89" i="1"/>
  <c r="AC18" i="11"/>
  <c r="AC23" i="11"/>
  <c r="AD3" i="11"/>
  <c r="FE87" i="1"/>
  <c r="DQ96" i="1"/>
  <c r="EP96" i="1" s="1"/>
  <c r="DQ95" i="1"/>
  <c r="EP95" i="1" s="1"/>
  <c r="DQ7" i="1"/>
  <c r="EP7" i="1" s="1"/>
  <c r="DQ6" i="1"/>
  <c r="EP6" i="1" s="1"/>
  <c r="DQ2" i="1"/>
  <c r="DP2" i="1"/>
  <c r="EO2" i="1" s="1"/>
  <c r="DO2" i="1"/>
  <c r="EN2" i="1" s="1"/>
  <c r="CM89" i="1" l="1"/>
  <c r="DZ89" i="1"/>
  <c r="AD18" i="11"/>
  <c r="AD23" i="11"/>
  <c r="AF3" i="11"/>
  <c r="AE3" i="11"/>
  <c r="FA87" i="1"/>
  <c r="FF87" i="1"/>
  <c r="I14" i="3"/>
  <c r="CP89" i="1" l="1"/>
  <c r="EA89" i="1"/>
  <c r="AF18" i="11"/>
  <c r="AF23" i="11"/>
  <c r="AE18" i="11"/>
  <c r="AE23" i="11"/>
  <c r="FB87" i="1"/>
  <c r="EZ101" i="1"/>
  <c r="EY101" i="1"/>
  <c r="EX101" i="1"/>
  <c r="EW101" i="1"/>
  <c r="EV101" i="1"/>
  <c r="CS89" i="1" l="1"/>
  <c r="EB89" i="1"/>
  <c r="FC87" i="1"/>
  <c r="FG87" i="1"/>
  <c r="J100" i="3"/>
  <c r="CV89" i="1" l="1"/>
  <c r="EC89" i="1"/>
  <c r="BP97" i="1"/>
  <c r="BN97" i="1"/>
  <c r="R259" i="5"/>
  <c r="BF7" i="1"/>
  <c r="CY89" i="1" l="1"/>
  <c r="ED89" i="1"/>
  <c r="BS97" i="1"/>
  <c r="BQ97" i="1"/>
  <c r="FO97" i="1" s="1"/>
  <c r="DB89" i="1" l="1"/>
  <c r="EE89" i="1"/>
  <c r="FD89" i="1" s="1"/>
  <c r="L82" i="1"/>
  <c r="FA89" i="1"/>
  <c r="BP10" i="1"/>
  <c r="BS10" i="1" s="1"/>
  <c r="BV10" i="1" s="1"/>
  <c r="BY10" i="1" s="1"/>
  <c r="CB10" i="1" s="1"/>
  <c r="CE10" i="1" s="1"/>
  <c r="CH10" i="1" s="1"/>
  <c r="CK10" i="1" s="1"/>
  <c r="CN10" i="1" s="1"/>
  <c r="CQ10" i="1" s="1"/>
  <c r="CT10" i="1" s="1"/>
  <c r="CW10" i="1" s="1"/>
  <c r="CZ10" i="1" s="1"/>
  <c r="BN10" i="1"/>
  <c r="H14" i="3"/>
  <c r="DE89" i="1" l="1"/>
  <c r="EF89" i="1"/>
  <c r="FE89" i="1" s="1"/>
  <c r="DC10" i="1"/>
  <c r="FB89" i="1"/>
  <c r="BQ10" i="1"/>
  <c r="DH89" i="1" l="1"/>
  <c r="EH89" i="1" s="1"/>
  <c r="FG89" i="1" s="1"/>
  <c r="EG89" i="1"/>
  <c r="FF89" i="1" s="1"/>
  <c r="FO10" i="1"/>
  <c r="DF10" i="1"/>
  <c r="DI10" i="1" s="1"/>
  <c r="FC89" i="1"/>
  <c r="BT10" i="1"/>
  <c r="BW10" i="1" l="1"/>
  <c r="FP10" i="1"/>
  <c r="BZ10" i="1" l="1"/>
  <c r="FQ10" i="1"/>
  <c r="BP29" i="1"/>
  <c r="BO29" i="1"/>
  <c r="BR29" i="1" s="1"/>
  <c r="BU29" i="1" s="1"/>
  <c r="BX29" i="1" s="1"/>
  <c r="BN29" i="1"/>
  <c r="BP13" i="1"/>
  <c r="BS13" i="1" s="1"/>
  <c r="BV13" i="1" s="1"/>
  <c r="BY13" i="1" s="1"/>
  <c r="CB13" i="1" s="1"/>
  <c r="CE13" i="1" s="1"/>
  <c r="CH13" i="1" s="1"/>
  <c r="CK13" i="1" s="1"/>
  <c r="CN13" i="1" s="1"/>
  <c r="CQ13" i="1" s="1"/>
  <c r="CT13" i="1" s="1"/>
  <c r="CW13" i="1" s="1"/>
  <c r="CZ13" i="1" s="1"/>
  <c r="DC13" i="1" s="1"/>
  <c r="BN13" i="1"/>
  <c r="BP12" i="1"/>
  <c r="BS12" i="1" s="1"/>
  <c r="BV12" i="1" s="1"/>
  <c r="BY12" i="1" s="1"/>
  <c r="CB12" i="1" s="1"/>
  <c r="CE12" i="1" s="1"/>
  <c r="CH12" i="1" s="1"/>
  <c r="CK12" i="1" s="1"/>
  <c r="CN12" i="1" s="1"/>
  <c r="CQ12" i="1" s="1"/>
  <c r="CT12" i="1" s="1"/>
  <c r="CW12" i="1" s="1"/>
  <c r="CZ12" i="1" s="1"/>
  <c r="DC12" i="1" s="1"/>
  <c r="DF12" i="1" s="1"/>
  <c r="BN12" i="1"/>
  <c r="X10" i="1"/>
  <c r="X3" i="1" s="1"/>
  <c r="X99" i="1" l="1"/>
  <c r="C3" i="16"/>
  <c r="CC10" i="1"/>
  <c r="CD29" i="1"/>
  <c r="DI12" i="1"/>
  <c r="DF13" i="1"/>
  <c r="DI13" i="1" s="1"/>
  <c r="BS29" i="1"/>
  <c r="BQ13" i="1"/>
  <c r="FO13" i="1" s="1"/>
  <c r="BQ29" i="1"/>
  <c r="FO29" i="1" s="1"/>
  <c r="L27" i="1" s="1"/>
  <c r="L26" i="1" s="1"/>
  <c r="BQ12" i="1"/>
  <c r="J3" i="16" l="1"/>
  <c r="D3" i="16"/>
  <c r="D13" i="16" s="1"/>
  <c r="C13" i="16"/>
  <c r="CF10" i="1"/>
  <c r="CG29" i="1"/>
  <c r="DX29" i="1"/>
  <c r="FO12" i="1"/>
  <c r="L3" i="1" s="1"/>
  <c r="L99" i="1" s="1"/>
  <c r="BV29" i="1"/>
  <c r="BT12" i="1"/>
  <c r="BT29" i="1"/>
  <c r="BT13" i="1"/>
  <c r="L3" i="16" l="1"/>
  <c r="K3" i="16"/>
  <c r="K13" i="16" s="1"/>
  <c r="J13" i="16"/>
  <c r="L13" i="16" s="1"/>
  <c r="CI10" i="1"/>
  <c r="M61" i="3"/>
  <c r="CJ29" i="1"/>
  <c r="DY29" i="1"/>
  <c r="BW29" i="1"/>
  <c r="FP29" i="1"/>
  <c r="BW13" i="1"/>
  <c r="FP13" i="1"/>
  <c r="BW12" i="1"/>
  <c r="FP12" i="1"/>
  <c r="BY29" i="1"/>
  <c r="CB29" i="1" s="1"/>
  <c r="CE29" i="1" s="1"/>
  <c r="CH29" i="1" s="1"/>
  <c r="CK29" i="1" s="1"/>
  <c r="CN29" i="1" s="1"/>
  <c r="CQ29" i="1" s="1"/>
  <c r="CT29" i="1" s="1"/>
  <c r="CW29" i="1" s="1"/>
  <c r="CZ29" i="1" s="1"/>
  <c r="CL10" i="1" l="1"/>
  <c r="BZ12" i="1"/>
  <c r="FQ12" i="1"/>
  <c r="BZ13" i="1"/>
  <c r="CC13" i="1" s="1"/>
  <c r="CF13" i="1" s="1"/>
  <c r="CI13" i="1" s="1"/>
  <c r="CL13" i="1" s="1"/>
  <c r="CO13" i="1" s="1"/>
  <c r="CR13" i="1" s="1"/>
  <c r="CU13" i="1" s="1"/>
  <c r="CX13" i="1" s="1"/>
  <c r="DA13" i="1" s="1"/>
  <c r="DD13" i="1" s="1"/>
  <c r="DG13" i="1" s="1"/>
  <c r="FQ13" i="1"/>
  <c r="BZ29" i="1"/>
  <c r="FQ29" i="1"/>
  <c r="CM29" i="1"/>
  <c r="CP29" i="1" s="1"/>
  <c r="DZ29" i="1"/>
  <c r="N55" i="3"/>
  <c r="DC29" i="1"/>
  <c r="K2" i="12"/>
  <c r="Q50" i="3" l="1"/>
  <c r="P50" i="3"/>
  <c r="O60" i="3"/>
  <c r="O25" i="3"/>
  <c r="O35" i="3"/>
  <c r="O40" i="3"/>
  <c r="O30" i="3"/>
  <c r="O15" i="3"/>
  <c r="O50" i="3"/>
  <c r="O20" i="3"/>
  <c r="Y51" i="3"/>
  <c r="S50" i="3"/>
  <c r="W51" i="3"/>
  <c r="V51" i="3"/>
  <c r="X51" i="3"/>
  <c r="R50" i="3"/>
  <c r="Y50" i="3"/>
  <c r="X50" i="3"/>
  <c r="P51" i="3"/>
  <c r="Q51" i="3"/>
  <c r="Z51" i="3"/>
  <c r="W50" i="3"/>
  <c r="V50" i="3"/>
  <c r="T51" i="3"/>
  <c r="T50" i="3"/>
  <c r="R51" i="3"/>
  <c r="U50" i="3"/>
  <c r="U51" i="3"/>
  <c r="Z50" i="3"/>
  <c r="S51" i="3"/>
  <c r="O31" i="3"/>
  <c r="CO10" i="1"/>
  <c r="CC29" i="1"/>
  <c r="CC12" i="1"/>
  <c r="O21" i="3"/>
  <c r="O22" i="3" s="1"/>
  <c r="O61" i="3"/>
  <c r="O62" i="3" s="1"/>
  <c r="O51" i="3"/>
  <c r="O52" i="3" s="1"/>
  <c r="O45" i="3"/>
  <c r="O41" i="3"/>
  <c r="O42" i="3" s="1"/>
  <c r="O46" i="3"/>
  <c r="O63" i="3"/>
  <c r="EA29" i="1"/>
  <c r="DF29" i="1"/>
  <c r="R258" i="5"/>
  <c r="R257" i="5"/>
  <c r="R256" i="5"/>
  <c r="EB1" i="1"/>
  <c r="EA1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P60" i="3" l="1"/>
  <c r="P35" i="3"/>
  <c r="P30" i="3"/>
  <c r="P25" i="3"/>
  <c r="P15" i="3"/>
  <c r="P40" i="3"/>
  <c r="P20" i="3"/>
  <c r="CF29" i="1"/>
  <c r="L15" i="11"/>
  <c r="K16" i="11"/>
  <c r="K15" i="11"/>
  <c r="L13" i="11"/>
  <c r="K14" i="11"/>
  <c r="L12" i="11"/>
  <c r="L11" i="11"/>
  <c r="K12" i="11"/>
  <c r="K11" i="11"/>
  <c r="K6" i="11"/>
  <c r="L5" i="11"/>
  <c r="O5" i="11" s="1"/>
  <c r="K4" i="11"/>
  <c r="K13" i="11"/>
  <c r="K10" i="11"/>
  <c r="K9" i="11"/>
  <c r="L6" i="11"/>
  <c r="L4" i="11"/>
  <c r="K17" i="11"/>
  <c r="K8" i="11"/>
  <c r="K5" i="11"/>
  <c r="L16" i="11"/>
  <c r="CF12" i="1"/>
  <c r="P21" i="3"/>
  <c r="P22" i="3" s="1"/>
  <c r="P45" i="3"/>
  <c r="P52" i="3"/>
  <c r="P31" i="3"/>
  <c r="P61" i="3"/>
  <c r="P62" i="3" s="1"/>
  <c r="P63" i="3"/>
  <c r="P41" i="3"/>
  <c r="P42" i="3" s="1"/>
  <c r="P46" i="3"/>
  <c r="CR10" i="1"/>
  <c r="CS29" i="1"/>
  <c r="EB29" i="1"/>
  <c r="J16" i="11"/>
  <c r="J15" i="11"/>
  <c r="J14" i="11"/>
  <c r="J13" i="11"/>
  <c r="J12" i="11"/>
  <c r="J11" i="11"/>
  <c r="J10" i="11"/>
  <c r="J9" i="11"/>
  <c r="J8" i="11"/>
  <c r="J6" i="11"/>
  <c r="J5" i="11"/>
  <c r="J4" i="11"/>
  <c r="J17" i="11"/>
  <c r="DI29" i="1"/>
  <c r="I15" i="11"/>
  <c r="I10" i="11"/>
  <c r="I5" i="11"/>
  <c r="I14" i="11"/>
  <c r="I13" i="11"/>
  <c r="I12" i="11"/>
  <c r="I11" i="11"/>
  <c r="I9" i="11"/>
  <c r="I8" i="11"/>
  <c r="I6" i="11"/>
  <c r="I4" i="11"/>
  <c r="I17" i="11"/>
  <c r="I16" i="11"/>
  <c r="H4" i="11"/>
  <c r="H17" i="11"/>
  <c r="H16" i="11"/>
  <c r="H15" i="11"/>
  <c r="H12" i="11"/>
  <c r="H11" i="11"/>
  <c r="H10" i="11"/>
  <c r="H8" i="11"/>
  <c r="H6" i="11"/>
  <c r="H5" i="11"/>
  <c r="H14" i="11"/>
  <c r="H13" i="11"/>
  <c r="H9" i="11"/>
  <c r="DO95" i="1"/>
  <c r="EN95" i="1" s="1"/>
  <c r="DN95" i="1"/>
  <c r="EM95" i="1" s="1"/>
  <c r="DM95" i="1"/>
  <c r="DL95" i="1"/>
  <c r="DK95" i="1"/>
  <c r="CI29" i="1" l="1"/>
  <c r="CL29" i="1" s="1"/>
  <c r="CO29" i="1" s="1"/>
  <c r="CR29" i="1" s="1"/>
  <c r="CU29" i="1" s="1"/>
  <c r="CX29" i="1" s="1"/>
  <c r="DA29" i="1" s="1"/>
  <c r="DD29" i="1" s="1"/>
  <c r="DG29" i="1" s="1"/>
  <c r="Q40" i="3"/>
  <c r="Q20" i="3"/>
  <c r="Q30" i="3"/>
  <c r="Q15" i="3"/>
  <c r="Q60" i="3"/>
  <c r="Q35" i="3"/>
  <c r="Q25" i="3"/>
  <c r="L3" i="11"/>
  <c r="L7" i="11"/>
  <c r="K3" i="11"/>
  <c r="K7" i="11"/>
  <c r="CU10" i="1"/>
  <c r="CI12" i="1"/>
  <c r="Q31" i="3"/>
  <c r="Q21" i="3"/>
  <c r="Q22" i="3" s="1"/>
  <c r="Q52" i="3"/>
  <c r="Q63" i="3"/>
  <c r="Q45" i="3"/>
  <c r="Q61" i="3"/>
  <c r="Q62" i="3" s="1"/>
  <c r="Q41" i="3"/>
  <c r="Q42" i="3" s="1"/>
  <c r="Q46" i="3"/>
  <c r="CV29" i="1"/>
  <c r="EC29" i="1"/>
  <c r="J3" i="11"/>
  <c r="J7" i="11"/>
  <c r="EJ95" i="1"/>
  <c r="EK95" i="1"/>
  <c r="EL95" i="1"/>
  <c r="I3" i="11"/>
  <c r="I7" i="11"/>
  <c r="H7" i="11"/>
  <c r="H3" i="11"/>
  <c r="DP95" i="1"/>
  <c r="EO95" i="1" s="1"/>
  <c r="L18" i="11" l="1"/>
  <c r="L21" i="11" s="1"/>
  <c r="K18" i="11"/>
  <c r="K21" i="11" s="1"/>
  <c r="CX10" i="1"/>
  <c r="CL12" i="1"/>
  <c r="R61" i="3"/>
  <c r="R62" i="3" s="1"/>
  <c r="R20" i="3"/>
  <c r="R41" i="3"/>
  <c r="R42" i="3" s="1"/>
  <c r="R30" i="3"/>
  <c r="R46" i="3"/>
  <c r="R21" i="3"/>
  <c r="R22" i="3" s="1"/>
  <c r="R63" i="3"/>
  <c r="R60" i="3"/>
  <c r="R45" i="3"/>
  <c r="R35" i="3"/>
  <c r="R40" i="3"/>
  <c r="R25" i="3"/>
  <c r="R15" i="3"/>
  <c r="CY29" i="1"/>
  <c r="ED29" i="1"/>
  <c r="J18" i="11"/>
  <c r="J21" i="11" s="1"/>
  <c r="I18" i="11"/>
  <c r="I21" i="11" s="1"/>
  <c r="FA29" i="1"/>
  <c r="H18" i="11"/>
  <c r="H21" i="11" s="1"/>
  <c r="DA10" i="1" l="1"/>
  <c r="CO12" i="1"/>
  <c r="S21" i="3"/>
  <c r="S22" i="3" s="1"/>
  <c r="S25" i="3"/>
  <c r="S30" i="3"/>
  <c r="S40" i="3"/>
  <c r="S45" i="3"/>
  <c r="S61" i="3"/>
  <c r="S62" i="3" s="1"/>
  <c r="S46" i="3"/>
  <c r="S20" i="3"/>
  <c r="S35" i="3"/>
  <c r="S41" i="3"/>
  <c r="S42" i="3" s="1"/>
  <c r="S15" i="3"/>
  <c r="S63" i="3"/>
  <c r="S60" i="3"/>
  <c r="EE29" i="1"/>
  <c r="FD29" i="1" s="1"/>
  <c r="DB29" i="1"/>
  <c r="FB29" i="1"/>
  <c r="G14" i="3"/>
  <c r="DD10" i="1" l="1"/>
  <c r="CR12" i="1"/>
  <c r="T60" i="3"/>
  <c r="T63" i="3"/>
  <c r="T61" i="3"/>
  <c r="T62" i="3" s="1"/>
  <c r="T23" i="3"/>
  <c r="T25" i="3"/>
  <c r="T30" i="3"/>
  <c r="T45" i="3"/>
  <c r="T46" i="3"/>
  <c r="T40" i="3"/>
  <c r="T48" i="3"/>
  <c r="T52" i="3"/>
  <c r="T21" i="3"/>
  <c r="T22" i="3" s="1"/>
  <c r="T43" i="3"/>
  <c r="T20" i="3"/>
  <c r="T35" i="3"/>
  <c r="T15" i="3"/>
  <c r="T41" i="3"/>
  <c r="T42" i="3" s="1"/>
  <c r="EF29" i="1"/>
  <c r="FE29" i="1" s="1"/>
  <c r="DE29" i="1"/>
  <c r="FC29" i="1"/>
  <c r="EB70" i="1"/>
  <c r="EA70" i="1"/>
  <c r="S52" i="3" s="1"/>
  <c r="DZ70" i="1"/>
  <c r="R52" i="3" s="1"/>
  <c r="DY70" i="1"/>
  <c r="DX70" i="1"/>
  <c r="EB65" i="1"/>
  <c r="EA65" i="1"/>
  <c r="DZ65" i="1"/>
  <c r="DY65" i="1"/>
  <c r="DX65" i="1"/>
  <c r="EB55" i="1"/>
  <c r="EA55" i="1"/>
  <c r="DZ55" i="1"/>
  <c r="DY55" i="1"/>
  <c r="DX55" i="1"/>
  <c r="EB52" i="1"/>
  <c r="EA52" i="1"/>
  <c r="DZ52" i="1"/>
  <c r="DY52" i="1"/>
  <c r="DX52" i="1"/>
  <c r="EB45" i="1"/>
  <c r="EA45" i="1"/>
  <c r="DZ45" i="1"/>
  <c r="DY45" i="1"/>
  <c r="DX45" i="1"/>
  <c r="EB39" i="1"/>
  <c r="EA39" i="1"/>
  <c r="DZ39" i="1"/>
  <c r="DY39" i="1"/>
  <c r="DX39" i="1"/>
  <c r="EB32" i="1"/>
  <c r="EA32" i="1"/>
  <c r="DZ32" i="1"/>
  <c r="DY32" i="1"/>
  <c r="DX32" i="1"/>
  <c r="EB27" i="1"/>
  <c r="EA27" i="1"/>
  <c r="DZ27" i="1"/>
  <c r="DY27" i="1"/>
  <c r="DX27" i="1"/>
  <c r="T31" i="3" l="1"/>
  <c r="DG10" i="1"/>
  <c r="R31" i="3"/>
  <c r="S31" i="3"/>
  <c r="CU12" i="1"/>
  <c r="U23" i="3"/>
  <c r="U46" i="3"/>
  <c r="U47" i="3" s="1"/>
  <c r="U40" i="3"/>
  <c r="U48" i="3"/>
  <c r="U15" i="3"/>
  <c r="U63" i="3"/>
  <c r="U35" i="3"/>
  <c r="U61" i="3"/>
  <c r="U62" i="3" s="1"/>
  <c r="U25" i="3"/>
  <c r="U53" i="3"/>
  <c r="U60" i="3"/>
  <c r="U43" i="3"/>
  <c r="U41" i="3"/>
  <c r="U42" i="3" s="1"/>
  <c r="U30" i="3"/>
  <c r="U31" i="3"/>
  <c r="U32" i="3" s="1"/>
  <c r="U45" i="3"/>
  <c r="U52" i="3"/>
  <c r="U20" i="3"/>
  <c r="U21" i="3"/>
  <c r="U22" i="3" s="1"/>
  <c r="EG29" i="1"/>
  <c r="FF29" i="1" s="1"/>
  <c r="DH29" i="1"/>
  <c r="EH29" i="1" s="1"/>
  <c r="FG29" i="1" s="1"/>
  <c r="FA39" i="1"/>
  <c r="FA52" i="1"/>
  <c r="EV52" i="1"/>
  <c r="EZ32" i="1"/>
  <c r="EX65" i="1"/>
  <c r="FA27" i="1"/>
  <c r="EZ27" i="1"/>
  <c r="EZ70" i="1"/>
  <c r="EV45" i="1"/>
  <c r="FA55" i="1"/>
  <c r="EX32" i="1"/>
  <c r="EZ45" i="1"/>
  <c r="EW39" i="1"/>
  <c r="EX70" i="1"/>
  <c r="EW32" i="1"/>
  <c r="EY45" i="1"/>
  <c r="FA45" i="1"/>
  <c r="EX39" i="1"/>
  <c r="EV70" i="1"/>
  <c r="EW27" i="1"/>
  <c r="EY39" i="1"/>
  <c r="EW70" i="1"/>
  <c r="EV32" i="1"/>
  <c r="EX45" i="1"/>
  <c r="FA32" i="1"/>
  <c r="EX27" i="1"/>
  <c r="EZ39" i="1"/>
  <c r="EV39" i="1"/>
  <c r="EY27" i="1"/>
  <c r="EY70" i="1"/>
  <c r="EY32" i="1"/>
  <c r="EV27" i="1"/>
  <c r="EW45" i="1"/>
  <c r="FA70" i="1"/>
  <c r="T53" i="3" s="1"/>
  <c r="EY65" i="1"/>
  <c r="EZ65" i="1"/>
  <c r="EV65" i="1"/>
  <c r="FA65" i="1"/>
  <c r="EW65" i="1"/>
  <c r="EZ55" i="1"/>
  <c r="EV55" i="1"/>
  <c r="EW55" i="1"/>
  <c r="EX55" i="1"/>
  <c r="EY55" i="1"/>
  <c r="EW52" i="1"/>
  <c r="EX52" i="1"/>
  <c r="EY52" i="1"/>
  <c r="EZ52" i="1"/>
  <c r="CX12" i="1" l="1"/>
  <c r="V43" i="3"/>
  <c r="V31" i="3"/>
  <c r="V32" i="3" s="1"/>
  <c r="V61" i="3"/>
  <c r="V62" i="3" s="1"/>
  <c r="V20" i="3"/>
  <c r="V46" i="3"/>
  <c r="V47" i="3" s="1"/>
  <c r="V53" i="3"/>
  <c r="V52" i="3"/>
  <c r="V41" i="3"/>
  <c r="V42" i="3" s="1"/>
  <c r="V40" i="3"/>
  <c r="V60" i="3"/>
  <c r="V63" i="3"/>
  <c r="V23" i="3"/>
  <c r="V35" i="3"/>
  <c r="V25" i="3"/>
  <c r="V48" i="3"/>
  <c r="V15" i="3"/>
  <c r="V21" i="3"/>
  <c r="V22" i="3" s="1"/>
  <c r="V30" i="3"/>
  <c r="V45" i="3"/>
  <c r="P8" i="3"/>
  <c r="P11" i="3" s="1"/>
  <c r="T11" i="3"/>
  <c r="S11" i="3"/>
  <c r="O11" i="3"/>
  <c r="O68" i="3" s="1"/>
  <c r="T7" i="3"/>
  <c r="S7" i="3"/>
  <c r="R7" i="3"/>
  <c r="Q7" i="3"/>
  <c r="P7" i="3"/>
  <c r="O7" i="3"/>
  <c r="T2" i="3"/>
  <c r="S2" i="3"/>
  <c r="R2" i="3"/>
  <c r="Q2" i="3"/>
  <c r="P2" i="3"/>
  <c r="O2" i="3"/>
  <c r="EZ97" i="1"/>
  <c r="EY97" i="1"/>
  <c r="EX97" i="1"/>
  <c r="EW97" i="1"/>
  <c r="EV97" i="1"/>
  <c r="EZ96" i="1"/>
  <c r="EY96" i="1"/>
  <c r="EX96" i="1"/>
  <c r="EW96" i="1"/>
  <c r="EV96" i="1"/>
  <c r="EZ92" i="1"/>
  <c r="EY92" i="1"/>
  <c r="EX92" i="1"/>
  <c r="EW92" i="1"/>
  <c r="EV92" i="1"/>
  <c r="EZ91" i="1"/>
  <c r="EY91" i="1"/>
  <c r="EX91" i="1"/>
  <c r="EW91" i="1"/>
  <c r="EV91" i="1"/>
  <c r="EZ89" i="1"/>
  <c r="EY89" i="1"/>
  <c r="EX89" i="1"/>
  <c r="EW89" i="1"/>
  <c r="EV89" i="1"/>
  <c r="EZ87" i="1"/>
  <c r="EY87" i="1"/>
  <c r="EX87" i="1"/>
  <c r="EW87" i="1"/>
  <c r="EV87" i="1"/>
  <c r="EZ86" i="1"/>
  <c r="EY86" i="1"/>
  <c r="EX86" i="1"/>
  <c r="EW86" i="1"/>
  <c r="EV86" i="1"/>
  <c r="EZ85" i="1"/>
  <c r="EY85" i="1"/>
  <c r="EX85" i="1"/>
  <c r="EW85" i="1"/>
  <c r="EV85" i="1"/>
  <c r="EY84" i="1"/>
  <c r="EX84" i="1"/>
  <c r="EW84" i="1"/>
  <c r="EV84" i="1"/>
  <c r="EZ83" i="1"/>
  <c r="EY83" i="1"/>
  <c r="EX83" i="1"/>
  <c r="EW83" i="1"/>
  <c r="EV83" i="1"/>
  <c r="EZ80" i="1"/>
  <c r="EY80" i="1"/>
  <c r="EX80" i="1"/>
  <c r="EW80" i="1"/>
  <c r="EV80" i="1"/>
  <c r="EZ79" i="1"/>
  <c r="EY79" i="1"/>
  <c r="EX79" i="1"/>
  <c r="EW79" i="1"/>
  <c r="EV79" i="1"/>
  <c r="EZ78" i="1"/>
  <c r="EY78" i="1"/>
  <c r="EX78" i="1"/>
  <c r="EW78" i="1"/>
  <c r="EV78" i="1"/>
  <c r="EY77" i="1"/>
  <c r="EX77" i="1"/>
  <c r="EW77" i="1"/>
  <c r="EV77" i="1"/>
  <c r="EZ74" i="1"/>
  <c r="EY74" i="1"/>
  <c r="EX74" i="1"/>
  <c r="EW74" i="1"/>
  <c r="EV74" i="1"/>
  <c r="EZ73" i="1"/>
  <c r="EY73" i="1"/>
  <c r="EX73" i="1"/>
  <c r="EW73" i="1"/>
  <c r="EV73" i="1"/>
  <c r="EZ72" i="1"/>
  <c r="EY72" i="1"/>
  <c r="EX72" i="1"/>
  <c r="EW72" i="1"/>
  <c r="EV72" i="1"/>
  <c r="EZ71" i="1"/>
  <c r="EY71" i="1"/>
  <c r="EX71" i="1"/>
  <c r="EW71" i="1"/>
  <c r="EV71" i="1"/>
  <c r="EZ69" i="1"/>
  <c r="EY69" i="1"/>
  <c r="EX69" i="1"/>
  <c r="EW69" i="1"/>
  <c r="EV69" i="1"/>
  <c r="EZ68" i="1"/>
  <c r="EY68" i="1"/>
  <c r="EX68" i="1"/>
  <c r="EW68" i="1"/>
  <c r="EV68" i="1"/>
  <c r="EZ67" i="1"/>
  <c r="EY67" i="1"/>
  <c r="EX67" i="1"/>
  <c r="EW67" i="1"/>
  <c r="EV67" i="1"/>
  <c r="EZ66" i="1"/>
  <c r="EY66" i="1"/>
  <c r="EX66" i="1"/>
  <c r="EW66" i="1"/>
  <c r="EV66" i="1"/>
  <c r="EZ50" i="1"/>
  <c r="EY50" i="1"/>
  <c r="EX50" i="1"/>
  <c r="EW50" i="1"/>
  <c r="EV50" i="1"/>
  <c r="EZ56" i="1"/>
  <c r="EY56" i="1"/>
  <c r="EX56" i="1"/>
  <c r="EW56" i="1"/>
  <c r="EV56" i="1"/>
  <c r="EZ54" i="1"/>
  <c r="EY54" i="1"/>
  <c r="EX54" i="1"/>
  <c r="EW54" i="1"/>
  <c r="EV54" i="1"/>
  <c r="EZ53" i="1"/>
  <c r="EY53" i="1"/>
  <c r="EX53" i="1"/>
  <c r="EW53" i="1"/>
  <c r="EV53" i="1"/>
  <c r="EZ51" i="1"/>
  <c r="EY51" i="1"/>
  <c r="EX51" i="1"/>
  <c r="EW51" i="1"/>
  <c r="EV51" i="1"/>
  <c r="EZ48" i="1"/>
  <c r="EY48" i="1"/>
  <c r="EX48" i="1"/>
  <c r="EW48" i="1"/>
  <c r="EV48" i="1"/>
  <c r="EZ47" i="1"/>
  <c r="EY47" i="1"/>
  <c r="EX47" i="1"/>
  <c r="EW47" i="1"/>
  <c r="EV47" i="1"/>
  <c r="EZ46" i="1"/>
  <c r="EY46" i="1"/>
  <c r="EX46" i="1"/>
  <c r="EW46" i="1"/>
  <c r="EV46" i="1"/>
  <c r="EZ44" i="1"/>
  <c r="EY44" i="1"/>
  <c r="EX44" i="1"/>
  <c r="EW44" i="1"/>
  <c r="EV44" i="1"/>
  <c r="EZ43" i="1"/>
  <c r="EY43" i="1"/>
  <c r="EX43" i="1"/>
  <c r="EW43" i="1"/>
  <c r="EV43" i="1"/>
  <c r="EZ42" i="1"/>
  <c r="EY42" i="1"/>
  <c r="EX42" i="1"/>
  <c r="EW42" i="1"/>
  <c r="EV42" i="1"/>
  <c r="EZ41" i="1"/>
  <c r="EY41" i="1"/>
  <c r="EX41" i="1"/>
  <c r="EW41" i="1"/>
  <c r="EV41" i="1"/>
  <c r="EZ40" i="1"/>
  <c r="EY40" i="1"/>
  <c r="EX40" i="1"/>
  <c r="EW40" i="1"/>
  <c r="EV40" i="1"/>
  <c r="EZ38" i="1"/>
  <c r="EY38" i="1"/>
  <c r="EX38" i="1"/>
  <c r="EW38" i="1"/>
  <c r="EV38" i="1"/>
  <c r="EZ37" i="1"/>
  <c r="EY37" i="1"/>
  <c r="EX37" i="1"/>
  <c r="EW37" i="1"/>
  <c r="EV37" i="1"/>
  <c r="EZ36" i="1"/>
  <c r="EY36" i="1"/>
  <c r="EX36" i="1"/>
  <c r="EW36" i="1"/>
  <c r="EV36" i="1"/>
  <c r="EZ35" i="1"/>
  <c r="EY35" i="1"/>
  <c r="EX35" i="1"/>
  <c r="EW35" i="1"/>
  <c r="EV35" i="1"/>
  <c r="EZ34" i="1"/>
  <c r="EY34" i="1"/>
  <c r="EX34" i="1"/>
  <c r="EW34" i="1"/>
  <c r="EV34" i="1"/>
  <c r="EZ33" i="1"/>
  <c r="EY33" i="1"/>
  <c r="EX33" i="1"/>
  <c r="EW33" i="1"/>
  <c r="EV33" i="1"/>
  <c r="EZ30" i="1"/>
  <c r="EY30" i="1"/>
  <c r="EX30" i="1"/>
  <c r="EW30" i="1"/>
  <c r="EV30" i="1"/>
  <c r="EZ29" i="1"/>
  <c r="EY29" i="1"/>
  <c r="EX29" i="1"/>
  <c r="EW29" i="1"/>
  <c r="EV29" i="1"/>
  <c r="EZ28" i="1"/>
  <c r="EY28" i="1"/>
  <c r="EX28" i="1"/>
  <c r="EW28" i="1"/>
  <c r="EV28" i="1"/>
  <c r="EZ24" i="1"/>
  <c r="EY24" i="1"/>
  <c r="EX24" i="1"/>
  <c r="EW24" i="1"/>
  <c r="EV24" i="1"/>
  <c r="EY19" i="1"/>
  <c r="EX19" i="1"/>
  <c r="EW19" i="1"/>
  <c r="EV19" i="1"/>
  <c r="EZ16" i="1"/>
  <c r="EY16" i="1"/>
  <c r="EX16" i="1"/>
  <c r="EW16" i="1"/>
  <c r="EV16" i="1"/>
  <c r="EZ15" i="1"/>
  <c r="EY15" i="1"/>
  <c r="EX15" i="1"/>
  <c r="EW15" i="1"/>
  <c r="EV15" i="1"/>
  <c r="EY14" i="1"/>
  <c r="EX14" i="1"/>
  <c r="EW14" i="1"/>
  <c r="EV14" i="1"/>
  <c r="EY11" i="1"/>
  <c r="EX11" i="1"/>
  <c r="EW11" i="1"/>
  <c r="EV11" i="1"/>
  <c r="EY9" i="1"/>
  <c r="EZ7" i="1"/>
  <c r="EY7" i="1"/>
  <c r="EX7" i="1"/>
  <c r="EW7" i="1"/>
  <c r="EV7" i="1"/>
  <c r="EZ6" i="1"/>
  <c r="EY6" i="1"/>
  <c r="EX6" i="1"/>
  <c r="EW6" i="1"/>
  <c r="EV6" i="1"/>
  <c r="EZ5" i="1"/>
  <c r="EY5" i="1"/>
  <c r="EX5" i="1"/>
  <c r="EW5" i="1"/>
  <c r="EV5" i="1"/>
  <c r="DV2" i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Z9" i="1"/>
  <c r="EX9" i="1"/>
  <c r="EW9" i="1"/>
  <c r="EV9" i="1"/>
  <c r="P43" i="3" l="1"/>
  <c r="Q43" i="3"/>
  <c r="R43" i="3"/>
  <c r="O47" i="3"/>
  <c r="O32" i="3"/>
  <c r="T68" i="3"/>
  <c r="T47" i="3"/>
  <c r="P68" i="3"/>
  <c r="P32" i="3"/>
  <c r="P47" i="3"/>
  <c r="S68" i="3"/>
  <c r="S47" i="3"/>
  <c r="T32" i="3"/>
  <c r="S32" i="3"/>
  <c r="O23" i="3"/>
  <c r="P23" i="3"/>
  <c r="Q23" i="3"/>
  <c r="R23" i="3"/>
  <c r="Q53" i="3"/>
  <c r="R53" i="3"/>
  <c r="DA12" i="1"/>
  <c r="W41" i="3"/>
  <c r="W42" i="3" s="1"/>
  <c r="W61" i="3"/>
  <c r="W62" i="3" s="1"/>
  <c r="W46" i="3"/>
  <c r="W47" i="3" s="1"/>
  <c r="W52" i="3"/>
  <c r="W35" i="3"/>
  <c r="W63" i="3"/>
  <c r="W30" i="3"/>
  <c r="W40" i="3"/>
  <c r="W20" i="3"/>
  <c r="W31" i="3"/>
  <c r="W32" i="3" s="1"/>
  <c r="W25" i="3"/>
  <c r="W23" i="3"/>
  <c r="W43" i="3"/>
  <c r="W60" i="3"/>
  <c r="W53" i="3"/>
  <c r="W21" i="3"/>
  <c r="W22" i="3" s="1"/>
  <c r="W45" i="3"/>
  <c r="W15" i="3"/>
  <c r="W48" i="3"/>
  <c r="P53" i="3"/>
  <c r="O53" i="3"/>
  <c r="O43" i="3"/>
  <c r="EZ84" i="1"/>
  <c r="S43" i="3" s="1"/>
  <c r="EZ11" i="1"/>
  <c r="S53" i="3" s="1"/>
  <c r="FA19" i="1"/>
  <c r="EZ14" i="1"/>
  <c r="EZ19" i="1"/>
  <c r="EZ77" i="1"/>
  <c r="S23" i="3" s="1"/>
  <c r="EW4" i="1"/>
  <c r="Q11" i="3"/>
  <c r="R11" i="3"/>
  <c r="Q68" i="3" l="1"/>
  <c r="Q47" i="3"/>
  <c r="Q32" i="3"/>
  <c r="R68" i="3"/>
  <c r="R47" i="3"/>
  <c r="R32" i="3"/>
  <c r="DD12" i="1"/>
  <c r="X45" i="3"/>
  <c r="X23" i="3"/>
  <c r="X21" i="3"/>
  <c r="X22" i="3" s="1"/>
  <c r="X53" i="3"/>
  <c r="X52" i="3"/>
  <c r="X20" i="3"/>
  <c r="X63" i="3"/>
  <c r="X41" i="3"/>
  <c r="X42" i="3" s="1"/>
  <c r="X25" i="3"/>
  <c r="X60" i="3"/>
  <c r="X15" i="3"/>
  <c r="X30" i="3"/>
  <c r="X46" i="3"/>
  <c r="X47" i="3" s="1"/>
  <c r="X31" i="3"/>
  <c r="X32" i="3" s="1"/>
  <c r="X35" i="3"/>
  <c r="X43" i="3"/>
  <c r="X40" i="3"/>
  <c r="X61" i="3"/>
  <c r="X62" i="3" s="1"/>
  <c r="X48" i="3"/>
  <c r="FB19" i="1"/>
  <c r="EZ4" i="1"/>
  <c r="EZ8" i="1"/>
  <c r="S48" i="3" s="1"/>
  <c r="EW8" i="1"/>
  <c r="P48" i="3" s="1"/>
  <c r="EY8" i="1"/>
  <c r="R48" i="3" s="1"/>
  <c r="EV8" i="1"/>
  <c r="O48" i="3" s="1"/>
  <c r="EX8" i="1"/>
  <c r="Q48" i="3" s="1"/>
  <c r="FA4" i="1"/>
  <c r="EX4" i="1"/>
  <c r="EY4" i="1"/>
  <c r="DG12" i="1" l="1"/>
  <c r="Y25" i="3"/>
  <c r="Y21" i="3"/>
  <c r="Y22" i="3" s="1"/>
  <c r="Y41" i="3"/>
  <c r="Y42" i="3" s="1"/>
  <c r="Y46" i="3"/>
  <c r="Y47" i="3" s="1"/>
  <c r="Y23" i="3"/>
  <c r="Y52" i="3"/>
  <c r="Y30" i="3"/>
  <c r="Y35" i="3"/>
  <c r="Y45" i="3"/>
  <c r="Y43" i="3"/>
  <c r="Y61" i="3"/>
  <c r="Y62" i="3" s="1"/>
  <c r="Y63" i="3"/>
  <c r="Y60" i="3"/>
  <c r="Y53" i="3"/>
  <c r="Y15" i="3"/>
  <c r="Y31" i="3"/>
  <c r="Y32" i="3" s="1"/>
  <c r="Y48" i="3"/>
  <c r="Y20" i="3"/>
  <c r="Y40" i="3"/>
  <c r="FC19" i="1"/>
  <c r="Z3" i="11"/>
  <c r="Y3" i="11"/>
  <c r="X3" i="11"/>
  <c r="V3" i="11"/>
  <c r="T3" i="11"/>
  <c r="Z25" i="3" l="1"/>
  <c r="Z35" i="3"/>
  <c r="Z48" i="3"/>
  <c r="Z31" i="3"/>
  <c r="Z32" i="3" s="1"/>
  <c r="Z63" i="3"/>
  <c r="Z40" i="3"/>
  <c r="Z30" i="3"/>
  <c r="Z15" i="3"/>
  <c r="Z46" i="3"/>
  <c r="Z47" i="3" s="1"/>
  <c r="Z45" i="3"/>
  <c r="Z23" i="3"/>
  <c r="Z21" i="3"/>
  <c r="Z22" i="3" s="1"/>
  <c r="Z41" i="3"/>
  <c r="Z42" i="3" s="1"/>
  <c r="Z43" i="3"/>
  <c r="Z53" i="3"/>
  <c r="Z20" i="3"/>
  <c r="Z60" i="3"/>
  <c r="Z61" i="3"/>
  <c r="Z62" i="3" s="1"/>
  <c r="Z52" i="3"/>
  <c r="FD19" i="1"/>
  <c r="W7" i="11"/>
  <c r="Z75" i="3" l="1"/>
  <c r="FE19" i="1"/>
  <c r="W18" i="11"/>
  <c r="W23" i="11"/>
  <c r="Y18" i="11"/>
  <c r="Y23" i="11"/>
  <c r="V18" i="11"/>
  <c r="V23" i="11"/>
  <c r="X18" i="11"/>
  <c r="X23" i="11"/>
  <c r="Z18" i="11"/>
  <c r="Z23" i="11"/>
  <c r="AI76" i="1"/>
  <c r="AH76" i="1"/>
  <c r="AG76" i="1"/>
  <c r="AF76" i="1"/>
  <c r="AE76" i="1"/>
  <c r="AI3" i="1"/>
  <c r="AH3" i="1"/>
  <c r="AG3" i="1"/>
  <c r="AF3" i="1"/>
  <c r="AE3" i="1"/>
  <c r="Z74" i="3" l="1"/>
  <c r="FF19" i="1"/>
  <c r="Z19" i="3" l="1"/>
  <c r="Z34" i="3"/>
  <c r="Z39" i="3"/>
  <c r="Z29" i="3"/>
  <c r="Z49" i="3"/>
  <c r="Z54" i="3"/>
  <c r="Z44" i="3"/>
  <c r="Z24" i="3"/>
  <c r="FG19" i="1"/>
  <c r="L2" i="12" l="1"/>
  <c r="E1" i="11" l="1"/>
  <c r="F1" i="11" s="1"/>
  <c r="G1" i="11" s="1"/>
  <c r="H1" i="11" s="1"/>
  <c r="I1" i="11" s="1"/>
  <c r="C1" i="11"/>
  <c r="B1" i="11" s="1"/>
  <c r="N88" i="3"/>
  <c r="M88" i="3"/>
  <c r="L88" i="3"/>
  <c r="K88" i="3"/>
  <c r="J88" i="3"/>
  <c r="I88" i="3"/>
  <c r="H88" i="3"/>
  <c r="G88" i="3"/>
  <c r="F88" i="3"/>
  <c r="E88" i="3"/>
  <c r="D88" i="3"/>
  <c r="C88" i="3"/>
  <c r="N86" i="3"/>
  <c r="M86" i="3"/>
  <c r="L86" i="3"/>
  <c r="K86" i="3"/>
  <c r="J86" i="3"/>
  <c r="I86" i="3"/>
  <c r="H86" i="3"/>
  <c r="G86" i="3"/>
  <c r="F86" i="3"/>
  <c r="E86" i="3"/>
  <c r="D86" i="3"/>
  <c r="C86" i="3"/>
  <c r="J1" i="11" l="1"/>
  <c r="K1" i="11" s="1"/>
  <c r="L1" i="11" s="1"/>
  <c r="M1" i="11" s="1"/>
  <c r="F15" i="11"/>
  <c r="F14" i="11"/>
  <c r="G17" i="11"/>
  <c r="F13" i="11"/>
  <c r="G16" i="11"/>
  <c r="F12" i="11"/>
  <c r="G6" i="11"/>
  <c r="F4" i="11"/>
  <c r="G15" i="11"/>
  <c r="F10" i="11"/>
  <c r="G14" i="11"/>
  <c r="F9" i="11"/>
  <c r="G13" i="11"/>
  <c r="G10" i="11"/>
  <c r="F8" i="11"/>
  <c r="G12" i="11"/>
  <c r="G9" i="11"/>
  <c r="F6" i="11"/>
  <c r="G11" i="11"/>
  <c r="G8" i="11"/>
  <c r="F5" i="11"/>
  <c r="G5" i="11"/>
  <c r="G4" i="11"/>
  <c r="F17" i="11"/>
  <c r="F16" i="11"/>
  <c r="F11" i="11"/>
  <c r="D15" i="11"/>
  <c r="E14" i="11"/>
  <c r="B8" i="11"/>
  <c r="D11" i="11"/>
  <c r="B15" i="11"/>
  <c r="C8" i="11"/>
  <c r="E11" i="11"/>
  <c r="C15" i="11"/>
  <c r="C4" i="11"/>
  <c r="E8" i="11"/>
  <c r="C12" i="11"/>
  <c r="E15" i="11"/>
  <c r="B4" i="11"/>
  <c r="D8" i="11"/>
  <c r="B12" i="11"/>
  <c r="D4" i="11"/>
  <c r="B9" i="11"/>
  <c r="D12" i="11"/>
  <c r="B16" i="11"/>
  <c r="E4" i="11"/>
  <c r="C9" i="11"/>
  <c r="E12" i="11"/>
  <c r="C16" i="11"/>
  <c r="B5" i="11"/>
  <c r="D16" i="11"/>
  <c r="C5" i="11"/>
  <c r="E9" i="11"/>
  <c r="C13" i="11"/>
  <c r="E16" i="11"/>
  <c r="D9" i="11"/>
  <c r="B13" i="11"/>
  <c r="D5" i="11"/>
  <c r="B10" i="11"/>
  <c r="D13" i="11"/>
  <c r="B17" i="11"/>
  <c r="E5" i="11"/>
  <c r="C10" i="11"/>
  <c r="E13" i="11"/>
  <c r="C17" i="11"/>
  <c r="B6" i="11"/>
  <c r="D10" i="11"/>
  <c r="B14" i="11"/>
  <c r="D17" i="11"/>
  <c r="C6" i="11"/>
  <c r="E10" i="11"/>
  <c r="C14" i="11"/>
  <c r="E17" i="11"/>
  <c r="D6" i="11"/>
  <c r="B11" i="11"/>
  <c r="D14" i="11"/>
  <c r="E6" i="11"/>
  <c r="C11" i="11"/>
  <c r="N16" i="11" l="1"/>
  <c r="N15" i="11"/>
  <c r="N13" i="11"/>
  <c r="N12" i="11"/>
  <c r="N11" i="11"/>
  <c r="N6" i="11"/>
  <c r="N4" i="11"/>
  <c r="P1" i="11"/>
  <c r="Q1" i="11" s="1"/>
  <c r="G3" i="11"/>
  <c r="G7" i="11"/>
  <c r="F3" i="11"/>
  <c r="F7" i="11"/>
  <c r="B3" i="11"/>
  <c r="E3" i="11"/>
  <c r="E7" i="11"/>
  <c r="C7" i="11"/>
  <c r="D7" i="11"/>
  <c r="C3" i="11"/>
  <c r="D3" i="11"/>
  <c r="B7" i="11"/>
  <c r="T1" i="11" l="1"/>
  <c r="R4" i="11"/>
  <c r="R16" i="11"/>
  <c r="S16" i="11" s="1"/>
  <c r="R15" i="11"/>
  <c r="S15" i="11" s="1"/>
  <c r="R13" i="11"/>
  <c r="S13" i="11" s="1"/>
  <c r="R12" i="11"/>
  <c r="S12" i="11" s="1"/>
  <c r="R11" i="11"/>
  <c r="S11" i="11" s="1"/>
  <c r="R6" i="11"/>
  <c r="S6" i="11" s="1"/>
  <c r="O4" i="11"/>
  <c r="O16" i="11"/>
  <c r="O15" i="11"/>
  <c r="O12" i="11"/>
  <c r="O11" i="11"/>
  <c r="O13" i="11"/>
  <c r="Q8" i="11"/>
  <c r="O6" i="11"/>
  <c r="G18" i="11"/>
  <c r="G21" i="11" s="1"/>
  <c r="D18" i="11"/>
  <c r="D21" i="11" s="1"/>
  <c r="B18" i="11"/>
  <c r="B21" i="11" s="1"/>
  <c r="E18" i="11"/>
  <c r="E21" i="11" s="1"/>
  <c r="C18" i="11"/>
  <c r="C21" i="11" s="1"/>
  <c r="DN6" i="1"/>
  <c r="EM6" i="1" s="1"/>
  <c r="DM6" i="1"/>
  <c r="DL6" i="1"/>
  <c r="DK6" i="1"/>
  <c r="R3" i="11" l="1"/>
  <c r="R18" i="11" s="1"/>
  <c r="R21" i="11" s="1"/>
  <c r="S4" i="11"/>
  <c r="S3" i="11" s="1"/>
  <c r="O3" i="11"/>
  <c r="N3" i="11"/>
  <c r="N7" i="11"/>
  <c r="EK6" i="1"/>
  <c r="EJ6" i="1"/>
  <c r="EL6" i="1"/>
  <c r="F18" i="11"/>
  <c r="F21" i="11" s="1"/>
  <c r="N18" i="11" l="1"/>
  <c r="N21" i="11" s="1"/>
  <c r="Q10" i="11"/>
  <c r="S10" i="11" s="1"/>
  <c r="Q9" i="11"/>
  <c r="O7" i="11"/>
  <c r="O18" i="11" s="1"/>
  <c r="DN7" i="1"/>
  <c r="EM7" i="1" s="1"/>
  <c r="S9" i="11" l="1"/>
  <c r="Q7" i="11"/>
  <c r="Q18" i="11" s="1"/>
  <c r="S8" i="11"/>
  <c r="R5" i="6"/>
  <c r="S7" i="11" l="1"/>
  <c r="S18" i="11" s="1"/>
  <c r="R23" i="11"/>
  <c r="DV83" i="1"/>
  <c r="DV42" i="1"/>
  <c r="R13" i="1"/>
  <c r="T13" i="1" s="1"/>
  <c r="R7" i="1"/>
  <c r="DV7" i="1" s="1"/>
  <c r="EU7" i="1" s="1"/>
  <c r="DV22" i="1"/>
  <c r="DV19" i="1"/>
  <c r="R12" i="1"/>
  <c r="T12" i="1" s="1"/>
  <c r="DV40" i="1"/>
  <c r="R16" i="1"/>
  <c r="R10" i="1"/>
  <c r="T10" i="1" s="1"/>
  <c r="DV34" i="1"/>
  <c r="DV28" i="1"/>
  <c r="R8" i="1"/>
  <c r="R6" i="1"/>
  <c r="DV6" i="1" s="1"/>
  <c r="EU6" i="1" s="1"/>
  <c r="DV66" i="1"/>
  <c r="DV46" i="1"/>
  <c r="DV44" i="1"/>
  <c r="DV43" i="1"/>
  <c r="R15" i="1"/>
  <c r="T15" i="1" s="1"/>
  <c r="R73" i="1"/>
  <c r="DV33" i="1"/>
  <c r="DV35" i="1"/>
  <c r="R72" i="1"/>
  <c r="DV53" i="1"/>
  <c r="DV49" i="1"/>
  <c r="EU49" i="1" s="1"/>
  <c r="DV36" i="1"/>
  <c r="DV37" i="1"/>
  <c r="EU37" i="1" s="1"/>
  <c r="R74" i="1"/>
  <c r="DV56" i="1"/>
  <c r="R71" i="1"/>
  <c r="N95" i="1"/>
  <c r="DU78" i="1"/>
  <c r="DU93" i="1"/>
  <c r="N19" i="1"/>
  <c r="O19" i="1" s="1"/>
  <c r="N77" i="1"/>
  <c r="O77" i="1" s="1"/>
  <c r="N24" i="1"/>
  <c r="O24" i="1" s="1"/>
  <c r="M60" i="3"/>
  <c r="N92" i="1"/>
  <c r="N91" i="1"/>
  <c r="N89" i="1"/>
  <c r="N16" i="1"/>
  <c r="N15" i="1"/>
  <c r="DU87" i="1"/>
  <c r="N86" i="1"/>
  <c r="DU14" i="1"/>
  <c r="N13" i="1"/>
  <c r="N84" i="1"/>
  <c r="N12" i="1"/>
  <c r="N83" i="1"/>
  <c r="DU83" i="1" s="1"/>
  <c r="N97" i="1"/>
  <c r="O97" i="1" s="1"/>
  <c r="N80" i="1"/>
  <c r="N10" i="1"/>
  <c r="N96" i="1"/>
  <c r="O96" i="1" s="1"/>
  <c r="N88" i="1"/>
  <c r="O88" i="1" s="1"/>
  <c r="N48" i="1"/>
  <c r="O48" i="1" s="1"/>
  <c r="N74" i="1"/>
  <c r="N73" i="1"/>
  <c r="N40" i="1"/>
  <c r="O40" i="1" s="1"/>
  <c r="N46" i="1"/>
  <c r="O46" i="1" s="1"/>
  <c r="N71" i="1"/>
  <c r="N68" i="1"/>
  <c r="DU68" i="1" s="1"/>
  <c r="N67" i="1"/>
  <c r="N66" i="1"/>
  <c r="DU66" i="1" s="1"/>
  <c r="N44" i="1"/>
  <c r="N47" i="1"/>
  <c r="O47" i="1" s="1"/>
  <c r="N30" i="1"/>
  <c r="N69" i="1"/>
  <c r="N53" i="1"/>
  <c r="O53" i="1" s="1"/>
  <c r="N43" i="1"/>
  <c r="O43" i="1" s="1"/>
  <c r="N72" i="1"/>
  <c r="N37" i="1"/>
  <c r="O37" i="1" s="1"/>
  <c r="DU56" i="1"/>
  <c r="N42" i="1"/>
  <c r="N49" i="1"/>
  <c r="N41" i="1"/>
  <c r="O41" i="1" s="1"/>
  <c r="N29" i="1"/>
  <c r="M27" i="1"/>
  <c r="M26" i="1" s="1"/>
  <c r="ER7" i="1"/>
  <c r="ER6" i="1"/>
  <c r="DR7" i="1"/>
  <c r="EQ7" i="1" s="1"/>
  <c r="DR95" i="1"/>
  <c r="EQ95" i="1" s="1"/>
  <c r="DP6" i="1"/>
  <c r="EO6" i="1" s="1"/>
  <c r="DO6" i="1"/>
  <c r="EN6" i="1" s="1"/>
  <c r="T16" i="1" l="1"/>
  <c r="N15" i="3"/>
  <c r="N45" i="3"/>
  <c r="T8" i="1"/>
  <c r="M95" i="1"/>
  <c r="O95" i="1"/>
  <c r="DU91" i="1"/>
  <c r="O91" i="1"/>
  <c r="DU92" i="1"/>
  <c r="ET92" i="1" s="1"/>
  <c r="O92" i="1"/>
  <c r="DU86" i="1"/>
  <c r="O86" i="1"/>
  <c r="DU89" i="1"/>
  <c r="O89" i="1"/>
  <c r="DU80" i="1"/>
  <c r="O80" i="1"/>
  <c r="DU49" i="1"/>
  <c r="ET49" i="1" s="1"/>
  <c r="O49" i="1"/>
  <c r="P49" i="1" s="1"/>
  <c r="Q49" i="1" s="1"/>
  <c r="DU44" i="1"/>
  <c r="O44" i="1"/>
  <c r="DU42" i="1"/>
  <c r="O42" i="1"/>
  <c r="P42" i="1" s="1"/>
  <c r="Q42" i="1" s="1"/>
  <c r="T23" i="11"/>
  <c r="T18" i="11"/>
  <c r="N40" i="3"/>
  <c r="M11" i="1"/>
  <c r="M50" i="3"/>
  <c r="N25" i="3"/>
  <c r="M25" i="3"/>
  <c r="M40" i="3"/>
  <c r="M20" i="3"/>
  <c r="N30" i="3"/>
  <c r="N50" i="3"/>
  <c r="DV77" i="1"/>
  <c r="N20" i="3"/>
  <c r="M15" i="3"/>
  <c r="M30" i="3"/>
  <c r="DV101" i="1"/>
  <c r="N60" i="3"/>
  <c r="EU5" i="1"/>
  <c r="N35" i="3"/>
  <c r="DU8" i="1"/>
  <c r="M46" i="3" s="1"/>
  <c r="M45" i="3"/>
  <c r="M35" i="3"/>
  <c r="DV11" i="1"/>
  <c r="Q11" i="1"/>
  <c r="R52" i="1"/>
  <c r="BU5" i="1"/>
  <c r="ET5" i="1" s="1"/>
  <c r="DV30" i="1"/>
  <c r="Q95" i="1"/>
  <c r="Q43" i="1"/>
  <c r="DU43" i="1"/>
  <c r="DV50" i="1"/>
  <c r="M96" i="1"/>
  <c r="DU96" i="1"/>
  <c r="Q94" i="1"/>
  <c r="DV94" i="1"/>
  <c r="EU94" i="1" s="1"/>
  <c r="DV68" i="1"/>
  <c r="Q91" i="1"/>
  <c r="DV91" i="1"/>
  <c r="O6" i="1"/>
  <c r="DU6" i="1"/>
  <c r="ET6" i="1" s="1"/>
  <c r="DV48" i="1"/>
  <c r="Q87" i="1"/>
  <c r="DV87" i="1"/>
  <c r="EU87" i="1" s="1"/>
  <c r="DV8" i="1"/>
  <c r="N46" i="3" s="1"/>
  <c r="O10" i="1"/>
  <c r="Q78" i="1"/>
  <c r="DU7" i="1"/>
  <c r="DV29" i="1"/>
  <c r="DU36" i="1"/>
  <c r="ET36" i="1" s="1"/>
  <c r="O73" i="1"/>
  <c r="Q73" i="1" s="1"/>
  <c r="T73" i="1" s="1"/>
  <c r="DU73" i="1"/>
  <c r="DU33" i="1"/>
  <c r="Q47" i="1"/>
  <c r="DU47" i="1"/>
  <c r="O72" i="1"/>
  <c r="Q72" i="1" s="1"/>
  <c r="T72" i="1" s="1"/>
  <c r="DU72" i="1"/>
  <c r="DV24" i="1"/>
  <c r="Q96" i="1"/>
  <c r="DV96" i="1"/>
  <c r="Q50" i="1"/>
  <c r="DU50" i="1"/>
  <c r="DU54" i="1"/>
  <c r="Q46" i="1"/>
  <c r="DU46" i="1"/>
  <c r="M84" i="1"/>
  <c r="O84" i="1" s="1"/>
  <c r="DU84" i="1"/>
  <c r="DV74" i="1"/>
  <c r="DU24" i="1"/>
  <c r="DV51" i="1"/>
  <c r="DV15" i="1"/>
  <c r="O16" i="1"/>
  <c r="DU16" i="1"/>
  <c r="O69" i="1"/>
  <c r="Q69" i="1" s="1"/>
  <c r="O13" i="1"/>
  <c r="Q84" i="1"/>
  <c r="DV84" i="1"/>
  <c r="O29" i="1"/>
  <c r="Q29" i="1" s="1"/>
  <c r="DU29" i="1"/>
  <c r="O30" i="1"/>
  <c r="Q30" i="1" s="1"/>
  <c r="DU30" i="1"/>
  <c r="O67" i="1"/>
  <c r="Q67" i="1" s="1"/>
  <c r="DU67" i="1"/>
  <c r="DV67" i="1"/>
  <c r="DU77" i="1"/>
  <c r="DV38" i="1"/>
  <c r="DV69" i="1"/>
  <c r="O74" i="1"/>
  <c r="Q74" i="1" s="1"/>
  <c r="T74" i="1" s="1"/>
  <c r="DU74" i="1"/>
  <c r="DV16" i="1"/>
  <c r="Q92" i="1"/>
  <c r="DV92" i="1"/>
  <c r="EU92" i="1" s="1"/>
  <c r="Q14" i="1"/>
  <c r="T14" i="1" s="1"/>
  <c r="DV14" i="1"/>
  <c r="Q89" i="1"/>
  <c r="DV89" i="1"/>
  <c r="Q80" i="1"/>
  <c r="T80" i="1" s="1"/>
  <c r="DV80" i="1"/>
  <c r="Q40" i="1"/>
  <c r="DU40" i="1"/>
  <c r="O71" i="1"/>
  <c r="Q71" i="1" s="1"/>
  <c r="T71" i="1" s="1"/>
  <c r="DU71" i="1"/>
  <c r="DV9" i="1"/>
  <c r="Q93" i="1"/>
  <c r="DV93" i="1"/>
  <c r="DV72" i="1"/>
  <c r="O15" i="1"/>
  <c r="DU15" i="1"/>
  <c r="Q53" i="1"/>
  <c r="T53" i="1" s="1"/>
  <c r="T52" i="1" s="1"/>
  <c r="DU53" i="1"/>
  <c r="Q41" i="1"/>
  <c r="DU41" i="1"/>
  <c r="DU51" i="1"/>
  <c r="Q88" i="1"/>
  <c r="DV88" i="1"/>
  <c r="EU88" i="1" s="1"/>
  <c r="Q85" i="1"/>
  <c r="DV85" i="1"/>
  <c r="Q86" i="1"/>
  <c r="DV86" i="1"/>
  <c r="DV41" i="1"/>
  <c r="Q37" i="1"/>
  <c r="T32" i="1" s="1"/>
  <c r="ET37" i="1"/>
  <c r="DV54" i="1"/>
  <c r="Q48" i="1"/>
  <c r="DU48" i="1"/>
  <c r="DU11" i="1"/>
  <c r="DV71" i="1"/>
  <c r="DV73" i="1"/>
  <c r="DV47" i="1"/>
  <c r="Q97" i="1"/>
  <c r="DV97" i="1"/>
  <c r="DU19" i="1"/>
  <c r="M92" i="1"/>
  <c r="BR87" i="1"/>
  <c r="M87" i="1"/>
  <c r="M93" i="1"/>
  <c r="M89" i="1"/>
  <c r="M97" i="1"/>
  <c r="M94" i="1"/>
  <c r="L55" i="3"/>
  <c r="O14" i="1"/>
  <c r="M91" i="1"/>
  <c r="M79" i="1"/>
  <c r="M85" i="1"/>
  <c r="M78" i="1"/>
  <c r="M86" i="1"/>
  <c r="M88" i="1"/>
  <c r="O12" i="1"/>
  <c r="M80" i="1"/>
  <c r="M83" i="1"/>
  <c r="O83" i="1" s="1"/>
  <c r="Q79" i="1"/>
  <c r="BU79" i="1"/>
  <c r="BR5" i="1"/>
  <c r="O68" i="1"/>
  <c r="Q68" i="1" s="1"/>
  <c r="R4" i="1"/>
  <c r="T4" i="1" s="1"/>
  <c r="R18" i="1"/>
  <c r="R55" i="1"/>
  <c r="Q77" i="1"/>
  <c r="R76" i="1"/>
  <c r="R65" i="1"/>
  <c r="R45" i="1"/>
  <c r="R27" i="1"/>
  <c r="R32" i="1"/>
  <c r="R82" i="1"/>
  <c r="Q83" i="1"/>
  <c r="R39" i="1"/>
  <c r="M55" i="3"/>
  <c r="ET94" i="1"/>
  <c r="ET87" i="1"/>
  <c r="ET88" i="1"/>
  <c r="ET101" i="1"/>
  <c r="M63" i="3" s="1"/>
  <c r="N4" i="1"/>
  <c r="DU4" i="1" s="1"/>
  <c r="N39" i="1"/>
  <c r="N45" i="1"/>
  <c r="O66" i="1"/>
  <c r="Q66" i="1" s="1"/>
  <c r="N65" i="1"/>
  <c r="BU95" i="1"/>
  <c r="DU95" i="1" s="1"/>
  <c r="Q56" i="1"/>
  <c r="T55" i="1" s="1"/>
  <c r="N55" i="1"/>
  <c r="N27" i="1"/>
  <c r="N76" i="1"/>
  <c r="N82" i="1"/>
  <c r="N52" i="1"/>
  <c r="N32" i="1"/>
  <c r="N18" i="1"/>
  <c r="R10" i="13" s="1"/>
  <c r="O101" i="1"/>
  <c r="ER95" i="1"/>
  <c r="ER96" i="1"/>
  <c r="DR96" i="1"/>
  <c r="EQ96" i="1" s="1"/>
  <c r="DR6" i="1"/>
  <c r="EQ6" i="1" s="1"/>
  <c r="R18" i="13" l="1"/>
  <c r="T76" i="1"/>
  <c r="R16" i="13"/>
  <c r="T18" i="1"/>
  <c r="R19" i="13"/>
  <c r="T82" i="1"/>
  <c r="T70" i="1"/>
  <c r="T45" i="1"/>
  <c r="T27" i="1"/>
  <c r="T65" i="1"/>
  <c r="M21" i="3"/>
  <c r="DV4" i="1"/>
  <c r="Q4" i="1"/>
  <c r="R7" i="13"/>
  <c r="R13" i="13"/>
  <c r="R6" i="13"/>
  <c r="R12" i="13"/>
  <c r="N21" i="3"/>
  <c r="M51" i="3"/>
  <c r="N31" i="3"/>
  <c r="M41" i="3"/>
  <c r="N51" i="3"/>
  <c r="N41" i="3"/>
  <c r="M31" i="3"/>
  <c r="EU101" i="1"/>
  <c r="N63" i="3" s="1"/>
  <c r="N61" i="3"/>
  <c r="Q52" i="1"/>
  <c r="Q65" i="1"/>
  <c r="Q70" i="1"/>
  <c r="Q55" i="1"/>
  <c r="O27" i="1"/>
  <c r="O70" i="1"/>
  <c r="O52" i="1"/>
  <c r="O55" i="1"/>
  <c r="O4" i="1"/>
  <c r="O3" i="1" s="1"/>
  <c r="N56" i="3"/>
  <c r="EU14" i="1"/>
  <c r="N58" i="3" s="1"/>
  <c r="Q82" i="1"/>
  <c r="ES6" i="1"/>
  <c r="P44" i="1"/>
  <c r="Q45" i="1"/>
  <c r="P45" i="1"/>
  <c r="Q101" i="1"/>
  <c r="R4" i="13"/>
  <c r="B4" i="13" s="1"/>
  <c r="Q76" i="1"/>
  <c r="P3" i="1"/>
  <c r="O39" i="1"/>
  <c r="O65" i="1"/>
  <c r="Q32" i="1"/>
  <c r="O32" i="1"/>
  <c r="R3" i="1"/>
  <c r="T3" i="1" s="1"/>
  <c r="N3" i="1"/>
  <c r="R26" i="1"/>
  <c r="M56" i="3"/>
  <c r="ET14" i="1"/>
  <c r="M58" i="3" s="1"/>
  <c r="M76" i="1"/>
  <c r="M82" i="1"/>
  <c r="O76" i="1"/>
  <c r="O82" i="1"/>
  <c r="M18" i="1"/>
  <c r="O45" i="1"/>
  <c r="N26" i="1"/>
  <c r="BX95" i="1"/>
  <c r="ET95" i="1"/>
  <c r="DP7" i="1"/>
  <c r="EO7" i="1" s="1"/>
  <c r="DO7" i="1"/>
  <c r="EN7" i="1" s="1"/>
  <c r="R17" i="13" l="1"/>
  <c r="T26" i="1"/>
  <c r="N99" i="1"/>
  <c r="R99" i="1"/>
  <c r="R15" i="13"/>
  <c r="R3" i="13"/>
  <c r="B3" i="13" s="1"/>
  <c r="R9" i="13"/>
  <c r="R5" i="13"/>
  <c r="R11" i="13"/>
  <c r="C5" i="13" s="1"/>
  <c r="Q44" i="1"/>
  <c r="T39" i="1" s="1"/>
  <c r="DV95" i="1"/>
  <c r="EU95" i="1" s="1"/>
  <c r="P39" i="1"/>
  <c r="P26" i="1" s="1"/>
  <c r="P99" i="1" s="1"/>
  <c r="Q3" i="1"/>
  <c r="O26" i="1"/>
  <c r="O18" i="1"/>
  <c r="Q27" i="1"/>
  <c r="S10" i="13"/>
  <c r="C4" i="13"/>
  <c r="ET7" i="1"/>
  <c r="DM7" i="1"/>
  <c r="DL7" i="1"/>
  <c r="DK7" i="1"/>
  <c r="DP96" i="1"/>
  <c r="EO96" i="1" s="1"/>
  <c r="N104" i="1"/>
  <c r="T99" i="1" l="1"/>
  <c r="R14" i="13"/>
  <c r="C3" i="13"/>
  <c r="Q39" i="1"/>
  <c r="Q26" i="1" s="1"/>
  <c r="CD95" i="1"/>
  <c r="ES7" i="1"/>
  <c r="O99" i="1"/>
  <c r="Q18" i="1"/>
  <c r="EJ7" i="1"/>
  <c r="EK7" i="1"/>
  <c r="EL7" i="1"/>
  <c r="EV95" i="1" l="1"/>
  <c r="O18" i="3" s="1"/>
  <c r="O16" i="3"/>
  <c r="O17" i="3" s="1"/>
  <c r="CG95" i="1"/>
  <c r="DX95" i="1"/>
  <c r="P16" i="3" s="1"/>
  <c r="P17" i="3" s="1"/>
  <c r="Q99" i="1"/>
  <c r="D4" i="13"/>
  <c r="E4" i="13" s="1"/>
  <c r="F40" i="3"/>
  <c r="EW95" i="1" l="1"/>
  <c r="P18" i="3" s="1"/>
  <c r="CJ95" i="1"/>
  <c r="DY95" i="1"/>
  <c r="Q43" i="5"/>
  <c r="Q16" i="3" l="1"/>
  <c r="Q17" i="3" s="1"/>
  <c r="EX95" i="1"/>
  <c r="Q18" i="3" s="1"/>
  <c r="CM95" i="1"/>
  <c r="DZ95" i="1"/>
  <c r="R16" i="3" s="1"/>
  <c r="R17" i="3" s="1"/>
  <c r="EY95" i="1" l="1"/>
  <c r="R18" i="3" s="1"/>
  <c r="CP95" i="1"/>
  <c r="EA95" i="1"/>
  <c r="S16" i="3" s="1"/>
  <c r="S17" i="3" s="1"/>
  <c r="EV20" i="1"/>
  <c r="EV22" i="1"/>
  <c r="O33" i="3" l="1"/>
  <c r="EZ95" i="1"/>
  <c r="S18" i="3" s="1"/>
  <c r="CS95" i="1"/>
  <c r="EB95" i="1"/>
  <c r="T16" i="3" s="1"/>
  <c r="T17" i="3" s="1"/>
  <c r="EW22" i="1"/>
  <c r="FA95" i="1" l="1"/>
  <c r="T18" i="3" s="1"/>
  <c r="CV95" i="1"/>
  <c r="EC95" i="1"/>
  <c r="AE18" i="1"/>
  <c r="EX20" i="1"/>
  <c r="AF18" i="1"/>
  <c r="AF99" i="1" s="1"/>
  <c r="EX22" i="1"/>
  <c r="ET20" i="1"/>
  <c r="EU20" i="1"/>
  <c r="ET22" i="1"/>
  <c r="EU22" i="1"/>
  <c r="ET24" i="1"/>
  <c r="EU24" i="1"/>
  <c r="Q33" i="3" l="1"/>
  <c r="U16" i="3"/>
  <c r="U17" i="3" s="1"/>
  <c r="CY95" i="1"/>
  <c r="ED95" i="1"/>
  <c r="FB95" i="1"/>
  <c r="U18" i="3" s="1"/>
  <c r="EW20" i="1"/>
  <c r="P33" i="3" s="1"/>
  <c r="EY22" i="1"/>
  <c r="EY20" i="1"/>
  <c r="AG18" i="1"/>
  <c r="AQ33" i="1"/>
  <c r="R33" i="3" l="1"/>
  <c r="V16" i="3"/>
  <c r="V17" i="3" s="1"/>
  <c r="DB95" i="1"/>
  <c r="EE95" i="1"/>
  <c r="FC95" i="1"/>
  <c r="V18" i="3" s="1"/>
  <c r="FA22" i="1"/>
  <c r="EZ22" i="1"/>
  <c r="AH18" i="1"/>
  <c r="EU74" i="1"/>
  <c r="ET74" i="1"/>
  <c r="EU73" i="1"/>
  <c r="ET73" i="1"/>
  <c r="EU72" i="1"/>
  <c r="ET72" i="1"/>
  <c r="EU71" i="1"/>
  <c r="ET71" i="1"/>
  <c r="EU69" i="1"/>
  <c r="ET69" i="1"/>
  <c r="EU68" i="1"/>
  <c r="ET68" i="1"/>
  <c r="EU67" i="1"/>
  <c r="ET67" i="1"/>
  <c r="EU66" i="1"/>
  <c r="ET66" i="1"/>
  <c r="EU50" i="1"/>
  <c r="ET50" i="1"/>
  <c r="EU56" i="1"/>
  <c r="ET56" i="1"/>
  <c r="EU54" i="1"/>
  <c r="ET54" i="1"/>
  <c r="EU53" i="1"/>
  <c r="ET53" i="1"/>
  <c r="EU51" i="1"/>
  <c r="ET51" i="1"/>
  <c r="EU48" i="1"/>
  <c r="ET48" i="1"/>
  <c r="EU47" i="1"/>
  <c r="ET47" i="1"/>
  <c r="EU46" i="1"/>
  <c r="ET46" i="1"/>
  <c r="EU44" i="1"/>
  <c r="ET44" i="1"/>
  <c r="EU43" i="1"/>
  <c r="ET43" i="1"/>
  <c r="EU42" i="1"/>
  <c r="ET42" i="1"/>
  <c r="EU41" i="1"/>
  <c r="ET41" i="1"/>
  <c r="EU40" i="1"/>
  <c r="ET40" i="1"/>
  <c r="EU38" i="1"/>
  <c r="ET38" i="1"/>
  <c r="EU36" i="1"/>
  <c r="EU35" i="1"/>
  <c r="ET35" i="1"/>
  <c r="EU34" i="1"/>
  <c r="ET34" i="1"/>
  <c r="EU33" i="1"/>
  <c r="ET33" i="1"/>
  <c r="EU30" i="1"/>
  <c r="ET30" i="1"/>
  <c r="EU29" i="1"/>
  <c r="ET29" i="1"/>
  <c r="EU28" i="1"/>
  <c r="ET28" i="1"/>
  <c r="AV1" i="1"/>
  <c r="N33" i="3" l="1"/>
  <c r="W16" i="3"/>
  <c r="W17" i="3" s="1"/>
  <c r="M33" i="3"/>
  <c r="FD95" i="1"/>
  <c r="W18" i="3" s="1"/>
  <c r="DE95" i="1"/>
  <c r="EF95" i="1"/>
  <c r="EZ20" i="1"/>
  <c r="S33" i="3" s="1"/>
  <c r="FB22" i="1"/>
  <c r="AI18" i="1"/>
  <c r="EU84" i="1"/>
  <c r="ET84" i="1"/>
  <c r="X16" i="3" l="1"/>
  <c r="X17" i="3" s="1"/>
  <c r="FE95" i="1"/>
  <c r="X18" i="3" s="1"/>
  <c r="DH95" i="1"/>
  <c r="EH95" i="1" s="1"/>
  <c r="EG95" i="1"/>
  <c r="FA20" i="1"/>
  <c r="T33" i="3" s="1"/>
  <c r="AJ18" i="1"/>
  <c r="Y16" i="3" l="1"/>
  <c r="Y17" i="3" s="1"/>
  <c r="Z16" i="3"/>
  <c r="Z17" i="3" s="1"/>
  <c r="FF95" i="1"/>
  <c r="Y18" i="3" s="1"/>
  <c r="FG95" i="1"/>
  <c r="Z18" i="3" s="1"/>
  <c r="FC22" i="1"/>
  <c r="FB20" i="1"/>
  <c r="U33" i="3" s="1"/>
  <c r="FC20" i="1"/>
  <c r="AK18" i="1"/>
  <c r="EU19" i="1"/>
  <c r="ET19" i="1"/>
  <c r="EU16" i="1"/>
  <c r="ET16" i="1"/>
  <c r="EU15" i="1"/>
  <c r="ET15" i="1"/>
  <c r="EU11" i="1"/>
  <c r="N53" i="3" s="1"/>
  <c r="ET11" i="1"/>
  <c r="M53" i="3" s="1"/>
  <c r="V33" i="3" l="1"/>
  <c r="AL18" i="1"/>
  <c r="FD22" i="1"/>
  <c r="FD20" i="1" l="1"/>
  <c r="W33" i="3" s="1"/>
  <c r="FE22" i="1"/>
  <c r="AM18" i="1"/>
  <c r="EU80" i="1"/>
  <c r="ET80" i="1"/>
  <c r="EU79" i="1"/>
  <c r="ET79" i="1"/>
  <c r="EU78" i="1"/>
  <c r="ET78" i="1"/>
  <c r="EU77" i="1"/>
  <c r="ET77" i="1"/>
  <c r="M23" i="3" l="1"/>
  <c r="N23" i="3"/>
  <c r="FE20" i="1"/>
  <c r="X33" i="3" s="1"/>
  <c r="AN18" i="1"/>
  <c r="FG22" i="1"/>
  <c r="FF22" i="1"/>
  <c r="EU97" i="1"/>
  <c r="ET89" i="1"/>
  <c r="ET85" i="1"/>
  <c r="EU85" i="1"/>
  <c r="EU96" i="1"/>
  <c r="N43" i="3" s="1"/>
  <c r="ET91" i="1"/>
  <c r="EU91" i="1"/>
  <c r="ET86" i="1"/>
  <c r="EU86" i="1"/>
  <c r="ET93" i="1"/>
  <c r="EU93" i="1"/>
  <c r="EU89" i="1"/>
  <c r="ET83" i="1"/>
  <c r="EU83" i="1"/>
  <c r="N11" i="3"/>
  <c r="M11" i="3"/>
  <c r="L11" i="3"/>
  <c r="J11" i="3"/>
  <c r="I11" i="3"/>
  <c r="I68" i="3" s="1"/>
  <c r="H11" i="3"/>
  <c r="G11" i="3"/>
  <c r="F11" i="3"/>
  <c r="E11" i="3"/>
  <c r="D11" i="3"/>
  <c r="C11" i="3"/>
  <c r="N2" i="3"/>
  <c r="M2" i="3"/>
  <c r="L2" i="3"/>
  <c r="K2" i="3"/>
  <c r="J2" i="3"/>
  <c r="I2" i="3"/>
  <c r="H2" i="3"/>
  <c r="M62" i="3" l="1"/>
  <c r="M47" i="3"/>
  <c r="M22" i="3"/>
  <c r="M52" i="3"/>
  <c r="M42" i="3"/>
  <c r="M32" i="3"/>
  <c r="N68" i="3"/>
  <c r="N47" i="3"/>
  <c r="N32" i="3"/>
  <c r="N42" i="3"/>
  <c r="N22" i="3"/>
  <c r="N52" i="3"/>
  <c r="N62" i="3"/>
  <c r="FF20" i="1"/>
  <c r="Y33" i="3" s="1"/>
  <c r="ET96" i="1"/>
  <c r="M43" i="3" s="1"/>
  <c r="ES96" i="1"/>
  <c r="L68" i="3"/>
  <c r="M68" i="3"/>
  <c r="M57" i="3"/>
  <c r="N57" i="3"/>
  <c r="J68" i="3"/>
  <c r="F68" i="3"/>
  <c r="C68" i="3"/>
  <c r="D68" i="3"/>
  <c r="E68" i="3"/>
  <c r="G68" i="3"/>
  <c r="H68" i="3"/>
  <c r="FG20" i="1" l="1"/>
  <c r="Z33" i="3" s="1"/>
  <c r="G2" i="3"/>
  <c r="F2" i="3"/>
  <c r="E2" i="3"/>
  <c r="D2" i="3"/>
  <c r="C2" i="3"/>
  <c r="M14" i="3"/>
  <c r="R14" i="3" s="1"/>
  <c r="S14" i="3" s="1"/>
  <c r="T14" i="3" s="1"/>
  <c r="U14" i="3" s="1"/>
  <c r="V14" i="3" s="1"/>
  <c r="W14" i="3" s="1"/>
  <c r="X14" i="3" s="1"/>
  <c r="Y14" i="3" s="1"/>
  <c r="Z14" i="3" s="1"/>
  <c r="L14" i="3"/>
  <c r="J14" i="3"/>
  <c r="F14" i="3"/>
  <c r="E14" i="3"/>
  <c r="D14" i="3"/>
  <c r="C14" i="3"/>
  <c r="E13" i="3"/>
  <c r="C7" i="13"/>
  <c r="D6" i="13"/>
  <c r="B6" i="13"/>
  <c r="EU2" i="1"/>
  <c r="EV2" i="1" s="1"/>
  <c r="EW2" i="1" s="1"/>
  <c r="EX2" i="1" s="1"/>
  <c r="EY2" i="1" s="1"/>
  <c r="EZ2" i="1" s="1"/>
  <c r="FA2" i="1" s="1"/>
  <c r="FB2" i="1" s="1"/>
  <c r="FC2" i="1" s="1"/>
  <c r="FD2" i="1" s="1"/>
  <c r="FE2" i="1" s="1"/>
  <c r="FF2" i="1" s="1"/>
  <c r="FG2" i="1" s="1"/>
  <c r="DU2" i="1"/>
  <c r="ET2" i="1" s="1"/>
  <c r="DT2" i="1"/>
  <c r="DR2" i="1"/>
  <c r="DN2" i="1"/>
  <c r="EM2" i="1" s="1"/>
  <c r="DM2" i="1"/>
  <c r="EL2" i="1" s="1"/>
  <c r="DL2" i="1"/>
  <c r="EK2" i="1" s="1"/>
  <c r="DK2" i="1"/>
  <c r="EJ2" i="1" s="1"/>
  <c r="E1" i="1"/>
  <c r="F1" i="1" s="1"/>
  <c r="G1" i="1" s="1"/>
  <c r="C1" i="1"/>
  <c r="S12" i="13" l="1"/>
  <c r="C6" i="13"/>
  <c r="B7" i="13"/>
  <c r="S13" i="13"/>
  <c r="D7" i="13"/>
  <c r="E7" i="13" s="1"/>
  <c r="DS2" i="1"/>
  <c r="ER2" i="1" s="1"/>
  <c r="EQ2" i="1"/>
  <c r="H1" i="1"/>
  <c r="B5" i="13"/>
  <c r="BB1" i="1"/>
  <c r="BE1" i="1" s="1"/>
  <c r="G13" i="3"/>
  <c r="H13" i="3" s="1"/>
  <c r="I13" i="3" s="1"/>
  <c r="J13" i="3" s="1"/>
  <c r="K13" i="3" s="1"/>
  <c r="L13" i="3" s="1"/>
  <c r="M13" i="3" s="1"/>
  <c r="N13" i="3" s="1"/>
  <c r="ES2" i="1"/>
  <c r="EP2" i="1"/>
  <c r="AS1" i="1"/>
  <c r="AY1" i="1"/>
  <c r="F13" i="3"/>
  <c r="D13" i="3"/>
  <c r="N16" i="3"/>
  <c r="N17" i="3" s="1"/>
  <c r="B1" i="1"/>
  <c r="AP1" i="1" s="1"/>
  <c r="D5" i="13"/>
  <c r="E5" i="13" s="1"/>
  <c r="E6" i="13" l="1"/>
  <c r="C8" i="13"/>
  <c r="C10" i="13"/>
  <c r="B10" i="13"/>
  <c r="S11" i="13"/>
  <c r="I1" i="1"/>
  <c r="C61" i="3"/>
  <c r="C62" i="3" s="1"/>
  <c r="C13" i="3"/>
  <c r="N18" i="3"/>
  <c r="J1" i="1" l="1"/>
  <c r="K1" i="1" s="1"/>
  <c r="M1" i="1" s="1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K20" i="1" l="1"/>
  <c r="K22" i="1"/>
  <c r="DT22" i="1" s="1"/>
  <c r="K94" i="1"/>
  <c r="K95" i="1"/>
  <c r="DT95" i="1" s="1"/>
  <c r="ES95" i="1" s="1"/>
  <c r="L1" i="1"/>
  <c r="K101" i="1"/>
  <c r="K79" i="1"/>
  <c r="ES79" i="1" s="1"/>
  <c r="K56" i="1"/>
  <c r="DT56" i="1" s="1"/>
  <c r="ES56" i="1" s="1"/>
  <c r="K19" i="1"/>
  <c r="K16" i="1"/>
  <c r="K77" i="1"/>
  <c r="DT77" i="1" s="1"/>
  <c r="K54" i="1"/>
  <c r="DT54" i="1" s="1"/>
  <c r="ES54" i="1" s="1"/>
  <c r="K37" i="1"/>
  <c r="DT37" i="1" s="1"/>
  <c r="ES37" i="1" s="1"/>
  <c r="K15" i="1"/>
  <c r="K74" i="1"/>
  <c r="DT74" i="1" s="1"/>
  <c r="ES74" i="1" s="1"/>
  <c r="K12" i="1"/>
  <c r="DT12" i="1" s="1"/>
  <c r="K89" i="1"/>
  <c r="DT89" i="1" s="1"/>
  <c r="ES89" i="1" s="1"/>
  <c r="K48" i="1"/>
  <c r="DT48" i="1" s="1"/>
  <c r="ES48" i="1" s="1"/>
  <c r="K11" i="1"/>
  <c r="DT11" i="1" s="1"/>
  <c r="K88" i="1"/>
  <c r="DT88" i="1" s="1"/>
  <c r="ES88" i="1" s="1"/>
  <c r="K30" i="1"/>
  <c r="DT30" i="1" s="1"/>
  <c r="ES30" i="1" s="1"/>
  <c r="K87" i="1"/>
  <c r="DT87" i="1" s="1"/>
  <c r="ES87" i="1" s="1"/>
  <c r="K46" i="1"/>
  <c r="DT46" i="1" s="1"/>
  <c r="ES46" i="1" s="1"/>
  <c r="K9" i="1"/>
  <c r="DT9" i="1" s="1"/>
  <c r="K69" i="1"/>
  <c r="DT69" i="1" s="1"/>
  <c r="ES69" i="1" s="1"/>
  <c r="K28" i="1"/>
  <c r="DT28" i="1" s="1"/>
  <c r="ES28" i="1" s="1"/>
  <c r="K85" i="1"/>
  <c r="DT85" i="1" s="1"/>
  <c r="ES85" i="1" s="1"/>
  <c r="K67" i="1"/>
  <c r="DT67" i="1" s="1"/>
  <c r="ES67" i="1" s="1"/>
  <c r="K24" i="1"/>
  <c r="K66" i="1"/>
  <c r="DT66" i="1" s="1"/>
  <c r="ES66" i="1" s="1"/>
  <c r="K80" i="1"/>
  <c r="DT80" i="1" s="1"/>
  <c r="ES80" i="1" s="1"/>
  <c r="K97" i="1"/>
  <c r="DT97" i="1" s="1"/>
  <c r="K78" i="1"/>
  <c r="DT78" i="1" s="1"/>
  <c r="ES78" i="1" s="1"/>
  <c r="K38" i="1"/>
  <c r="DT38" i="1" s="1"/>
  <c r="ES38" i="1" s="1"/>
  <c r="K47" i="1"/>
  <c r="DT47" i="1" s="1"/>
  <c r="ES47" i="1" s="1"/>
  <c r="K43" i="1"/>
  <c r="DT43" i="1" s="1"/>
  <c r="ES43" i="1" s="1"/>
  <c r="K83" i="1"/>
  <c r="DT83" i="1" s="1"/>
  <c r="ES83" i="1" s="1"/>
  <c r="K40" i="1"/>
  <c r="DT40" i="1" s="1"/>
  <c r="ES40" i="1" s="1"/>
  <c r="K93" i="1"/>
  <c r="DT93" i="1" s="1"/>
  <c r="ES93" i="1" s="1"/>
  <c r="K53" i="1"/>
  <c r="DT53" i="1" s="1"/>
  <c r="ES53" i="1" s="1"/>
  <c r="K36" i="1"/>
  <c r="DT36" i="1" s="1"/>
  <c r="ES36" i="1" s="1"/>
  <c r="K14" i="1"/>
  <c r="DT14" i="1" s="1"/>
  <c r="K92" i="1"/>
  <c r="DT92" i="1" s="1"/>
  <c r="ES92" i="1" s="1"/>
  <c r="K75" i="1"/>
  <c r="K51" i="1"/>
  <c r="DT51" i="1" s="1"/>
  <c r="ES51" i="1" s="1"/>
  <c r="K35" i="1"/>
  <c r="DT35" i="1" s="1"/>
  <c r="ES35" i="1" s="1"/>
  <c r="K13" i="1"/>
  <c r="DT13" i="1" s="1"/>
  <c r="K91" i="1"/>
  <c r="DT91" i="1" s="1"/>
  <c r="ES91" i="1" s="1"/>
  <c r="K49" i="1"/>
  <c r="DT49" i="1" s="1"/>
  <c r="ES49" i="1" s="1"/>
  <c r="K34" i="1"/>
  <c r="DT34" i="1" s="1"/>
  <c r="ES34" i="1" s="1"/>
  <c r="K73" i="1"/>
  <c r="DT73" i="1" s="1"/>
  <c r="ES73" i="1" s="1"/>
  <c r="K33" i="1"/>
  <c r="DT33" i="1" s="1"/>
  <c r="ES33" i="1" s="1"/>
  <c r="K72" i="1"/>
  <c r="DT72" i="1" s="1"/>
  <c r="ES72" i="1" s="1"/>
  <c r="K10" i="1"/>
  <c r="K71" i="1"/>
  <c r="DT71" i="1" s="1"/>
  <c r="ES71" i="1" s="1"/>
  <c r="K29" i="1"/>
  <c r="DT29" i="1" s="1"/>
  <c r="ES29" i="1" s="1"/>
  <c r="K86" i="1"/>
  <c r="DT86" i="1" s="1"/>
  <c r="ES86" i="1" s="1"/>
  <c r="K44" i="1"/>
  <c r="DT44" i="1" s="1"/>
  <c r="ES44" i="1" s="1"/>
  <c r="K8" i="1"/>
  <c r="K68" i="1"/>
  <c r="DT68" i="1" s="1"/>
  <c r="ES68" i="1" s="1"/>
  <c r="K84" i="1"/>
  <c r="K42" i="1"/>
  <c r="DT42" i="1" s="1"/>
  <c r="ES42" i="1" s="1"/>
  <c r="K41" i="1"/>
  <c r="DT41" i="1" s="1"/>
  <c r="ES41" i="1" s="1"/>
  <c r="K50" i="1"/>
  <c r="DT50" i="1" s="1"/>
  <c r="ES50" i="1" s="1"/>
  <c r="P1" i="1"/>
  <c r="J84" i="1"/>
  <c r="J66" i="1"/>
  <c r="DS66" i="1" s="1"/>
  <c r="ER66" i="1" s="1"/>
  <c r="J40" i="1"/>
  <c r="DS40" i="1" s="1"/>
  <c r="ER40" i="1" s="1"/>
  <c r="J16" i="1"/>
  <c r="J15" i="1"/>
  <c r="DS15" i="1" s="1"/>
  <c r="ER15" i="1" s="1"/>
  <c r="J56" i="1"/>
  <c r="DS56" i="1" s="1"/>
  <c r="ER56" i="1" s="1"/>
  <c r="J37" i="1"/>
  <c r="DS37" i="1" s="1"/>
  <c r="ER37" i="1" s="1"/>
  <c r="J79" i="1"/>
  <c r="J54" i="1"/>
  <c r="DS54" i="1" s="1"/>
  <c r="ER54" i="1" s="1"/>
  <c r="J13" i="1"/>
  <c r="DS13" i="1" s="1"/>
  <c r="J51" i="1"/>
  <c r="DS51" i="1" s="1"/>
  <c r="ER51" i="1" s="1"/>
  <c r="J11" i="1"/>
  <c r="J93" i="1"/>
  <c r="J33" i="1"/>
  <c r="DS33" i="1" s="1"/>
  <c r="ER33" i="1" s="1"/>
  <c r="J10" i="1"/>
  <c r="J92" i="1"/>
  <c r="DS92" i="1" s="1"/>
  <c r="ER92" i="1" s="1"/>
  <c r="J48" i="1"/>
  <c r="DS48" i="1" s="1"/>
  <c r="ER48" i="1" s="1"/>
  <c r="J30" i="1"/>
  <c r="DS30" i="1" s="1"/>
  <c r="ER30" i="1" s="1"/>
  <c r="J91" i="1"/>
  <c r="DS91" i="1" s="1"/>
  <c r="ER91" i="1" s="1"/>
  <c r="J47" i="1"/>
  <c r="DS47" i="1" s="1"/>
  <c r="ER47" i="1" s="1"/>
  <c r="J29" i="1"/>
  <c r="DS29" i="1" s="1"/>
  <c r="ER29" i="1" s="1"/>
  <c r="J89" i="1"/>
  <c r="DS89" i="1" s="1"/>
  <c r="ER89" i="1" s="1"/>
  <c r="J46" i="1"/>
  <c r="DS46" i="1" s="1"/>
  <c r="ER46" i="1" s="1"/>
  <c r="J28" i="1"/>
  <c r="DS28" i="1" s="1"/>
  <c r="ER28" i="1" s="1"/>
  <c r="J88" i="1"/>
  <c r="J24" i="1"/>
  <c r="DS24" i="1" s="1"/>
  <c r="ER24" i="1" s="1"/>
  <c r="J87" i="1"/>
  <c r="DS87" i="1" s="1"/>
  <c r="ER87" i="1" s="1"/>
  <c r="J43" i="1"/>
  <c r="DS43" i="1" s="1"/>
  <c r="ER43" i="1" s="1"/>
  <c r="J22" i="1"/>
  <c r="DS22" i="1" s="1"/>
  <c r="ER22" i="1" s="1"/>
  <c r="J86" i="1"/>
  <c r="DS86" i="1" s="1"/>
  <c r="ER86" i="1" s="1"/>
  <c r="J42" i="1"/>
  <c r="DS42" i="1" s="1"/>
  <c r="ER42" i="1" s="1"/>
  <c r="J85" i="1"/>
  <c r="DS85" i="1" s="1"/>
  <c r="ER85" i="1" s="1"/>
  <c r="J67" i="1"/>
  <c r="DS67" i="1" s="1"/>
  <c r="ER67" i="1" s="1"/>
  <c r="J19" i="1"/>
  <c r="DS19" i="1" s="1"/>
  <c r="ER19" i="1" s="1"/>
  <c r="J83" i="1"/>
  <c r="DS83" i="1" s="1"/>
  <c r="ER83" i="1" s="1"/>
  <c r="J50" i="1"/>
  <c r="DS50" i="1" s="1"/>
  <c r="ER50" i="1" s="1"/>
  <c r="J38" i="1"/>
  <c r="DS38" i="1" s="1"/>
  <c r="ER38" i="1" s="1"/>
  <c r="J14" i="1"/>
  <c r="J36" i="1"/>
  <c r="DS36" i="1" s="1"/>
  <c r="ER36" i="1" s="1"/>
  <c r="J77" i="1"/>
  <c r="BO77" i="1" s="1"/>
  <c r="J34" i="1"/>
  <c r="DS34" i="1" s="1"/>
  <c r="ER34" i="1" s="1"/>
  <c r="J49" i="1"/>
  <c r="DS49" i="1" s="1"/>
  <c r="ER49" i="1" s="1"/>
  <c r="J74" i="1"/>
  <c r="DS74" i="1" s="1"/>
  <c r="ER74" i="1" s="1"/>
  <c r="J9" i="1"/>
  <c r="DS9" i="1" s="1"/>
  <c r="ER9" i="1" s="1"/>
  <c r="J73" i="1"/>
  <c r="DS73" i="1" s="1"/>
  <c r="ER73" i="1" s="1"/>
  <c r="J8" i="1"/>
  <c r="J72" i="1"/>
  <c r="DS72" i="1" s="1"/>
  <c r="ER72" i="1" s="1"/>
  <c r="J71" i="1"/>
  <c r="DS71" i="1" s="1"/>
  <c r="J69" i="1"/>
  <c r="DS69" i="1" s="1"/>
  <c r="ER69" i="1" s="1"/>
  <c r="J68" i="1"/>
  <c r="DS68" i="1" s="1"/>
  <c r="ER68" i="1" s="1"/>
  <c r="J41" i="1"/>
  <c r="DS41" i="1" s="1"/>
  <c r="ER41" i="1" s="1"/>
  <c r="J80" i="1"/>
  <c r="DS80" i="1" s="1"/>
  <c r="ER80" i="1" s="1"/>
  <c r="J101" i="1"/>
  <c r="J97" i="1"/>
  <c r="J78" i="1"/>
  <c r="DS78" i="1" s="1"/>
  <c r="ER78" i="1" s="1"/>
  <c r="J53" i="1"/>
  <c r="DS53" i="1" s="1"/>
  <c r="ER53" i="1" s="1"/>
  <c r="J35" i="1"/>
  <c r="DS35" i="1" s="1"/>
  <c r="ER35" i="1" s="1"/>
  <c r="J12" i="1"/>
  <c r="J94" i="1"/>
  <c r="J75" i="1"/>
  <c r="J44" i="1"/>
  <c r="DS44" i="1" s="1"/>
  <c r="ER44" i="1" s="1"/>
  <c r="J20" i="1"/>
  <c r="DS20" i="1" s="1"/>
  <c r="ER20" i="1" s="1"/>
  <c r="I94" i="1"/>
  <c r="BL94" i="1" s="1"/>
  <c r="DR94" i="1" s="1"/>
  <c r="EQ94" i="1" s="1"/>
  <c r="G49" i="1"/>
  <c r="DP49" i="1" s="1"/>
  <c r="EO49" i="1" s="1"/>
  <c r="E49" i="1"/>
  <c r="DN49" i="1" s="1"/>
  <c r="EM49" i="1" s="1"/>
  <c r="D49" i="1"/>
  <c r="DM49" i="1" s="1"/>
  <c r="I49" i="1"/>
  <c r="DR49" i="1" s="1"/>
  <c r="EQ49" i="1" s="1"/>
  <c r="H49" i="1"/>
  <c r="DQ49" i="1" s="1"/>
  <c r="EP49" i="1" s="1"/>
  <c r="F49" i="1"/>
  <c r="DO49" i="1" s="1"/>
  <c r="EN49" i="1" s="1"/>
  <c r="C49" i="1"/>
  <c r="DL49" i="1" s="1"/>
  <c r="B49" i="1"/>
  <c r="DK49" i="1" s="1"/>
  <c r="I69" i="1"/>
  <c r="I97" i="1"/>
  <c r="DR97" i="1" s="1"/>
  <c r="EQ97" i="1" s="1"/>
  <c r="I78" i="1"/>
  <c r="I54" i="1"/>
  <c r="DR54" i="1" s="1"/>
  <c r="EQ54" i="1" s="1"/>
  <c r="I35" i="1"/>
  <c r="DR35" i="1" s="1"/>
  <c r="EQ35" i="1" s="1"/>
  <c r="I13" i="1"/>
  <c r="I89" i="1"/>
  <c r="DR89" i="1" s="1"/>
  <c r="EQ89" i="1" s="1"/>
  <c r="I72" i="1"/>
  <c r="DR72" i="1" s="1"/>
  <c r="EQ72" i="1" s="1"/>
  <c r="I46" i="1"/>
  <c r="I28" i="1"/>
  <c r="I8" i="1"/>
  <c r="DR8" i="1" s="1"/>
  <c r="EQ8" i="1" s="1"/>
  <c r="I85" i="1"/>
  <c r="DR85" i="1" s="1"/>
  <c r="EQ85" i="1" s="1"/>
  <c r="I68" i="1"/>
  <c r="DR68" i="1" s="1"/>
  <c r="EQ68" i="1" s="1"/>
  <c r="I41" i="1"/>
  <c r="DR41" i="1" s="1"/>
  <c r="EQ41" i="1" s="1"/>
  <c r="I20" i="1"/>
  <c r="DR20" i="1" s="1"/>
  <c r="EQ20" i="1" s="1"/>
  <c r="I84" i="1"/>
  <c r="I67" i="1"/>
  <c r="DR67" i="1" s="1"/>
  <c r="EQ67" i="1" s="1"/>
  <c r="I40" i="1"/>
  <c r="I19" i="1"/>
  <c r="I83" i="1"/>
  <c r="I66" i="1"/>
  <c r="I38" i="1"/>
  <c r="DR38" i="1" s="1"/>
  <c r="EQ38" i="1" s="1"/>
  <c r="I16" i="1"/>
  <c r="I80" i="1"/>
  <c r="I50" i="1"/>
  <c r="I37" i="1"/>
  <c r="DR37" i="1" s="1"/>
  <c r="EQ37" i="1" s="1"/>
  <c r="I15" i="1"/>
  <c r="DR15" i="1" s="1"/>
  <c r="EQ15" i="1" s="1"/>
  <c r="I101" i="1"/>
  <c r="I79" i="1"/>
  <c r="BL79" i="1" s="1"/>
  <c r="I56" i="1"/>
  <c r="DR56" i="1" s="1"/>
  <c r="EQ56" i="1" s="1"/>
  <c r="I36" i="1"/>
  <c r="DR36" i="1" s="1"/>
  <c r="EQ36" i="1" s="1"/>
  <c r="I14" i="1"/>
  <c r="I77" i="1"/>
  <c r="I53" i="1"/>
  <c r="I34" i="1"/>
  <c r="DR34" i="1" s="1"/>
  <c r="EQ34" i="1" s="1"/>
  <c r="I12" i="1"/>
  <c r="I93" i="1"/>
  <c r="I75" i="1"/>
  <c r="I51" i="1"/>
  <c r="DR51" i="1" s="1"/>
  <c r="EQ51" i="1" s="1"/>
  <c r="I33" i="1"/>
  <c r="I11" i="1"/>
  <c r="I92" i="1"/>
  <c r="DR92" i="1" s="1"/>
  <c r="EQ92" i="1" s="1"/>
  <c r="I74" i="1"/>
  <c r="DR74" i="1" s="1"/>
  <c r="EQ74" i="1" s="1"/>
  <c r="I48" i="1"/>
  <c r="DR48" i="1" s="1"/>
  <c r="EQ48" i="1" s="1"/>
  <c r="I30" i="1"/>
  <c r="DR30" i="1" s="1"/>
  <c r="EQ30" i="1" s="1"/>
  <c r="I10" i="1"/>
  <c r="I91" i="1"/>
  <c r="DR91" i="1" s="1"/>
  <c r="EQ91" i="1" s="1"/>
  <c r="I73" i="1"/>
  <c r="DR73" i="1" s="1"/>
  <c r="EQ73" i="1" s="1"/>
  <c r="I47" i="1"/>
  <c r="DR47" i="1" s="1"/>
  <c r="EQ47" i="1" s="1"/>
  <c r="I29" i="1"/>
  <c r="DR29" i="1" s="1"/>
  <c r="EQ29" i="1" s="1"/>
  <c r="I9" i="1"/>
  <c r="BL9" i="1" s="1"/>
  <c r="DR9" i="1" s="1"/>
  <c r="EQ9" i="1" s="1"/>
  <c r="I88" i="1"/>
  <c r="DR88" i="1" s="1"/>
  <c r="EQ88" i="1" s="1"/>
  <c r="I71" i="1"/>
  <c r="I44" i="1"/>
  <c r="DR44" i="1" s="1"/>
  <c r="EQ44" i="1" s="1"/>
  <c r="I87" i="1"/>
  <c r="DR87" i="1" s="1"/>
  <c r="EQ87" i="1" s="1"/>
  <c r="I43" i="1"/>
  <c r="DR43" i="1" s="1"/>
  <c r="EQ43" i="1" s="1"/>
  <c r="I24" i="1"/>
  <c r="DR24" i="1" s="1"/>
  <c r="EQ24" i="1" s="1"/>
  <c r="I86" i="1"/>
  <c r="DR86" i="1" s="1"/>
  <c r="EQ86" i="1" s="1"/>
  <c r="I42" i="1"/>
  <c r="DR42" i="1" s="1"/>
  <c r="EQ42" i="1" s="1"/>
  <c r="I22" i="1"/>
  <c r="DR22" i="1" s="1"/>
  <c r="EQ22" i="1" s="1"/>
  <c r="H94" i="1"/>
  <c r="E88" i="1"/>
  <c r="D88" i="1"/>
  <c r="DM88" i="1" s="1"/>
  <c r="F88" i="1"/>
  <c r="DO88" i="1" s="1"/>
  <c r="EN88" i="1" s="1"/>
  <c r="C88" i="1"/>
  <c r="DL88" i="1" s="1"/>
  <c r="B88" i="1"/>
  <c r="DK88" i="1" s="1"/>
  <c r="H88" i="1"/>
  <c r="DQ88" i="1" s="1"/>
  <c r="EP88" i="1" s="1"/>
  <c r="G88" i="1"/>
  <c r="DP88" i="1" s="1"/>
  <c r="EO88" i="1" s="1"/>
  <c r="H87" i="1"/>
  <c r="DQ87" i="1" s="1"/>
  <c r="EP87" i="1" s="1"/>
  <c r="H69" i="1"/>
  <c r="DQ69" i="1" s="1"/>
  <c r="EP69" i="1" s="1"/>
  <c r="H42" i="1"/>
  <c r="DQ42" i="1" s="1"/>
  <c r="EP42" i="1" s="1"/>
  <c r="H20" i="1"/>
  <c r="DQ20" i="1" s="1"/>
  <c r="EP20" i="1" s="1"/>
  <c r="H85" i="1"/>
  <c r="DQ85" i="1" s="1"/>
  <c r="EP85" i="1" s="1"/>
  <c r="H40" i="1"/>
  <c r="H84" i="1"/>
  <c r="I40" i="3" s="1"/>
  <c r="H38" i="1"/>
  <c r="DQ38" i="1" s="1"/>
  <c r="EP38" i="1" s="1"/>
  <c r="H50" i="1"/>
  <c r="DQ50" i="1" s="1"/>
  <c r="EP50" i="1" s="1"/>
  <c r="H14" i="1"/>
  <c r="I55" i="3" s="1"/>
  <c r="H97" i="1"/>
  <c r="H10" i="1"/>
  <c r="DQ10" i="1" s="1"/>
  <c r="EP10" i="1" s="1"/>
  <c r="H48" i="1"/>
  <c r="H43" i="1"/>
  <c r="DQ43" i="1" s="1"/>
  <c r="EP43" i="1" s="1"/>
  <c r="H86" i="1"/>
  <c r="DQ86" i="1" s="1"/>
  <c r="EP86" i="1" s="1"/>
  <c r="H68" i="1"/>
  <c r="DQ68" i="1" s="1"/>
  <c r="EP68" i="1" s="1"/>
  <c r="H41" i="1"/>
  <c r="H19" i="1"/>
  <c r="DQ19" i="1" s="1"/>
  <c r="EP19" i="1" s="1"/>
  <c r="H67" i="1"/>
  <c r="DQ67" i="1" s="1"/>
  <c r="EP67" i="1" s="1"/>
  <c r="H16" i="1"/>
  <c r="H66" i="1"/>
  <c r="DQ66" i="1" s="1"/>
  <c r="EP66" i="1" s="1"/>
  <c r="H15" i="1"/>
  <c r="DQ15" i="1" s="1"/>
  <c r="EP15" i="1" s="1"/>
  <c r="H83" i="1"/>
  <c r="DQ83" i="1" s="1"/>
  <c r="EP83" i="1" s="1"/>
  <c r="H37" i="1"/>
  <c r="DQ37" i="1" s="1"/>
  <c r="EP37" i="1" s="1"/>
  <c r="H11" i="1"/>
  <c r="H77" i="1"/>
  <c r="H33" i="1"/>
  <c r="H30" i="1"/>
  <c r="DQ30" i="1" s="1"/>
  <c r="EP30" i="1" s="1"/>
  <c r="H80" i="1"/>
  <c r="DQ80" i="1" s="1"/>
  <c r="EP80" i="1" s="1"/>
  <c r="H56" i="1"/>
  <c r="DQ56" i="1" s="1"/>
  <c r="EP56" i="1" s="1"/>
  <c r="H36" i="1"/>
  <c r="H13" i="1"/>
  <c r="DQ13" i="1" s="1"/>
  <c r="EP13" i="1" s="1"/>
  <c r="H79" i="1"/>
  <c r="H54" i="1"/>
  <c r="H35" i="1"/>
  <c r="DQ35" i="1" s="1"/>
  <c r="EP35" i="1" s="1"/>
  <c r="H12" i="1"/>
  <c r="H101" i="1"/>
  <c r="I60" i="3" s="1"/>
  <c r="H78" i="1"/>
  <c r="H53" i="1"/>
  <c r="DQ53" i="1" s="1"/>
  <c r="EP53" i="1" s="1"/>
  <c r="H34" i="1"/>
  <c r="DQ34" i="1" s="1"/>
  <c r="EP34" i="1" s="1"/>
  <c r="H51" i="1"/>
  <c r="DQ51" i="1" s="1"/>
  <c r="EP51" i="1" s="1"/>
  <c r="H75" i="1"/>
  <c r="H9" i="1"/>
  <c r="H93" i="1"/>
  <c r="H74" i="1"/>
  <c r="DQ74" i="1" s="1"/>
  <c r="EP74" i="1" s="1"/>
  <c r="H47" i="1"/>
  <c r="H29" i="1"/>
  <c r="DQ29" i="1" s="1"/>
  <c r="EP29" i="1" s="1"/>
  <c r="H8" i="1"/>
  <c r="H92" i="1"/>
  <c r="DQ92" i="1" s="1"/>
  <c r="EP92" i="1" s="1"/>
  <c r="H73" i="1"/>
  <c r="DQ73" i="1" s="1"/>
  <c r="EP73" i="1" s="1"/>
  <c r="H46" i="1"/>
  <c r="H28" i="1"/>
  <c r="H91" i="1"/>
  <c r="DQ91" i="1" s="1"/>
  <c r="EP91" i="1" s="1"/>
  <c r="H72" i="1"/>
  <c r="DQ72" i="1" s="1"/>
  <c r="EP72" i="1" s="1"/>
  <c r="H44" i="1"/>
  <c r="DQ44" i="1" s="1"/>
  <c r="EP44" i="1" s="1"/>
  <c r="H24" i="1"/>
  <c r="DQ24" i="1" s="1"/>
  <c r="EP24" i="1" s="1"/>
  <c r="H89" i="1"/>
  <c r="H22" i="1"/>
  <c r="DQ22" i="1" s="1"/>
  <c r="EP22" i="1" s="1"/>
  <c r="H71" i="1"/>
  <c r="DQ71" i="1" s="1"/>
  <c r="EP71" i="1" s="1"/>
  <c r="G101" i="1"/>
  <c r="H60" i="3" s="1"/>
  <c r="G79" i="1"/>
  <c r="BF79" i="1" s="1"/>
  <c r="G50" i="1"/>
  <c r="G40" i="1"/>
  <c r="G19" i="1"/>
  <c r="G97" i="1"/>
  <c r="DP97" i="1" s="1"/>
  <c r="EO97" i="1" s="1"/>
  <c r="G78" i="1"/>
  <c r="G56" i="1"/>
  <c r="G38" i="1"/>
  <c r="G94" i="1"/>
  <c r="G77" i="1"/>
  <c r="G37" i="1"/>
  <c r="DP37" i="1" s="1"/>
  <c r="EO37" i="1" s="1"/>
  <c r="G16" i="1"/>
  <c r="G93" i="1"/>
  <c r="G54" i="1"/>
  <c r="G36" i="1"/>
  <c r="DP36" i="1" s="1"/>
  <c r="EO36" i="1" s="1"/>
  <c r="G15" i="1"/>
  <c r="DP15" i="1" s="1"/>
  <c r="EO15" i="1" s="1"/>
  <c r="G91" i="1"/>
  <c r="DP91" i="1" s="1"/>
  <c r="EO91" i="1" s="1"/>
  <c r="G34" i="1"/>
  <c r="DP34" i="1" s="1"/>
  <c r="EO34" i="1" s="1"/>
  <c r="G13" i="1"/>
  <c r="DP13" i="1" s="1"/>
  <c r="EO13" i="1" s="1"/>
  <c r="G89" i="1"/>
  <c r="G51" i="1"/>
  <c r="DP51" i="1" s="1"/>
  <c r="EO51" i="1" s="1"/>
  <c r="G33" i="1"/>
  <c r="BF33" i="1" s="1"/>
  <c r="G12" i="1"/>
  <c r="G87" i="1"/>
  <c r="DP87" i="1" s="1"/>
  <c r="EO87" i="1" s="1"/>
  <c r="G48" i="1"/>
  <c r="G11" i="1"/>
  <c r="G8" i="1"/>
  <c r="G68" i="1"/>
  <c r="DP68" i="1" s="1"/>
  <c r="EO68" i="1" s="1"/>
  <c r="G24" i="1"/>
  <c r="DP24" i="1" s="1"/>
  <c r="EO24" i="1" s="1"/>
  <c r="G67" i="1"/>
  <c r="DP67" i="1" s="1"/>
  <c r="EO67" i="1" s="1"/>
  <c r="G80" i="1"/>
  <c r="G66" i="1"/>
  <c r="G92" i="1"/>
  <c r="DP92" i="1" s="1"/>
  <c r="EO92" i="1" s="1"/>
  <c r="G75" i="1"/>
  <c r="G53" i="1"/>
  <c r="G35" i="1"/>
  <c r="DP35" i="1" s="1"/>
  <c r="EO35" i="1" s="1"/>
  <c r="G14" i="1"/>
  <c r="G74" i="1"/>
  <c r="DP74" i="1" s="1"/>
  <c r="EO74" i="1" s="1"/>
  <c r="G73" i="1"/>
  <c r="DP73" i="1" s="1"/>
  <c r="EO73" i="1" s="1"/>
  <c r="G72" i="1"/>
  <c r="DP72" i="1" s="1"/>
  <c r="EO72" i="1" s="1"/>
  <c r="G83" i="1"/>
  <c r="G22" i="1"/>
  <c r="DP22" i="1" s="1"/>
  <c r="EO22" i="1" s="1"/>
  <c r="G41" i="1"/>
  <c r="BF41" i="1" s="1"/>
  <c r="G86" i="1"/>
  <c r="DP86" i="1" s="1"/>
  <c r="EO86" i="1" s="1"/>
  <c r="G71" i="1"/>
  <c r="G47" i="1"/>
  <c r="G30" i="1"/>
  <c r="DP30" i="1" s="1"/>
  <c r="EO30" i="1" s="1"/>
  <c r="G10" i="1"/>
  <c r="DP10" i="1" s="1"/>
  <c r="EO10" i="1" s="1"/>
  <c r="G85" i="1"/>
  <c r="DP85" i="1" s="1"/>
  <c r="EO85" i="1" s="1"/>
  <c r="G46" i="1"/>
  <c r="G29" i="1"/>
  <c r="G9" i="1"/>
  <c r="G84" i="1"/>
  <c r="H40" i="3" s="1"/>
  <c r="G69" i="1"/>
  <c r="DP69" i="1" s="1"/>
  <c r="EO69" i="1" s="1"/>
  <c r="G44" i="1"/>
  <c r="G28" i="1"/>
  <c r="G43" i="1"/>
  <c r="G42" i="1"/>
  <c r="G20" i="1"/>
  <c r="E37" i="1"/>
  <c r="D37" i="1"/>
  <c r="DM37" i="1" s="1"/>
  <c r="C37" i="1"/>
  <c r="DL37" i="1" s="1"/>
  <c r="B37" i="1"/>
  <c r="DK37" i="1" s="1"/>
  <c r="F37" i="1"/>
  <c r="DO37" i="1" s="1"/>
  <c r="EN37" i="1" s="1"/>
  <c r="F14" i="1"/>
  <c r="DO14" i="1" s="1"/>
  <c r="EN14" i="1" s="1"/>
  <c r="E14" i="1"/>
  <c r="DN14" i="1" s="1"/>
  <c r="EM14" i="1" s="1"/>
  <c r="D14" i="1"/>
  <c r="DM14" i="1" s="1"/>
  <c r="C14" i="1"/>
  <c r="B14" i="1"/>
  <c r="F87" i="1"/>
  <c r="DO87" i="1" s="1"/>
  <c r="EN87" i="1" s="1"/>
  <c r="E87" i="1"/>
  <c r="DN87" i="1" s="1"/>
  <c r="EM87" i="1" s="1"/>
  <c r="D87" i="1"/>
  <c r="C87" i="1"/>
  <c r="DL87" i="1" s="1"/>
  <c r="B87" i="1"/>
  <c r="DK87" i="1" s="1"/>
  <c r="E94" i="1"/>
  <c r="B94" i="1"/>
  <c r="D94" i="1"/>
  <c r="F94" i="1"/>
  <c r="DO94" i="1" s="1"/>
  <c r="EN94" i="1" s="1"/>
  <c r="C94" i="1"/>
  <c r="DL94" i="1" s="1"/>
  <c r="F91" i="1"/>
  <c r="DO91" i="1" s="1"/>
  <c r="EN91" i="1" s="1"/>
  <c r="F73" i="1"/>
  <c r="DO73" i="1" s="1"/>
  <c r="EN73" i="1" s="1"/>
  <c r="F51" i="1"/>
  <c r="DO51" i="1" s="1"/>
  <c r="EN51" i="1" s="1"/>
  <c r="F33" i="1"/>
  <c r="F11" i="1"/>
  <c r="F89" i="1"/>
  <c r="DO89" i="1" s="1"/>
  <c r="EN89" i="1" s="1"/>
  <c r="F72" i="1"/>
  <c r="DO72" i="1" s="1"/>
  <c r="EN72" i="1" s="1"/>
  <c r="F48" i="1"/>
  <c r="DO48" i="1" s="1"/>
  <c r="EN48" i="1" s="1"/>
  <c r="F10" i="1"/>
  <c r="DO10" i="1" s="1"/>
  <c r="EN10" i="1" s="1"/>
  <c r="F46" i="1"/>
  <c r="F84" i="1"/>
  <c r="F28" i="1"/>
  <c r="F83" i="1"/>
  <c r="F68" i="1"/>
  <c r="DO68" i="1" s="1"/>
  <c r="EN68" i="1" s="1"/>
  <c r="F44" i="1"/>
  <c r="F8" i="1"/>
  <c r="F80" i="1"/>
  <c r="DO80" i="1" s="1"/>
  <c r="EN80" i="1" s="1"/>
  <c r="F42" i="1"/>
  <c r="DO42" i="1" s="1"/>
  <c r="EN42" i="1" s="1"/>
  <c r="F79" i="1"/>
  <c r="F41" i="1"/>
  <c r="DO41" i="1" s="1"/>
  <c r="EN41" i="1" s="1"/>
  <c r="F86" i="1"/>
  <c r="DO86" i="1" s="1"/>
  <c r="EN86" i="1" s="1"/>
  <c r="F71" i="1"/>
  <c r="F47" i="1"/>
  <c r="DO47" i="1" s="1"/>
  <c r="EN47" i="1" s="1"/>
  <c r="F30" i="1"/>
  <c r="DO30" i="1" s="1"/>
  <c r="EN30" i="1" s="1"/>
  <c r="F9" i="1"/>
  <c r="DO9" i="1" s="1"/>
  <c r="EN9" i="1" s="1"/>
  <c r="F85" i="1"/>
  <c r="DO85" i="1" s="1"/>
  <c r="EN85" i="1" s="1"/>
  <c r="F29" i="1"/>
  <c r="DO29" i="1" s="1"/>
  <c r="EN29" i="1" s="1"/>
  <c r="F69" i="1"/>
  <c r="DO69" i="1" s="1"/>
  <c r="EN69" i="1" s="1"/>
  <c r="F24" i="1"/>
  <c r="DO24" i="1" s="1"/>
  <c r="EN24" i="1" s="1"/>
  <c r="F67" i="1"/>
  <c r="F43" i="1"/>
  <c r="DO43" i="1" s="1"/>
  <c r="EN43" i="1" s="1"/>
  <c r="F22" i="1"/>
  <c r="DO22" i="1" s="1"/>
  <c r="EN22" i="1" s="1"/>
  <c r="F66" i="1"/>
  <c r="DO66" i="1" s="1"/>
  <c r="EN66" i="1" s="1"/>
  <c r="F20" i="1"/>
  <c r="DO20" i="1" s="1"/>
  <c r="EN20" i="1" s="1"/>
  <c r="F50" i="1"/>
  <c r="DO50" i="1" s="1"/>
  <c r="EN50" i="1" s="1"/>
  <c r="F19" i="1"/>
  <c r="F101" i="1"/>
  <c r="DO101" i="1" s="1"/>
  <c r="EN101" i="1" s="1"/>
  <c r="F78" i="1"/>
  <c r="DO78" i="1" s="1"/>
  <c r="EN78" i="1" s="1"/>
  <c r="F56" i="1"/>
  <c r="F40" i="1"/>
  <c r="DO40" i="1" s="1"/>
  <c r="EN40" i="1" s="1"/>
  <c r="F97" i="1"/>
  <c r="DO97" i="1" s="1"/>
  <c r="EN97" i="1" s="1"/>
  <c r="F77" i="1"/>
  <c r="F38" i="1"/>
  <c r="DO38" i="1" s="1"/>
  <c r="EN38" i="1" s="1"/>
  <c r="F16" i="1"/>
  <c r="DO96" i="1"/>
  <c r="EN96" i="1" s="1"/>
  <c r="F54" i="1"/>
  <c r="DO54" i="1" s="1"/>
  <c r="EN54" i="1" s="1"/>
  <c r="F36" i="1"/>
  <c r="DO36" i="1" s="1"/>
  <c r="EN36" i="1" s="1"/>
  <c r="F15" i="1"/>
  <c r="DO15" i="1" s="1"/>
  <c r="EN15" i="1" s="1"/>
  <c r="F93" i="1"/>
  <c r="DO93" i="1" s="1"/>
  <c r="EN93" i="1" s="1"/>
  <c r="F75" i="1"/>
  <c r="F53" i="1"/>
  <c r="F35" i="1"/>
  <c r="DO35" i="1" s="1"/>
  <c r="EN35" i="1" s="1"/>
  <c r="F13" i="1"/>
  <c r="DO13" i="1" s="1"/>
  <c r="EN13" i="1" s="1"/>
  <c r="F92" i="1"/>
  <c r="DO92" i="1" s="1"/>
  <c r="EN92" i="1" s="1"/>
  <c r="F74" i="1"/>
  <c r="DO74" i="1" s="1"/>
  <c r="EN74" i="1" s="1"/>
  <c r="F34" i="1"/>
  <c r="DO34" i="1" s="1"/>
  <c r="EN34" i="1" s="1"/>
  <c r="F12" i="1"/>
  <c r="C92" i="1"/>
  <c r="DL92" i="1" s="1"/>
  <c r="B92" i="1"/>
  <c r="DK92" i="1" s="1"/>
  <c r="D92" i="1"/>
  <c r="E92" i="1"/>
  <c r="E41" i="1"/>
  <c r="E8" i="1"/>
  <c r="DN8" i="1" s="1"/>
  <c r="EM8" i="1" s="1"/>
  <c r="D8" i="1"/>
  <c r="B20" i="1"/>
  <c r="DK20" i="1" s="1"/>
  <c r="D22" i="1"/>
  <c r="DM22" i="1" s="1"/>
  <c r="E22" i="1"/>
  <c r="DN22" i="1" s="1"/>
  <c r="EM22" i="1" s="1"/>
  <c r="D20" i="1"/>
  <c r="DM20" i="1" s="1"/>
  <c r="E20" i="1"/>
  <c r="C8" i="1"/>
  <c r="C24" i="1"/>
  <c r="DL24" i="1" s="1"/>
  <c r="D24" i="1"/>
  <c r="DM24" i="1" s="1"/>
  <c r="E24" i="1"/>
  <c r="C20" i="1"/>
  <c r="DL20" i="1" s="1"/>
  <c r="B22" i="1"/>
  <c r="DK22" i="1" s="1"/>
  <c r="B24" i="1"/>
  <c r="DK24" i="1" s="1"/>
  <c r="C22" i="1"/>
  <c r="DL22" i="1" s="1"/>
  <c r="B8" i="1"/>
  <c r="C45" i="3" s="1"/>
  <c r="C84" i="1"/>
  <c r="D40" i="3" s="1"/>
  <c r="E84" i="1"/>
  <c r="D84" i="1"/>
  <c r="B84" i="1"/>
  <c r="C40" i="3" s="1"/>
  <c r="D101" i="1"/>
  <c r="C101" i="1"/>
  <c r="D60" i="3" s="1"/>
  <c r="B101" i="1"/>
  <c r="C60" i="3" s="1"/>
  <c r="E101" i="1"/>
  <c r="E93" i="1"/>
  <c r="DN93" i="1" s="1"/>
  <c r="D78" i="1"/>
  <c r="D72" i="1"/>
  <c r="DM72" i="1" s="1"/>
  <c r="D66" i="1"/>
  <c r="B50" i="1"/>
  <c r="DK50" i="1" s="1"/>
  <c r="D54" i="1"/>
  <c r="DM54" i="1" s="1"/>
  <c r="D46" i="1"/>
  <c r="B44" i="1"/>
  <c r="DK44" i="1" s="1"/>
  <c r="D40" i="1"/>
  <c r="D36" i="1"/>
  <c r="DM36" i="1" s="1"/>
  <c r="B33" i="1"/>
  <c r="D29" i="1"/>
  <c r="DM29" i="1" s="1"/>
  <c r="D19" i="1"/>
  <c r="B16" i="1"/>
  <c r="D11" i="1"/>
  <c r="D15" i="1"/>
  <c r="DM15" i="1" s="1"/>
  <c r="D89" i="1"/>
  <c r="C75" i="1"/>
  <c r="C56" i="1"/>
  <c r="C43" i="1"/>
  <c r="DL43" i="1" s="1"/>
  <c r="C89" i="1"/>
  <c r="DL89" i="1" s="1"/>
  <c r="B75" i="1"/>
  <c r="B56" i="1"/>
  <c r="B43" i="1"/>
  <c r="DK43" i="1" s="1"/>
  <c r="B15" i="1"/>
  <c r="DK15" i="1" s="1"/>
  <c r="B89" i="1"/>
  <c r="DK89" i="1" s="1"/>
  <c r="C77" i="1"/>
  <c r="E68" i="1"/>
  <c r="DN68" i="1" s="1"/>
  <c r="EM68" i="1" s="1"/>
  <c r="E42" i="1"/>
  <c r="DN42" i="1" s="1"/>
  <c r="EM42" i="1" s="1"/>
  <c r="D30" i="1"/>
  <c r="DM30" i="1" s="1"/>
  <c r="D93" i="1"/>
  <c r="C78" i="1"/>
  <c r="DL78" i="1" s="1"/>
  <c r="E75" i="1"/>
  <c r="C72" i="1"/>
  <c r="DL72" i="1" s="1"/>
  <c r="E69" i="1"/>
  <c r="DN69" i="1" s="1"/>
  <c r="EM69" i="1" s="1"/>
  <c r="C66" i="1"/>
  <c r="E56" i="1"/>
  <c r="C54" i="1"/>
  <c r="DL54" i="1" s="1"/>
  <c r="E51" i="1"/>
  <c r="DN51" i="1" s="1"/>
  <c r="EM51" i="1" s="1"/>
  <c r="C46" i="1"/>
  <c r="E43" i="1"/>
  <c r="EM43" i="1" s="1"/>
  <c r="C40" i="1"/>
  <c r="C36" i="1"/>
  <c r="DL36" i="1" s="1"/>
  <c r="C29" i="1"/>
  <c r="DL29" i="1" s="1"/>
  <c r="C19" i="1"/>
  <c r="E15" i="1"/>
  <c r="DN15" i="1" s="1"/>
  <c r="EM15" i="1" s="1"/>
  <c r="C11" i="1"/>
  <c r="B11" i="1"/>
  <c r="B93" i="1"/>
  <c r="C69" i="1"/>
  <c r="DL69" i="1" s="1"/>
  <c r="C51" i="1"/>
  <c r="DL51" i="1" s="1"/>
  <c r="E35" i="1"/>
  <c r="E10" i="1"/>
  <c r="DN10" i="1" s="1"/>
  <c r="EM10" i="1" s="1"/>
  <c r="D71" i="1"/>
  <c r="D53" i="1"/>
  <c r="D28" i="1"/>
  <c r="E80" i="1"/>
  <c r="C71" i="1"/>
  <c r="C53" i="1"/>
  <c r="C35" i="1"/>
  <c r="DL35" i="1" s="1"/>
  <c r="C10" i="1"/>
  <c r="DL10" i="1" s="1"/>
  <c r="D12" i="1"/>
  <c r="B91" i="1"/>
  <c r="DK91" i="1" s="1"/>
  <c r="C67" i="1"/>
  <c r="DL67" i="1" s="1"/>
  <c r="C38" i="1"/>
  <c r="DL38" i="1" s="1"/>
  <c r="E16" i="1"/>
  <c r="D50" i="1"/>
  <c r="DM50" i="1" s="1"/>
  <c r="D33" i="1"/>
  <c r="C93" i="1"/>
  <c r="DL93" i="1" s="1"/>
  <c r="E89" i="1"/>
  <c r="B78" i="1"/>
  <c r="DK78" i="1" s="1"/>
  <c r="D75" i="1"/>
  <c r="B72" i="1"/>
  <c r="DK72" i="1" s="1"/>
  <c r="D69" i="1"/>
  <c r="DM69" i="1" s="1"/>
  <c r="B66" i="1"/>
  <c r="D56" i="1"/>
  <c r="B54" i="1"/>
  <c r="DK54" i="1" s="1"/>
  <c r="D51" i="1"/>
  <c r="DM51" i="1" s="1"/>
  <c r="B46" i="1"/>
  <c r="D43" i="1"/>
  <c r="DM43" i="1" s="1"/>
  <c r="B40" i="1"/>
  <c r="B36" i="1"/>
  <c r="DK36" i="1" s="1"/>
  <c r="B29" i="1"/>
  <c r="DK29" i="1" s="1"/>
  <c r="B19" i="1"/>
  <c r="DK19" i="1" s="1"/>
  <c r="E77" i="1"/>
  <c r="E71" i="1"/>
  <c r="E53" i="1"/>
  <c r="E28" i="1"/>
  <c r="DN28" i="1" s="1"/>
  <c r="C15" i="1"/>
  <c r="DL15" i="1" s="1"/>
  <c r="D77" i="1"/>
  <c r="B69" i="1"/>
  <c r="DK69" i="1" s="1"/>
  <c r="B51" i="1"/>
  <c r="DK51" i="1" s="1"/>
  <c r="D35" i="1"/>
  <c r="DM35" i="1" s="1"/>
  <c r="D10" i="1"/>
  <c r="DM10" i="1" s="1"/>
  <c r="E74" i="1"/>
  <c r="DN74" i="1" s="1"/>
  <c r="EM74" i="1" s="1"/>
  <c r="E48" i="1"/>
  <c r="C28" i="1"/>
  <c r="DL28" i="1" s="1"/>
  <c r="D85" i="1"/>
  <c r="C79" i="1"/>
  <c r="DL79" i="1" s="1"/>
  <c r="E50" i="1"/>
  <c r="EM50" i="1" s="1"/>
  <c r="E33" i="1"/>
  <c r="DL96" i="1"/>
  <c r="B73" i="1"/>
  <c r="DK73" i="1" s="1"/>
  <c r="B41" i="1"/>
  <c r="DK41" i="1" s="1"/>
  <c r="E13" i="1"/>
  <c r="DN13" i="1" s="1"/>
  <c r="EM13" i="1" s="1"/>
  <c r="E44" i="1"/>
  <c r="DN44" i="1" s="1"/>
  <c r="EM44" i="1" s="1"/>
  <c r="B47" i="1"/>
  <c r="DK47" i="1" s="1"/>
  <c r="E97" i="1"/>
  <c r="E86" i="1"/>
  <c r="D80" i="1"/>
  <c r="B77" i="1"/>
  <c r="D74" i="1"/>
  <c r="DM74" i="1" s="1"/>
  <c r="B71" i="1"/>
  <c r="D68" i="1"/>
  <c r="DM68" i="1" s="1"/>
  <c r="B53" i="1"/>
  <c r="D48" i="1"/>
  <c r="DM48" i="1" s="1"/>
  <c r="D42" i="1"/>
  <c r="DM42" i="1" s="1"/>
  <c r="B35" i="1"/>
  <c r="DK35" i="1" s="1"/>
  <c r="B28" i="1"/>
  <c r="DK28" i="1" s="1"/>
  <c r="D13" i="1"/>
  <c r="DM13" i="1" s="1"/>
  <c r="B10" i="1"/>
  <c r="DK10" i="1" s="1"/>
  <c r="D97" i="1"/>
  <c r="D86" i="1"/>
  <c r="E83" i="1"/>
  <c r="C80" i="1"/>
  <c r="DL80" i="1" s="1"/>
  <c r="C74" i="1"/>
  <c r="DL74" i="1" s="1"/>
  <c r="C68" i="1"/>
  <c r="DL68" i="1" s="1"/>
  <c r="C48" i="1"/>
  <c r="DL48" i="1" s="1"/>
  <c r="C42" i="1"/>
  <c r="DL42" i="1" s="1"/>
  <c r="E34" i="1"/>
  <c r="DN34" i="1" s="1"/>
  <c r="EM34" i="1" s="1"/>
  <c r="C13" i="1"/>
  <c r="E9" i="1"/>
  <c r="C97" i="1"/>
  <c r="DL97" i="1" s="1"/>
  <c r="E91" i="1"/>
  <c r="DN91" i="1" s="1"/>
  <c r="C86" i="1"/>
  <c r="DL86" i="1" s="1"/>
  <c r="D83" i="1"/>
  <c r="B80" i="1"/>
  <c r="DK80" i="1" s="1"/>
  <c r="B74" i="1"/>
  <c r="DK74" i="1" s="1"/>
  <c r="B68" i="1"/>
  <c r="DK68" i="1" s="1"/>
  <c r="B48" i="1"/>
  <c r="DK48" i="1" s="1"/>
  <c r="B42" i="1"/>
  <c r="DK42" i="1" s="1"/>
  <c r="D34" i="1"/>
  <c r="DM34" i="1" s="1"/>
  <c r="B13" i="1"/>
  <c r="DK13" i="1" s="1"/>
  <c r="D9" i="1"/>
  <c r="B97" i="1"/>
  <c r="DK97" i="1" s="1"/>
  <c r="D91" i="1"/>
  <c r="B86" i="1"/>
  <c r="DK86" i="1" s="1"/>
  <c r="C83" i="1"/>
  <c r="E79" i="1"/>
  <c r="E73" i="1"/>
  <c r="DN73" i="1" s="1"/>
  <c r="EM73" i="1" s="1"/>
  <c r="E67" i="1"/>
  <c r="DN67" i="1" s="1"/>
  <c r="EM67" i="1" s="1"/>
  <c r="E47" i="1"/>
  <c r="DN47" i="1" s="1"/>
  <c r="EM47" i="1" s="1"/>
  <c r="E38" i="1"/>
  <c r="C34" i="1"/>
  <c r="DL34" i="1" s="1"/>
  <c r="E30" i="1"/>
  <c r="E12" i="1"/>
  <c r="C9" i="1"/>
  <c r="C91" i="1"/>
  <c r="DL91" i="1" s="1"/>
  <c r="E85" i="1"/>
  <c r="B83" i="1"/>
  <c r="D79" i="1"/>
  <c r="D73" i="1"/>
  <c r="DM73" i="1" s="1"/>
  <c r="D67" i="1"/>
  <c r="DM67" i="1" s="1"/>
  <c r="D47" i="1"/>
  <c r="DM47" i="1" s="1"/>
  <c r="D41" i="1"/>
  <c r="DM41" i="1" s="1"/>
  <c r="D38" i="1"/>
  <c r="DM38" i="1" s="1"/>
  <c r="B34" i="1"/>
  <c r="DK34" i="1" s="1"/>
  <c r="B9" i="1"/>
  <c r="DK9" i="1" s="1"/>
  <c r="C73" i="1"/>
  <c r="DL73" i="1" s="1"/>
  <c r="C47" i="1"/>
  <c r="DL47" i="1" s="1"/>
  <c r="C41" i="1"/>
  <c r="DL41" i="1" s="1"/>
  <c r="C30" i="1"/>
  <c r="DL30" i="1" s="1"/>
  <c r="C12" i="1"/>
  <c r="C85" i="1"/>
  <c r="DL85" i="1" s="1"/>
  <c r="B79" i="1"/>
  <c r="DK79" i="1" s="1"/>
  <c r="B67" i="1"/>
  <c r="DK67" i="1" s="1"/>
  <c r="D44" i="1"/>
  <c r="DM44" i="1" s="1"/>
  <c r="B38" i="1"/>
  <c r="DK38" i="1" s="1"/>
  <c r="B30" i="1"/>
  <c r="DK30" i="1" s="1"/>
  <c r="E66" i="1"/>
  <c r="C16" i="1"/>
  <c r="B12" i="1"/>
  <c r="E11" i="1"/>
  <c r="E40" i="1"/>
  <c r="D16" i="1"/>
  <c r="C33" i="1"/>
  <c r="E72" i="1"/>
  <c r="DN72" i="1" s="1"/>
  <c r="EM72" i="1" s="1"/>
  <c r="E36" i="1"/>
  <c r="E54" i="1"/>
  <c r="DN54" i="1" s="1"/>
  <c r="EM54" i="1" s="1"/>
  <c r="E78" i="1"/>
  <c r="E29" i="1"/>
  <c r="E46" i="1"/>
  <c r="EM46" i="1" s="1"/>
  <c r="DK96" i="1"/>
  <c r="E19" i="1"/>
  <c r="B85" i="1"/>
  <c r="DK85" i="1" s="1"/>
  <c r="C44" i="1"/>
  <c r="DL44" i="1" s="1"/>
  <c r="C50" i="1"/>
  <c r="DL50" i="1" s="1"/>
  <c r="Q1" i="1" l="1"/>
  <c r="U1" i="1" s="1"/>
  <c r="DT94" i="1"/>
  <c r="ES94" i="1" s="1"/>
  <c r="ES77" i="1"/>
  <c r="L23" i="3" s="1"/>
  <c r="L21" i="3"/>
  <c r="L22" i="3" s="1"/>
  <c r="DT24" i="1"/>
  <c r="ES24" i="1" s="1"/>
  <c r="DT15" i="1"/>
  <c r="ES15" i="1" s="1"/>
  <c r="ES22" i="1"/>
  <c r="DT19" i="1"/>
  <c r="ES19" i="1" s="1"/>
  <c r="DT16" i="1"/>
  <c r="ES16" i="1" s="1"/>
  <c r="L40" i="3"/>
  <c r="DT84" i="1"/>
  <c r="DT8" i="1"/>
  <c r="L46" i="3" s="1"/>
  <c r="L47" i="3" s="1"/>
  <c r="L60" i="3"/>
  <c r="DT101" i="1"/>
  <c r="ES20" i="1"/>
  <c r="L20" i="3"/>
  <c r="ES14" i="1"/>
  <c r="L58" i="3" s="1"/>
  <c r="L56" i="3"/>
  <c r="L57" i="3" s="1"/>
  <c r="L51" i="3"/>
  <c r="L52" i="3" s="1"/>
  <c r="ES11" i="1"/>
  <c r="L53" i="3" s="1"/>
  <c r="L15" i="3"/>
  <c r="K4" i="1"/>
  <c r="L45" i="3"/>
  <c r="L50" i="3"/>
  <c r="L25" i="3"/>
  <c r="K52" i="1"/>
  <c r="K32" i="1"/>
  <c r="K39" i="1"/>
  <c r="K27" i="1"/>
  <c r="K82" i="1"/>
  <c r="K65" i="1"/>
  <c r="K76" i="1"/>
  <c r="K70" i="1"/>
  <c r="K45" i="1"/>
  <c r="K55" i="1"/>
  <c r="K18" i="1"/>
  <c r="BO88" i="1"/>
  <c r="DS88" i="1" s="1"/>
  <c r="ER88" i="1" s="1"/>
  <c r="BO97" i="1"/>
  <c r="BO12" i="1"/>
  <c r="DS12" i="1" s="1"/>
  <c r="BO93" i="1"/>
  <c r="DS93" i="1" s="1"/>
  <c r="ER93" i="1" s="1"/>
  <c r="BO79" i="1"/>
  <c r="DS79" i="1" s="1"/>
  <c r="ER79" i="1" s="1"/>
  <c r="ER71" i="1"/>
  <c r="DS77" i="1"/>
  <c r="K20" i="3"/>
  <c r="DS101" i="1"/>
  <c r="K60" i="3"/>
  <c r="DS11" i="1"/>
  <c r="ER11" i="1" s="1"/>
  <c r="K50" i="3"/>
  <c r="J4" i="1"/>
  <c r="DS4" i="1" s="1"/>
  <c r="K45" i="3"/>
  <c r="DS8" i="1"/>
  <c r="DS16" i="1"/>
  <c r="K15" i="3"/>
  <c r="DS14" i="1"/>
  <c r="K55" i="3"/>
  <c r="DS84" i="1"/>
  <c r="K40" i="3"/>
  <c r="K25" i="3"/>
  <c r="DS94" i="1"/>
  <c r="J52" i="1"/>
  <c r="J27" i="1"/>
  <c r="J32" i="1"/>
  <c r="J70" i="1"/>
  <c r="J55" i="1"/>
  <c r="J45" i="1"/>
  <c r="J82" i="1"/>
  <c r="J18" i="1"/>
  <c r="J39" i="1"/>
  <c r="J65" i="1"/>
  <c r="J76" i="1"/>
  <c r="EK74" i="1"/>
  <c r="EJ34" i="1"/>
  <c r="EK93" i="1"/>
  <c r="EL38" i="1"/>
  <c r="EJ30" i="1"/>
  <c r="EJ38" i="1"/>
  <c r="EJ43" i="1"/>
  <c r="EJ88" i="1"/>
  <c r="EL67" i="1"/>
  <c r="EL35" i="1"/>
  <c r="EK30" i="1"/>
  <c r="EL48" i="1"/>
  <c r="EK96" i="1"/>
  <c r="EL69" i="1"/>
  <c r="EK35" i="1"/>
  <c r="EK78" i="1"/>
  <c r="EK41" i="1"/>
  <c r="EJ13" i="1"/>
  <c r="EL72" i="1"/>
  <c r="EK48" i="1"/>
  <c r="EL68" i="1"/>
  <c r="EK29" i="1"/>
  <c r="EL30" i="1"/>
  <c r="EL15" i="1"/>
  <c r="EK20" i="1"/>
  <c r="EJ9" i="1"/>
  <c r="EL74" i="1"/>
  <c r="EL14" i="1"/>
  <c r="EJ29" i="1"/>
  <c r="EJ49" i="1"/>
  <c r="EK54" i="1"/>
  <c r="EL20" i="1"/>
  <c r="EK37" i="1"/>
  <c r="EK91" i="1"/>
  <c r="EJ24" i="1"/>
  <c r="EK42" i="1"/>
  <c r="EJ72" i="1"/>
  <c r="EJ22" i="1"/>
  <c r="EK47" i="1"/>
  <c r="EL34" i="1"/>
  <c r="EK50" i="1"/>
  <c r="EK73" i="1"/>
  <c r="EJ42" i="1"/>
  <c r="EK68" i="1"/>
  <c r="EK79" i="1"/>
  <c r="EJ78" i="1"/>
  <c r="EK36" i="1"/>
  <c r="EJ92" i="1"/>
  <c r="EK44" i="1"/>
  <c r="EJ48" i="1"/>
  <c r="EL24" i="1"/>
  <c r="EJ68" i="1"/>
  <c r="EJ74" i="1"/>
  <c r="EJ36" i="1"/>
  <c r="EJ89" i="1"/>
  <c r="EK94" i="1"/>
  <c r="EL41" i="1"/>
  <c r="EL50" i="1"/>
  <c r="EJ15" i="1"/>
  <c r="EL47" i="1"/>
  <c r="EL10" i="1"/>
  <c r="EL36" i="1"/>
  <c r="EL44" i="1"/>
  <c r="EK86" i="1"/>
  <c r="EJ47" i="1"/>
  <c r="EK38" i="1"/>
  <c r="EJ67" i="1"/>
  <c r="EJ51" i="1"/>
  <c r="EL51" i="1"/>
  <c r="EK67" i="1"/>
  <c r="EK69" i="1"/>
  <c r="EJ44" i="1"/>
  <c r="EJ79" i="1"/>
  <c r="EJ86" i="1"/>
  <c r="EK97" i="1"/>
  <c r="EJ69" i="1"/>
  <c r="EJ54" i="1"/>
  <c r="EJ91" i="1"/>
  <c r="EK89" i="1"/>
  <c r="EJ20" i="1"/>
  <c r="EJ87" i="1"/>
  <c r="EL88" i="1"/>
  <c r="EK85" i="1"/>
  <c r="EJ35" i="1"/>
  <c r="EJ41" i="1"/>
  <c r="EK72" i="1"/>
  <c r="EK43" i="1"/>
  <c r="EL54" i="1"/>
  <c r="EK87" i="1"/>
  <c r="EK34" i="1"/>
  <c r="EK92" i="1"/>
  <c r="EJ85" i="1"/>
  <c r="EK80" i="1"/>
  <c r="EK24" i="1"/>
  <c r="EL29" i="1"/>
  <c r="EK49" i="1"/>
  <c r="EJ96" i="1"/>
  <c r="EJ80" i="1"/>
  <c r="EL43" i="1"/>
  <c r="EJ37" i="1"/>
  <c r="EJ10" i="1"/>
  <c r="EK51" i="1"/>
  <c r="EK88" i="1"/>
  <c r="EL73" i="1"/>
  <c r="EL13" i="1"/>
  <c r="EL22" i="1"/>
  <c r="EL37" i="1"/>
  <c r="EL49" i="1"/>
  <c r="EJ97" i="1"/>
  <c r="EL42" i="1"/>
  <c r="EJ73" i="1"/>
  <c r="EK15" i="1"/>
  <c r="EK10" i="1"/>
  <c r="EJ50" i="1"/>
  <c r="EK22" i="1"/>
  <c r="DN30" i="1"/>
  <c r="EM30" i="1" s="1"/>
  <c r="DN38" i="1"/>
  <c r="EM38" i="1" s="1"/>
  <c r="DN35" i="1"/>
  <c r="EM35" i="1" s="1"/>
  <c r="DN29" i="1"/>
  <c r="EM29" i="1" s="1"/>
  <c r="DN94" i="1"/>
  <c r="EM94" i="1" s="1"/>
  <c r="DN37" i="1"/>
  <c r="EM37" i="1" s="1"/>
  <c r="DN36" i="1"/>
  <c r="EM36" i="1" s="1"/>
  <c r="BL69" i="1"/>
  <c r="DR69" i="1" s="1"/>
  <c r="EQ69" i="1" s="1"/>
  <c r="DK93" i="1"/>
  <c r="DK94" i="1"/>
  <c r="I4" i="1"/>
  <c r="I5" i="1" s="1"/>
  <c r="I3" i="1" s="1"/>
  <c r="I76" i="1"/>
  <c r="DR80" i="1"/>
  <c r="EQ80" i="1" s="1"/>
  <c r="BL12" i="1"/>
  <c r="J25" i="3"/>
  <c r="DR16" i="1"/>
  <c r="EQ16" i="1" s="1"/>
  <c r="J15" i="3"/>
  <c r="I45" i="1"/>
  <c r="DR46" i="1"/>
  <c r="EQ46" i="1" s="1"/>
  <c r="DR101" i="1"/>
  <c r="EQ101" i="1" s="1"/>
  <c r="J60" i="3"/>
  <c r="BL93" i="1"/>
  <c r="DR93" i="1" s="1"/>
  <c r="EQ93" i="1" s="1"/>
  <c r="I52" i="1"/>
  <c r="DR53" i="1"/>
  <c r="EQ53" i="1" s="1"/>
  <c r="I65" i="1"/>
  <c r="DR66" i="1"/>
  <c r="EQ66" i="1" s="1"/>
  <c r="BL11" i="1"/>
  <c r="DR11" i="1" s="1"/>
  <c r="EQ11" i="1" s="1"/>
  <c r="J50" i="3"/>
  <c r="DR77" i="1"/>
  <c r="EQ77" i="1" s="1"/>
  <c r="J20" i="3"/>
  <c r="I82" i="1"/>
  <c r="DR83" i="1"/>
  <c r="EQ83" i="1" s="1"/>
  <c r="BL13" i="1"/>
  <c r="I32" i="1"/>
  <c r="DR33" i="1"/>
  <c r="EQ33" i="1" s="1"/>
  <c r="BL10" i="1"/>
  <c r="BO10" i="1" s="1"/>
  <c r="DS10" i="1" s="1"/>
  <c r="I18" i="1"/>
  <c r="DR19" i="1"/>
  <c r="EQ19" i="1" s="1"/>
  <c r="DR14" i="1"/>
  <c r="EQ14" i="1" s="1"/>
  <c r="J55" i="3"/>
  <c r="I39" i="1"/>
  <c r="DR40" i="1"/>
  <c r="EQ40" i="1" s="1"/>
  <c r="I27" i="1"/>
  <c r="DR28" i="1"/>
  <c r="EQ28" i="1" s="1"/>
  <c r="BL78" i="1"/>
  <c r="DR78" i="1" s="1"/>
  <c r="EQ78" i="1" s="1"/>
  <c r="I70" i="1"/>
  <c r="DR71" i="1"/>
  <c r="EQ71" i="1" s="1"/>
  <c r="I55" i="1"/>
  <c r="DR50" i="1"/>
  <c r="EQ50" i="1" s="1"/>
  <c r="DR84" i="1"/>
  <c r="EQ84" i="1" s="1"/>
  <c r="J40" i="3"/>
  <c r="DR79" i="1"/>
  <c r="EQ79" i="1" s="1"/>
  <c r="DN88" i="1"/>
  <c r="EM88" i="1" s="1"/>
  <c r="I20" i="3"/>
  <c r="H55" i="3"/>
  <c r="I50" i="3"/>
  <c r="I25" i="3"/>
  <c r="BI8" i="1"/>
  <c r="DQ8" i="1" s="1"/>
  <c r="EP8" i="1" s="1"/>
  <c r="I45" i="3"/>
  <c r="BI16" i="1"/>
  <c r="DQ16" i="1" s="1"/>
  <c r="EP16" i="1" s="1"/>
  <c r="I15" i="3"/>
  <c r="H25" i="3"/>
  <c r="BF16" i="1"/>
  <c r="DP16" i="1" s="1"/>
  <c r="EO16" i="1" s="1"/>
  <c r="H15" i="3"/>
  <c r="BF8" i="1"/>
  <c r="DP8" i="1" s="1"/>
  <c r="H45" i="3"/>
  <c r="H50" i="3"/>
  <c r="BF77" i="1"/>
  <c r="DP77" i="1" s="1"/>
  <c r="EO77" i="1" s="1"/>
  <c r="H20" i="3"/>
  <c r="BI54" i="1"/>
  <c r="DQ54" i="1" s="1"/>
  <c r="EP54" i="1" s="1"/>
  <c r="BI33" i="1"/>
  <c r="DQ33" i="1" s="1"/>
  <c r="EP33" i="1" s="1"/>
  <c r="BI36" i="1"/>
  <c r="DQ36" i="1" s="1"/>
  <c r="EP36" i="1" s="1"/>
  <c r="BI28" i="1"/>
  <c r="DQ28" i="1" s="1"/>
  <c r="EP28" i="1" s="1"/>
  <c r="BI94" i="1"/>
  <c r="DQ94" i="1" s="1"/>
  <c r="EP94" i="1" s="1"/>
  <c r="BI93" i="1"/>
  <c r="DQ93" i="1" s="1"/>
  <c r="EP93" i="1" s="1"/>
  <c r="BI97" i="1"/>
  <c r="DQ97" i="1" s="1"/>
  <c r="EP97" i="1" s="1"/>
  <c r="BI46" i="1"/>
  <c r="DQ46" i="1" s="1"/>
  <c r="EP46" i="1" s="1"/>
  <c r="BI47" i="1"/>
  <c r="DQ47" i="1" s="1"/>
  <c r="EP47" i="1" s="1"/>
  <c r="BI40" i="1"/>
  <c r="DQ40" i="1" s="1"/>
  <c r="EP40" i="1" s="1"/>
  <c r="BI41" i="1"/>
  <c r="DQ41" i="1" s="1"/>
  <c r="EP41" i="1" s="1"/>
  <c r="BI48" i="1"/>
  <c r="DQ48" i="1" s="1"/>
  <c r="EP48" i="1" s="1"/>
  <c r="BI9" i="1"/>
  <c r="DQ9" i="1" s="1"/>
  <c r="EP9" i="1" s="1"/>
  <c r="BI79" i="1"/>
  <c r="DQ79" i="1" s="1"/>
  <c r="EP79" i="1" s="1"/>
  <c r="BI78" i="1"/>
  <c r="DQ78" i="1" s="1"/>
  <c r="EP78" i="1" s="1"/>
  <c r="DQ11" i="1"/>
  <c r="DQ14" i="1"/>
  <c r="H4" i="1"/>
  <c r="DQ4" i="1" s="1"/>
  <c r="DQ84" i="1"/>
  <c r="EP84" i="1" s="1"/>
  <c r="DP101" i="1"/>
  <c r="DQ77" i="1"/>
  <c r="EP77" i="1" s="1"/>
  <c r="DQ101" i="1"/>
  <c r="EP101" i="1" s="1"/>
  <c r="DQ12" i="1"/>
  <c r="EP12" i="1" s="1"/>
  <c r="H32" i="1"/>
  <c r="H52" i="1"/>
  <c r="H76" i="1"/>
  <c r="H65" i="1"/>
  <c r="H27" i="1"/>
  <c r="H45" i="1"/>
  <c r="H82" i="1"/>
  <c r="H39" i="1"/>
  <c r="H70" i="1"/>
  <c r="H18" i="1"/>
  <c r="H55" i="1"/>
  <c r="BF9" i="1"/>
  <c r="DP9" i="1" s="1"/>
  <c r="EO9" i="1" s="1"/>
  <c r="BF48" i="1"/>
  <c r="DP48" i="1" s="1"/>
  <c r="EO48" i="1" s="1"/>
  <c r="BF47" i="1"/>
  <c r="DP47" i="1" s="1"/>
  <c r="EO47" i="1" s="1"/>
  <c r="BF40" i="1"/>
  <c r="DP40" i="1" s="1"/>
  <c r="EO40" i="1" s="1"/>
  <c r="BF42" i="1"/>
  <c r="DP42" i="1" s="1"/>
  <c r="EO42" i="1" s="1"/>
  <c r="BF50" i="1"/>
  <c r="DP50" i="1" s="1"/>
  <c r="EO50" i="1" s="1"/>
  <c r="BF43" i="1"/>
  <c r="DP43" i="1" s="1"/>
  <c r="EO43" i="1" s="1"/>
  <c r="DP41" i="1"/>
  <c r="EO41" i="1" s="1"/>
  <c r="BF54" i="1"/>
  <c r="DP54" i="1" s="1"/>
  <c r="EO54" i="1" s="1"/>
  <c r="BF93" i="1"/>
  <c r="DP93" i="1" s="1"/>
  <c r="EO93" i="1" s="1"/>
  <c r="BF29" i="1"/>
  <c r="DP29" i="1" s="1"/>
  <c r="EO29" i="1" s="1"/>
  <c r="BF94" i="1"/>
  <c r="DP94" i="1" s="1"/>
  <c r="EO94" i="1" s="1"/>
  <c r="BF38" i="1"/>
  <c r="DP38" i="1" s="1"/>
  <c r="EO38" i="1" s="1"/>
  <c r="BF78" i="1"/>
  <c r="DP78" i="1" s="1"/>
  <c r="EO78" i="1" s="1"/>
  <c r="BF80" i="1"/>
  <c r="DP80" i="1" s="1"/>
  <c r="EO80" i="1" s="1"/>
  <c r="BF20" i="1"/>
  <c r="DP20" i="1" s="1"/>
  <c r="EO20" i="1" s="1"/>
  <c r="G45" i="1"/>
  <c r="DP46" i="1"/>
  <c r="EO46" i="1" s="1"/>
  <c r="DP14" i="1"/>
  <c r="EO14" i="1" s="1"/>
  <c r="DP12" i="1"/>
  <c r="EO12" i="1" s="1"/>
  <c r="DP84" i="1"/>
  <c r="DP89" i="1"/>
  <c r="EO89" i="1" s="1"/>
  <c r="G82" i="1"/>
  <c r="DP83" i="1"/>
  <c r="EO83" i="1" s="1"/>
  <c r="DP11" i="1"/>
  <c r="EO11" i="1" s="1"/>
  <c r="G52" i="1"/>
  <c r="DP53" i="1"/>
  <c r="EO53" i="1" s="1"/>
  <c r="G32" i="1"/>
  <c r="DP33" i="1"/>
  <c r="EO33" i="1" s="1"/>
  <c r="G65" i="1"/>
  <c r="DP66" i="1"/>
  <c r="EO66" i="1" s="1"/>
  <c r="G18" i="1"/>
  <c r="DP19" i="1"/>
  <c r="EO19" i="1" s="1"/>
  <c r="G27" i="1"/>
  <c r="DP28" i="1"/>
  <c r="EO28" i="1" s="1"/>
  <c r="DP79" i="1"/>
  <c r="EO79" i="1" s="1"/>
  <c r="G76" i="1"/>
  <c r="G55" i="1"/>
  <c r="DP56" i="1"/>
  <c r="EO56" i="1" s="1"/>
  <c r="G70" i="1"/>
  <c r="DP71" i="1"/>
  <c r="EO71" i="1" s="1"/>
  <c r="G39" i="1"/>
  <c r="DP44" i="1"/>
  <c r="EO44" i="1" s="1"/>
  <c r="G4" i="1"/>
  <c r="DK14" i="1"/>
  <c r="DL14" i="1"/>
  <c r="DM94" i="1"/>
  <c r="DM87" i="1"/>
  <c r="F76" i="1"/>
  <c r="DO77" i="1"/>
  <c r="EN77" i="1" s="1"/>
  <c r="G20" i="3"/>
  <c r="F55" i="1"/>
  <c r="DO56" i="1"/>
  <c r="EN56" i="1" s="1"/>
  <c r="DO84" i="1"/>
  <c r="EN84" i="1" s="1"/>
  <c r="G40" i="3"/>
  <c r="F45" i="1"/>
  <c r="DO46" i="1"/>
  <c r="EN46" i="1" s="1"/>
  <c r="F27" i="1"/>
  <c r="DO28" i="1"/>
  <c r="EN28" i="1" s="1"/>
  <c r="G60" i="3"/>
  <c r="BC79" i="1"/>
  <c r="DO79" i="1" s="1"/>
  <c r="EN79" i="1" s="1"/>
  <c r="DO11" i="1"/>
  <c r="EN11" i="1" s="1"/>
  <c r="G50" i="3"/>
  <c r="F32" i="1"/>
  <c r="DO33" i="1"/>
  <c r="EN33" i="1" s="1"/>
  <c r="F70" i="1"/>
  <c r="DO71" i="1"/>
  <c r="EN71" i="1" s="1"/>
  <c r="DO16" i="1"/>
  <c r="EN16" i="1" s="1"/>
  <c r="G15" i="3"/>
  <c r="F65" i="1"/>
  <c r="DO67" i="1"/>
  <c r="EN67" i="1" s="1"/>
  <c r="F4" i="1"/>
  <c r="F5" i="1" s="1"/>
  <c r="DO5" i="1" s="1"/>
  <c r="EN5" i="1" s="1"/>
  <c r="DO8" i="1"/>
  <c r="G45" i="3"/>
  <c r="F82" i="1"/>
  <c r="DO83" i="1"/>
  <c r="EN83" i="1" s="1"/>
  <c r="F52" i="1"/>
  <c r="DO53" i="1"/>
  <c r="EN53" i="1" s="1"/>
  <c r="F18" i="1"/>
  <c r="DO19" i="1"/>
  <c r="EN19" i="1" s="1"/>
  <c r="G55" i="3"/>
  <c r="DO12" i="1"/>
  <c r="EN12" i="1" s="1"/>
  <c r="G25" i="3"/>
  <c r="F39" i="1"/>
  <c r="DO44" i="1"/>
  <c r="EN44" i="1" s="1"/>
  <c r="DM97" i="1"/>
  <c r="DM89" i="1"/>
  <c r="DM80" i="1"/>
  <c r="DM79" i="1"/>
  <c r="DM96" i="1"/>
  <c r="DM78" i="1"/>
  <c r="DM86" i="1"/>
  <c r="E60" i="3"/>
  <c r="DM91" i="1"/>
  <c r="DM85" i="1"/>
  <c r="E40" i="3"/>
  <c r="DM93" i="1"/>
  <c r="DM92" i="1"/>
  <c r="DN78" i="1"/>
  <c r="EM78" i="1" s="1"/>
  <c r="DN86" i="1"/>
  <c r="EM86" i="1" s="1"/>
  <c r="DN97" i="1"/>
  <c r="EM97" i="1" s="1"/>
  <c r="DN85" i="1"/>
  <c r="EM85" i="1" s="1"/>
  <c r="DN96" i="1"/>
  <c r="EM96" i="1" s="1"/>
  <c r="DN92" i="1"/>
  <c r="EM92" i="1" s="1"/>
  <c r="DN80" i="1"/>
  <c r="EM80" i="1" s="1"/>
  <c r="EM93" i="1"/>
  <c r="DN24" i="1"/>
  <c r="EM24" i="1" s="1"/>
  <c r="EM91" i="1"/>
  <c r="F60" i="3"/>
  <c r="F48" i="3"/>
  <c r="F46" i="3"/>
  <c r="F47" i="3" s="1"/>
  <c r="AZ20" i="1"/>
  <c r="DN20" i="1" s="1"/>
  <c r="EM20" i="1" s="1"/>
  <c r="DN89" i="1"/>
  <c r="EM89" i="1" s="1"/>
  <c r="F25" i="3"/>
  <c r="E76" i="1"/>
  <c r="E82" i="1"/>
  <c r="C4" i="1"/>
  <c r="D45" i="3"/>
  <c r="DL8" i="1"/>
  <c r="D4" i="1"/>
  <c r="E45" i="3"/>
  <c r="DM8" i="1"/>
  <c r="E4" i="1"/>
  <c r="F45" i="3"/>
  <c r="E55" i="3"/>
  <c r="D20" i="3"/>
  <c r="F55" i="3"/>
  <c r="F20" i="3"/>
  <c r="DN9" i="1"/>
  <c r="EM9" i="1" s="1"/>
  <c r="F15" i="3"/>
  <c r="F50" i="3"/>
  <c r="E20" i="3"/>
  <c r="D50" i="3"/>
  <c r="E50" i="3"/>
  <c r="D55" i="3"/>
  <c r="E15" i="3"/>
  <c r="D25" i="3"/>
  <c r="DL13" i="1"/>
  <c r="D15" i="3"/>
  <c r="DL9" i="1"/>
  <c r="DM9" i="1"/>
  <c r="E25" i="3"/>
  <c r="C55" i="3"/>
  <c r="C15" i="3"/>
  <c r="C25" i="3"/>
  <c r="C36" i="3"/>
  <c r="C37" i="3" s="1"/>
  <c r="C20" i="3"/>
  <c r="C50" i="3"/>
  <c r="DK8" i="1"/>
  <c r="B4" i="1"/>
  <c r="DK66" i="1"/>
  <c r="B65" i="1"/>
  <c r="DK77" i="1"/>
  <c r="B76" i="1"/>
  <c r="DN53" i="1"/>
  <c r="EM53" i="1" s="1"/>
  <c r="E52" i="1"/>
  <c r="DK11" i="1"/>
  <c r="DL66" i="1"/>
  <c r="C65" i="1"/>
  <c r="DK12" i="1"/>
  <c r="DN71" i="1"/>
  <c r="EM71" i="1" s="1"/>
  <c r="E70" i="1"/>
  <c r="DL53" i="1"/>
  <c r="C52" i="1"/>
  <c r="DK33" i="1"/>
  <c r="B32" i="1"/>
  <c r="DN19" i="1"/>
  <c r="EM19" i="1" s="1"/>
  <c r="E18" i="1"/>
  <c r="DL16" i="1"/>
  <c r="DN77" i="1"/>
  <c r="EM77" i="1" s="1"/>
  <c r="DL71" i="1"/>
  <c r="C70" i="1"/>
  <c r="DL11" i="1"/>
  <c r="DK56" i="1"/>
  <c r="B55" i="1"/>
  <c r="DL101" i="1"/>
  <c r="DN83" i="1"/>
  <c r="EM83" i="1" s="1"/>
  <c r="EK28" i="1"/>
  <c r="C27" i="1"/>
  <c r="B18" i="1"/>
  <c r="DM40" i="1"/>
  <c r="D39" i="1"/>
  <c r="DM101" i="1"/>
  <c r="DM16" i="1"/>
  <c r="DM19" i="1"/>
  <c r="D18" i="1"/>
  <c r="DN12" i="1"/>
  <c r="EM12" i="1" s="1"/>
  <c r="DL19" i="1"/>
  <c r="C18" i="1"/>
  <c r="DN11" i="1"/>
  <c r="EM11" i="1" s="1"/>
  <c r="E45" i="1"/>
  <c r="DM33" i="1"/>
  <c r="D32" i="1"/>
  <c r="DM28" i="1"/>
  <c r="D27" i="1"/>
  <c r="DM46" i="1"/>
  <c r="D45" i="1"/>
  <c r="DM83" i="1"/>
  <c r="D82" i="1"/>
  <c r="DK16" i="1"/>
  <c r="EM28" i="1"/>
  <c r="E27" i="1"/>
  <c r="EJ28" i="1"/>
  <c r="B27" i="1"/>
  <c r="DK40" i="1"/>
  <c r="B39" i="1"/>
  <c r="DM53" i="1"/>
  <c r="D52" i="1"/>
  <c r="DM71" i="1"/>
  <c r="D70" i="1"/>
  <c r="DL56" i="1"/>
  <c r="C55" i="1"/>
  <c r="DK84" i="1"/>
  <c r="DK83" i="1"/>
  <c r="B82" i="1"/>
  <c r="DM12" i="1"/>
  <c r="DL83" i="1"/>
  <c r="C82" i="1"/>
  <c r="DN66" i="1"/>
  <c r="EM66" i="1" s="1"/>
  <c r="E65" i="1"/>
  <c r="DK46" i="1"/>
  <c r="B45" i="1"/>
  <c r="DN16" i="1"/>
  <c r="EM16" i="1" s="1"/>
  <c r="DL40" i="1"/>
  <c r="C39" i="1"/>
  <c r="DM66" i="1"/>
  <c r="D65" i="1"/>
  <c r="DM84" i="1"/>
  <c r="DN101" i="1"/>
  <c r="DN84" i="1"/>
  <c r="EM84" i="1" s="1"/>
  <c r="DK71" i="1"/>
  <c r="B70" i="1"/>
  <c r="DN40" i="1"/>
  <c r="EM40" i="1" s="1"/>
  <c r="E39" i="1"/>
  <c r="DL12" i="1"/>
  <c r="DK53" i="1"/>
  <c r="B52" i="1"/>
  <c r="DL46" i="1"/>
  <c r="C45" i="1"/>
  <c r="DL84" i="1"/>
  <c r="E32" i="1"/>
  <c r="DN56" i="1"/>
  <c r="EM56" i="1" s="1"/>
  <c r="E55" i="1"/>
  <c r="DL33" i="1"/>
  <c r="C32" i="1"/>
  <c r="DM77" i="1"/>
  <c r="D76" i="1"/>
  <c r="DM56" i="1"/>
  <c r="D55" i="1"/>
  <c r="DL77" i="1"/>
  <c r="C76" i="1"/>
  <c r="DM11" i="1"/>
  <c r="Y1" i="1" l="1"/>
  <c r="O13" i="3"/>
  <c r="L61" i="3"/>
  <c r="L62" i="3" s="1"/>
  <c r="ES101" i="1"/>
  <c r="L63" i="3" s="1"/>
  <c r="ES84" i="1"/>
  <c r="L43" i="3" s="1"/>
  <c r="L41" i="3"/>
  <c r="L42" i="3" s="1"/>
  <c r="K5" i="1"/>
  <c r="DT5" i="1" s="1"/>
  <c r="DT4" i="1"/>
  <c r="K26" i="1"/>
  <c r="K53" i="3"/>
  <c r="BU97" i="1"/>
  <c r="DU97" i="1" s="1"/>
  <c r="DS97" i="1"/>
  <c r="ER97" i="1" s="1"/>
  <c r="K56" i="3"/>
  <c r="K57" i="3" s="1"/>
  <c r="ER14" i="1"/>
  <c r="K58" i="3" s="1"/>
  <c r="K61" i="3"/>
  <c r="K62" i="3" s="1"/>
  <c r="ER101" i="1"/>
  <c r="K63" i="3" s="1"/>
  <c r="K46" i="3"/>
  <c r="K47" i="3" s="1"/>
  <c r="ER8" i="1"/>
  <c r="K48" i="3" s="1"/>
  <c r="K41" i="3"/>
  <c r="K42" i="3" s="1"/>
  <c r="ER84" i="1"/>
  <c r="K43" i="3" s="1"/>
  <c r="K21" i="3"/>
  <c r="K22" i="3" s="1"/>
  <c r="ER77" i="1"/>
  <c r="K23" i="3" s="1"/>
  <c r="ER16" i="1"/>
  <c r="J5" i="1"/>
  <c r="BO5" i="1" s="1"/>
  <c r="K51" i="3"/>
  <c r="K52" i="3" s="1"/>
  <c r="K26" i="3"/>
  <c r="K27" i="3" s="1"/>
  <c r="ER94" i="1"/>
  <c r="J26" i="1"/>
  <c r="EL78" i="1"/>
  <c r="EJ12" i="1"/>
  <c r="EJ46" i="1"/>
  <c r="EL53" i="1"/>
  <c r="EJ19" i="1"/>
  <c r="EK13" i="1"/>
  <c r="EJ40" i="1"/>
  <c r="EK83" i="1"/>
  <c r="EL87" i="1"/>
  <c r="EK12" i="1"/>
  <c r="EL56" i="1"/>
  <c r="EL33" i="1"/>
  <c r="EJ33" i="1"/>
  <c r="EJ66" i="1"/>
  <c r="EL85" i="1"/>
  <c r="EL8" i="1"/>
  <c r="E48" i="3" s="1"/>
  <c r="EL91" i="1"/>
  <c r="EL77" i="1"/>
  <c r="EK53" i="1"/>
  <c r="EJ8" i="1"/>
  <c r="C48" i="3" s="1"/>
  <c r="EJ71" i="1"/>
  <c r="EK33" i="1"/>
  <c r="EL12" i="1"/>
  <c r="EK19" i="1"/>
  <c r="EK8" i="1"/>
  <c r="D48" i="3" s="1"/>
  <c r="EL96" i="1"/>
  <c r="EK14" i="1"/>
  <c r="EL83" i="1"/>
  <c r="EK71" i="1"/>
  <c r="EJ11" i="1"/>
  <c r="EK46" i="1"/>
  <c r="EL92" i="1"/>
  <c r="EL86" i="1"/>
  <c r="EJ56" i="1"/>
  <c r="EJ83" i="1"/>
  <c r="EJ16" i="1"/>
  <c r="EK11" i="1"/>
  <c r="EL79" i="1"/>
  <c r="EL94" i="1"/>
  <c r="EL19" i="1"/>
  <c r="E58" i="3" s="1"/>
  <c r="EK66" i="1"/>
  <c r="EL80" i="1"/>
  <c r="EL66" i="1"/>
  <c r="EL16" i="1"/>
  <c r="EL89" i="1"/>
  <c r="EJ14" i="1"/>
  <c r="EJ94" i="1"/>
  <c r="EK56" i="1"/>
  <c r="EL97" i="1"/>
  <c r="EL11" i="1"/>
  <c r="EK40" i="1"/>
  <c r="EL46" i="1"/>
  <c r="EK16" i="1"/>
  <c r="EL9" i="1"/>
  <c r="EJ93" i="1"/>
  <c r="EL71" i="1"/>
  <c r="EL40" i="1"/>
  <c r="EK9" i="1"/>
  <c r="EJ53" i="1"/>
  <c r="EL28" i="1"/>
  <c r="EL93" i="1"/>
  <c r="DR13" i="1"/>
  <c r="EQ13" i="1" s="1"/>
  <c r="EV93" i="1"/>
  <c r="EV94" i="1"/>
  <c r="I56" i="3"/>
  <c r="I57" i="3" s="1"/>
  <c r="EP14" i="1"/>
  <c r="I58" i="3" s="1"/>
  <c r="D41" i="3"/>
  <c r="D42" i="3" s="1"/>
  <c r="EK84" i="1"/>
  <c r="D43" i="3" s="1"/>
  <c r="H61" i="3"/>
  <c r="EO101" i="1"/>
  <c r="H63" i="3" s="1"/>
  <c r="G46" i="3"/>
  <c r="G47" i="3" s="1"/>
  <c r="EN8" i="1"/>
  <c r="H46" i="3"/>
  <c r="I101" i="3" s="1"/>
  <c r="J101" i="3" s="1"/>
  <c r="EO8" i="1"/>
  <c r="E61" i="3"/>
  <c r="E62" i="3" s="1"/>
  <c r="EL101" i="1"/>
  <c r="E63" i="3" s="1"/>
  <c r="D21" i="3"/>
  <c r="D22" i="3" s="1"/>
  <c r="EK77" i="1"/>
  <c r="D23" i="3" s="1"/>
  <c r="C21" i="3"/>
  <c r="C22" i="3" s="1"/>
  <c r="EJ77" i="1"/>
  <c r="C23" i="3" s="1"/>
  <c r="D61" i="3"/>
  <c r="D62" i="3" s="1"/>
  <c r="EK101" i="1"/>
  <c r="D63" i="3" s="1"/>
  <c r="H41" i="3"/>
  <c r="EO84" i="1"/>
  <c r="H43" i="3" s="1"/>
  <c r="E41" i="3"/>
  <c r="E42" i="3" s="1"/>
  <c r="EL84" i="1"/>
  <c r="E43" i="3" s="1"/>
  <c r="I51" i="3"/>
  <c r="I52" i="3" s="1"/>
  <c r="EP11" i="1"/>
  <c r="I53" i="3" s="1"/>
  <c r="F61" i="3"/>
  <c r="F62" i="3" s="1"/>
  <c r="EM101" i="1"/>
  <c r="F63" i="3" s="1"/>
  <c r="C41" i="3"/>
  <c r="C42" i="3" s="1"/>
  <c r="EJ84" i="1"/>
  <c r="C43" i="3" s="1"/>
  <c r="DR4" i="1"/>
  <c r="DR12" i="1"/>
  <c r="EQ12" i="1" s="1"/>
  <c r="DR10" i="1"/>
  <c r="EQ10" i="1" s="1"/>
  <c r="I26" i="1"/>
  <c r="ER13" i="1"/>
  <c r="J63" i="3"/>
  <c r="J61" i="3"/>
  <c r="J62" i="3" s="1"/>
  <c r="J58" i="3"/>
  <c r="J56" i="3"/>
  <c r="J57" i="3" s="1"/>
  <c r="J23" i="3"/>
  <c r="J21" i="3"/>
  <c r="J22" i="3" s="1"/>
  <c r="J18" i="3"/>
  <c r="J16" i="3"/>
  <c r="J17" i="3" s="1"/>
  <c r="BL5" i="1"/>
  <c r="DR5" i="1" s="1"/>
  <c r="EQ5" i="1" s="1"/>
  <c r="J43" i="3"/>
  <c r="J41" i="3"/>
  <c r="J42" i="3" s="1"/>
  <c r="BR10" i="1"/>
  <c r="DT10" i="1" s="1"/>
  <c r="ER10" i="1"/>
  <c r="J53" i="3"/>
  <c r="J51" i="3"/>
  <c r="J52" i="3" s="1"/>
  <c r="ER12" i="1"/>
  <c r="H56" i="3"/>
  <c r="H21" i="3"/>
  <c r="I26" i="3"/>
  <c r="I27" i="3" s="1"/>
  <c r="I61" i="3"/>
  <c r="I62" i="3" s="1"/>
  <c r="I21" i="3"/>
  <c r="I22" i="3" s="1"/>
  <c r="H51" i="3"/>
  <c r="H52" i="3" s="1"/>
  <c r="I41" i="3"/>
  <c r="I42" i="3" s="1"/>
  <c r="H16" i="3"/>
  <c r="I46" i="3"/>
  <c r="I47" i="3" s="1"/>
  <c r="H26" i="3"/>
  <c r="H5" i="1"/>
  <c r="H26" i="1"/>
  <c r="G26" i="1"/>
  <c r="H28" i="3"/>
  <c r="H58" i="3"/>
  <c r="H23" i="3"/>
  <c r="G5" i="1"/>
  <c r="DP4" i="1"/>
  <c r="H53" i="3"/>
  <c r="H18" i="3"/>
  <c r="C26" i="1"/>
  <c r="F26" i="1"/>
  <c r="G18" i="3"/>
  <c r="G16" i="3"/>
  <c r="G17" i="3" s="1"/>
  <c r="G28" i="3"/>
  <c r="G26" i="3"/>
  <c r="G27" i="3" s="1"/>
  <c r="G58" i="3"/>
  <c r="G56" i="3"/>
  <c r="G57" i="3" s="1"/>
  <c r="G43" i="3"/>
  <c r="G41" i="3"/>
  <c r="G42" i="3" s="1"/>
  <c r="DO4" i="1"/>
  <c r="G53" i="3"/>
  <c r="G51" i="3"/>
  <c r="G52" i="3" s="1"/>
  <c r="G23" i="3"/>
  <c r="G21" i="3"/>
  <c r="G22" i="3" s="1"/>
  <c r="G63" i="3"/>
  <c r="G61" i="3"/>
  <c r="G62" i="3" s="1"/>
  <c r="E21" i="3"/>
  <c r="E22" i="3" s="1"/>
  <c r="F21" i="3"/>
  <c r="F22" i="3" s="1"/>
  <c r="DL4" i="1"/>
  <c r="C5" i="1"/>
  <c r="DL5" i="1" s="1"/>
  <c r="E5" i="1"/>
  <c r="AZ5" i="1" s="1"/>
  <c r="D5" i="1"/>
  <c r="DM5" i="1" s="1"/>
  <c r="B5" i="1"/>
  <c r="DN4" i="1"/>
  <c r="EM4" i="1" s="1"/>
  <c r="F38" i="3" s="1"/>
  <c r="F42" i="3"/>
  <c r="DM4" i="1"/>
  <c r="C46" i="3"/>
  <c r="C47" i="3" s="1"/>
  <c r="E46" i="3"/>
  <c r="E47" i="3" s="1"/>
  <c r="D46" i="3"/>
  <c r="D47" i="3" s="1"/>
  <c r="F16" i="3"/>
  <c r="F17" i="3" s="1"/>
  <c r="F58" i="3"/>
  <c r="F56" i="3"/>
  <c r="F57" i="3" s="1"/>
  <c r="D51" i="3"/>
  <c r="D52" i="3" s="1"/>
  <c r="F51" i="3"/>
  <c r="F52" i="3" s="1"/>
  <c r="F26" i="3"/>
  <c r="F27" i="3" s="1"/>
  <c r="E16" i="3"/>
  <c r="E17" i="3" s="1"/>
  <c r="E51" i="3"/>
  <c r="E52" i="3" s="1"/>
  <c r="E26" i="3"/>
  <c r="E27" i="3" s="1"/>
  <c r="D26" i="3"/>
  <c r="D27" i="3" s="1"/>
  <c r="D56" i="3"/>
  <c r="D57" i="3" s="1"/>
  <c r="E56" i="3"/>
  <c r="E57" i="3" s="1"/>
  <c r="D16" i="3"/>
  <c r="D17" i="3" s="1"/>
  <c r="C56" i="3"/>
  <c r="C57" i="3" s="1"/>
  <c r="C16" i="3"/>
  <c r="C17" i="3" s="1"/>
  <c r="C51" i="3"/>
  <c r="C52" i="3" s="1"/>
  <c r="C26" i="3"/>
  <c r="C27" i="3" s="1"/>
  <c r="F23" i="3"/>
  <c r="D26" i="1"/>
  <c r="F28" i="3"/>
  <c r="B26" i="1"/>
  <c r="E26" i="1"/>
  <c r="F53" i="3"/>
  <c r="EJ4" i="1"/>
  <c r="C63" i="3"/>
  <c r="F43" i="3"/>
  <c r="P13" i="3" l="1"/>
  <c r="AC1" i="1"/>
  <c r="K3" i="1"/>
  <c r="K99" i="1" s="1"/>
  <c r="L35" i="3"/>
  <c r="L75" i="3" s="1"/>
  <c r="L74" i="3" s="1"/>
  <c r="ES5" i="1"/>
  <c r="L26" i="3"/>
  <c r="L27" i="3" s="1"/>
  <c r="L16" i="3"/>
  <c r="L17" i="3" s="1"/>
  <c r="K28" i="3"/>
  <c r="K16" i="3"/>
  <c r="K17" i="3" s="1"/>
  <c r="K18" i="3"/>
  <c r="ES97" i="1"/>
  <c r="L18" i="3" s="1"/>
  <c r="ET97" i="1"/>
  <c r="M18" i="3" s="1"/>
  <c r="M16" i="3"/>
  <c r="M17" i="3" s="1"/>
  <c r="J3" i="1"/>
  <c r="J99" i="1" s="1"/>
  <c r="J104" i="1" s="1"/>
  <c r="K35" i="3"/>
  <c r="K75" i="3" s="1"/>
  <c r="K74" i="3" s="1"/>
  <c r="DS5" i="1"/>
  <c r="E53" i="3"/>
  <c r="C28" i="3"/>
  <c r="D58" i="3"/>
  <c r="E23" i="3"/>
  <c r="D28" i="3"/>
  <c r="C58" i="3"/>
  <c r="C18" i="3"/>
  <c r="E28" i="3"/>
  <c r="D53" i="3"/>
  <c r="C53" i="3"/>
  <c r="E18" i="3"/>
  <c r="EK4" i="1"/>
  <c r="EL5" i="1"/>
  <c r="EK5" i="1"/>
  <c r="D38" i="3" s="1"/>
  <c r="J28" i="3"/>
  <c r="EW94" i="1"/>
  <c r="J26" i="3"/>
  <c r="J27" i="3" s="1"/>
  <c r="O75" i="3"/>
  <c r="EW93" i="1"/>
  <c r="AE82" i="1"/>
  <c r="AE99" i="1" s="1"/>
  <c r="H47" i="3"/>
  <c r="I99" i="1"/>
  <c r="I104" i="1" s="1"/>
  <c r="BU10" i="1"/>
  <c r="DU10" i="1" s="1"/>
  <c r="M36" i="3" s="1"/>
  <c r="M37" i="3" s="1"/>
  <c r="BU12" i="1"/>
  <c r="DU12" i="1" s="1"/>
  <c r="ES12" i="1"/>
  <c r="BU13" i="1"/>
  <c r="DU13" i="1" s="1"/>
  <c r="ES13" i="1"/>
  <c r="BI5" i="1"/>
  <c r="DQ5" i="1" s="1"/>
  <c r="I35" i="3"/>
  <c r="BF5" i="1"/>
  <c r="DP5" i="1" s="1"/>
  <c r="H35" i="3"/>
  <c r="H3" i="1"/>
  <c r="H99" i="1" s="1"/>
  <c r="H104" i="1" s="1"/>
  <c r="H42" i="3"/>
  <c r="I106" i="3"/>
  <c r="J106" i="3" s="1"/>
  <c r="H17" i="3"/>
  <c r="I105" i="3"/>
  <c r="J105" i="3" s="1"/>
  <c r="H62" i="3"/>
  <c r="I98" i="3"/>
  <c r="J98" i="3" s="1"/>
  <c r="H57" i="3"/>
  <c r="I103" i="3"/>
  <c r="J103" i="3" s="1"/>
  <c r="H27" i="3"/>
  <c r="I102" i="3"/>
  <c r="J102" i="3" s="1"/>
  <c r="H22" i="3"/>
  <c r="I99" i="3"/>
  <c r="J99" i="3" s="1"/>
  <c r="G3" i="1"/>
  <c r="G99" i="1" s="1"/>
  <c r="G104" i="1" s="1"/>
  <c r="C3" i="1"/>
  <c r="C99" i="1" s="1"/>
  <c r="C104" i="1" s="1"/>
  <c r="F3" i="1"/>
  <c r="F99" i="1" s="1"/>
  <c r="F104" i="1" s="1"/>
  <c r="G35" i="3"/>
  <c r="I43" i="3"/>
  <c r="I63" i="3"/>
  <c r="D36" i="3"/>
  <c r="D37" i="3" s="1"/>
  <c r="D35" i="3"/>
  <c r="D75" i="3" s="1"/>
  <c r="F35" i="3"/>
  <c r="E35" i="3"/>
  <c r="C38" i="3"/>
  <c r="E3" i="1"/>
  <c r="E99" i="1" s="1"/>
  <c r="E104" i="1" s="1"/>
  <c r="B3" i="1"/>
  <c r="B99" i="1" s="1"/>
  <c r="B104" i="1" s="1"/>
  <c r="C35" i="3"/>
  <c r="D3" i="1"/>
  <c r="D99" i="1" s="1"/>
  <c r="E36" i="3"/>
  <c r="E37" i="3" s="1"/>
  <c r="EL4" i="1"/>
  <c r="F36" i="3"/>
  <c r="F37" i="3" s="1"/>
  <c r="F18" i="3"/>
  <c r="F67" i="3" s="1"/>
  <c r="D18" i="3"/>
  <c r="Q13" i="3" l="1"/>
  <c r="AF1" i="1"/>
  <c r="M26" i="3"/>
  <c r="M27" i="3" s="1"/>
  <c r="K104" i="1"/>
  <c r="L76" i="3"/>
  <c r="L28" i="3"/>
  <c r="L39" i="3"/>
  <c r="L44" i="3"/>
  <c r="L49" i="3"/>
  <c r="L29" i="3"/>
  <c r="L54" i="3"/>
  <c r="L24" i="3"/>
  <c r="ES10" i="1"/>
  <c r="L36" i="3"/>
  <c r="L37" i="3" s="1"/>
  <c r="K36" i="3"/>
  <c r="K37" i="3" s="1"/>
  <c r="ER5" i="1"/>
  <c r="K38" i="3" s="1"/>
  <c r="K67" i="3" s="1"/>
  <c r="K69" i="3" s="1"/>
  <c r="K70" i="3" s="1"/>
  <c r="E38" i="3"/>
  <c r="E67" i="3" s="1"/>
  <c r="E69" i="3" s="1"/>
  <c r="E70" i="3" s="1"/>
  <c r="C67" i="3"/>
  <c r="C69" i="3" s="1"/>
  <c r="C70" i="3" s="1"/>
  <c r="EX93" i="1"/>
  <c r="O74" i="3"/>
  <c r="P75" i="3"/>
  <c r="P76" i="3" s="1"/>
  <c r="EX94" i="1"/>
  <c r="I36" i="3"/>
  <c r="I37" i="3" s="1"/>
  <c r="EP5" i="1"/>
  <c r="H36" i="3"/>
  <c r="EO5" i="1"/>
  <c r="BX13" i="1"/>
  <c r="ET13" i="1"/>
  <c r="BX12" i="1"/>
  <c r="ET12" i="1"/>
  <c r="BX10" i="1"/>
  <c r="ET10" i="1"/>
  <c r="I23" i="3"/>
  <c r="I28" i="3"/>
  <c r="DQ89" i="1"/>
  <c r="EP89" i="1" s="1"/>
  <c r="H75" i="3"/>
  <c r="D74" i="3"/>
  <c r="D34" i="3" s="1"/>
  <c r="D76" i="3"/>
  <c r="G75" i="3"/>
  <c r="G36" i="3"/>
  <c r="G37" i="3" s="1"/>
  <c r="C75" i="3"/>
  <c r="F75" i="3"/>
  <c r="E75" i="3"/>
  <c r="D67" i="3"/>
  <c r="D71" i="3" s="1"/>
  <c r="D104" i="1"/>
  <c r="F69" i="3"/>
  <c r="F70" i="3" s="1"/>
  <c r="F71" i="3"/>
  <c r="R13" i="3" l="1"/>
  <c r="AG1" i="1"/>
  <c r="M28" i="3"/>
  <c r="O49" i="3"/>
  <c r="O54" i="3"/>
  <c r="O39" i="3"/>
  <c r="O44" i="3"/>
  <c r="O29" i="3"/>
  <c r="O34" i="3"/>
  <c r="DV13" i="1"/>
  <c r="EU13" i="1" s="1"/>
  <c r="DV10" i="1"/>
  <c r="CA12" i="1"/>
  <c r="DW12" i="1" s="1"/>
  <c r="DV12" i="1"/>
  <c r="K71" i="3"/>
  <c r="C71" i="3"/>
  <c r="E71" i="3"/>
  <c r="P74" i="3"/>
  <c r="EY94" i="1"/>
  <c r="O24" i="3"/>
  <c r="O19" i="3"/>
  <c r="Q75" i="3"/>
  <c r="Q76" i="3" s="1"/>
  <c r="EY93" i="1"/>
  <c r="AG82" i="1"/>
  <c r="AG99" i="1" s="1"/>
  <c r="I16" i="3"/>
  <c r="I17" i="3" s="1"/>
  <c r="I18" i="3"/>
  <c r="H37" i="3"/>
  <c r="I104" i="3"/>
  <c r="J104" i="3" s="1"/>
  <c r="H74" i="3"/>
  <c r="H76" i="3"/>
  <c r="D19" i="3"/>
  <c r="D44" i="3"/>
  <c r="D59" i="3"/>
  <c r="D24" i="3"/>
  <c r="D87" i="3"/>
  <c r="D54" i="3"/>
  <c r="D89" i="3"/>
  <c r="D29" i="3"/>
  <c r="D39" i="3"/>
  <c r="D49" i="3"/>
  <c r="E74" i="3"/>
  <c r="E49" i="3" s="1"/>
  <c r="E76" i="3"/>
  <c r="F74" i="3"/>
  <c r="F39" i="3" s="1"/>
  <c r="F76" i="3"/>
  <c r="G74" i="3"/>
  <c r="G44" i="3" s="1"/>
  <c r="G76" i="3"/>
  <c r="C74" i="3"/>
  <c r="C76" i="3"/>
  <c r="D69" i="3"/>
  <c r="D70" i="3" s="1"/>
  <c r="H38" i="3"/>
  <c r="S13" i="3" l="1"/>
  <c r="AH1" i="1"/>
  <c r="N26" i="3"/>
  <c r="N27" i="3" s="1"/>
  <c r="EU12" i="1"/>
  <c r="N28" i="3" s="1"/>
  <c r="EU10" i="1"/>
  <c r="N36" i="3"/>
  <c r="N37" i="3" s="1"/>
  <c r="P49" i="3"/>
  <c r="P54" i="3"/>
  <c r="P39" i="3"/>
  <c r="P44" i="3"/>
  <c r="P29" i="3"/>
  <c r="P34" i="3"/>
  <c r="CD12" i="1"/>
  <c r="CD10" i="1"/>
  <c r="EV10" i="1"/>
  <c r="CD13" i="1"/>
  <c r="EV13" i="1"/>
  <c r="C44" i="3"/>
  <c r="R75" i="3"/>
  <c r="R76" i="3" s="1"/>
  <c r="EZ94" i="1"/>
  <c r="EZ93" i="1"/>
  <c r="AH82" i="1"/>
  <c r="AH99" i="1" s="1"/>
  <c r="Q74" i="3"/>
  <c r="Q29" i="3" s="1"/>
  <c r="P24" i="3"/>
  <c r="P19" i="3"/>
  <c r="H44" i="3"/>
  <c r="H89" i="3"/>
  <c r="H34" i="3"/>
  <c r="H87" i="3"/>
  <c r="H29" i="3"/>
  <c r="H54" i="3"/>
  <c r="H59" i="3"/>
  <c r="H19" i="3"/>
  <c r="H24" i="3"/>
  <c r="H49" i="3"/>
  <c r="H39" i="3"/>
  <c r="E54" i="3"/>
  <c r="E19" i="3"/>
  <c r="E29" i="3"/>
  <c r="E44" i="3"/>
  <c r="E34" i="3"/>
  <c r="E59" i="3"/>
  <c r="E87" i="3"/>
  <c r="E89" i="3"/>
  <c r="G59" i="3"/>
  <c r="G29" i="3"/>
  <c r="G24" i="3"/>
  <c r="E39" i="3"/>
  <c r="G89" i="3"/>
  <c r="E24" i="3"/>
  <c r="G87" i="3"/>
  <c r="G34" i="3"/>
  <c r="F19" i="3"/>
  <c r="F54" i="3"/>
  <c r="F59" i="3"/>
  <c r="F89" i="3"/>
  <c r="F49" i="3"/>
  <c r="F87" i="3"/>
  <c r="F29" i="3"/>
  <c r="F24" i="3"/>
  <c r="F44" i="3"/>
  <c r="F34" i="3"/>
  <c r="G39" i="3"/>
  <c r="C49" i="3"/>
  <c r="C34" i="3"/>
  <c r="G54" i="3"/>
  <c r="G49" i="3"/>
  <c r="G19" i="3"/>
  <c r="C24" i="3"/>
  <c r="C54" i="3"/>
  <c r="C29" i="3"/>
  <c r="C59" i="3"/>
  <c r="C89" i="3"/>
  <c r="C39" i="3"/>
  <c r="C19" i="3"/>
  <c r="C87" i="3"/>
  <c r="H48" i="3"/>
  <c r="T13" i="3" l="1"/>
  <c r="AI1" i="1"/>
  <c r="EV12" i="1"/>
  <c r="O28" i="3" s="1"/>
  <c r="O26" i="3"/>
  <c r="O27" i="3" s="1"/>
  <c r="Q49" i="3"/>
  <c r="Q54" i="3"/>
  <c r="Q39" i="3"/>
  <c r="Q44" i="3"/>
  <c r="Q34" i="3"/>
  <c r="CG13" i="1"/>
  <c r="DX13" i="1"/>
  <c r="EW13" i="1" s="1"/>
  <c r="CG10" i="1"/>
  <c r="DX10" i="1"/>
  <c r="CG12" i="1"/>
  <c r="DX12" i="1"/>
  <c r="S75" i="3"/>
  <c r="S76" i="3" s="1"/>
  <c r="Q19" i="3"/>
  <c r="Q24" i="3"/>
  <c r="FA93" i="1"/>
  <c r="AI82" i="1"/>
  <c r="AI99" i="1" s="1"/>
  <c r="FA94" i="1"/>
  <c r="R74" i="3"/>
  <c r="G48" i="3"/>
  <c r="EO4" i="1"/>
  <c r="AJ1" i="1" l="1"/>
  <c r="U13" i="3"/>
  <c r="P36" i="3"/>
  <c r="P37" i="3" s="1"/>
  <c r="P26" i="3"/>
  <c r="P27" i="3" s="1"/>
  <c r="EW12" i="1"/>
  <c r="P28" i="3" s="1"/>
  <c r="EW10" i="1"/>
  <c r="P38" i="3" s="1"/>
  <c r="R49" i="3"/>
  <c r="R54" i="3"/>
  <c r="R39" i="3"/>
  <c r="R44" i="3"/>
  <c r="R29" i="3"/>
  <c r="R34" i="3"/>
  <c r="CJ12" i="1"/>
  <c r="DY12" i="1"/>
  <c r="CJ10" i="1"/>
  <c r="DY10" i="1"/>
  <c r="Q36" i="3" s="1"/>
  <c r="Q37" i="3" s="1"/>
  <c r="CJ13" i="1"/>
  <c r="DY13" i="1"/>
  <c r="EX13" i="1" s="1"/>
  <c r="S74" i="3"/>
  <c r="R19" i="3"/>
  <c r="R24" i="3"/>
  <c r="T75" i="3"/>
  <c r="T76" i="3" s="1"/>
  <c r="AJ82" i="1"/>
  <c r="AJ99" i="1" s="1"/>
  <c r="FB93" i="1"/>
  <c r="FB94" i="1"/>
  <c r="H67" i="3"/>
  <c r="EN4" i="1"/>
  <c r="G38" i="3" s="1"/>
  <c r="V13" i="3" l="1"/>
  <c r="AK1" i="1"/>
  <c r="Q26" i="3"/>
  <c r="Q27" i="3" s="1"/>
  <c r="P67" i="3"/>
  <c r="EX12" i="1"/>
  <c r="Q28" i="3" s="1"/>
  <c r="EX10" i="1"/>
  <c r="Q38" i="3" s="1"/>
  <c r="S49" i="3"/>
  <c r="S54" i="3"/>
  <c r="S39" i="3"/>
  <c r="S44" i="3"/>
  <c r="S29" i="3"/>
  <c r="S34" i="3"/>
  <c r="CM13" i="1"/>
  <c r="CP13" i="1" s="1"/>
  <c r="DZ13" i="1"/>
  <c r="EY13" i="1" s="1"/>
  <c r="CM10" i="1"/>
  <c r="DZ10" i="1"/>
  <c r="R36" i="3" s="1"/>
  <c r="R37" i="3" s="1"/>
  <c r="CM12" i="1"/>
  <c r="CP12" i="1" s="1"/>
  <c r="DZ12" i="1"/>
  <c r="FC94" i="1"/>
  <c r="AK82" i="1"/>
  <c r="AK99" i="1" s="1"/>
  <c r="FC93" i="1"/>
  <c r="U75" i="3"/>
  <c r="U76" i="3" s="1"/>
  <c r="T74" i="3"/>
  <c r="S24" i="3"/>
  <c r="S19" i="3"/>
  <c r="H71" i="3"/>
  <c r="H69" i="3"/>
  <c r="H70" i="3" s="1"/>
  <c r="G67" i="3"/>
  <c r="G71" i="3" s="1"/>
  <c r="W13" i="3" l="1"/>
  <c r="AL1" i="1"/>
  <c r="R26" i="3"/>
  <c r="R27" i="3" s="1"/>
  <c r="EY12" i="1"/>
  <c r="R28" i="3" s="1"/>
  <c r="Q67" i="3"/>
  <c r="P71" i="3"/>
  <c r="P69" i="3"/>
  <c r="P70" i="3" s="1"/>
  <c r="EY10" i="1"/>
  <c r="R38" i="3" s="1"/>
  <c r="T49" i="3"/>
  <c r="T54" i="3"/>
  <c r="T39" i="3"/>
  <c r="T44" i="3"/>
  <c r="T29" i="3"/>
  <c r="T34" i="3"/>
  <c r="EA12" i="1"/>
  <c r="CP10" i="1"/>
  <c r="EA10" i="1"/>
  <c r="EA13" i="1"/>
  <c r="EZ13" i="1" s="1"/>
  <c r="V75" i="3"/>
  <c r="V76" i="3" s="1"/>
  <c r="AL82" i="1"/>
  <c r="AL99" i="1" s="1"/>
  <c r="FD94" i="1"/>
  <c r="T19" i="3"/>
  <c r="T24" i="3"/>
  <c r="U74" i="3"/>
  <c r="G69" i="3"/>
  <c r="G70" i="3" s="1"/>
  <c r="S26" i="3" l="1"/>
  <c r="S27" i="3" s="1"/>
  <c r="X13" i="3"/>
  <c r="AM1" i="1"/>
  <c r="S36" i="3"/>
  <c r="S37" i="3" s="1"/>
  <c r="Q71" i="3"/>
  <c r="Q69" i="3"/>
  <c r="Q70" i="3" s="1"/>
  <c r="R67" i="3"/>
  <c r="U49" i="3"/>
  <c r="U54" i="3"/>
  <c r="U39" i="3"/>
  <c r="U44" i="3"/>
  <c r="U29" i="3"/>
  <c r="U34" i="3"/>
  <c r="CS13" i="1"/>
  <c r="EB13" i="1"/>
  <c r="FA13" i="1" s="1"/>
  <c r="CS10" i="1"/>
  <c r="EB10" i="1"/>
  <c r="CS12" i="1"/>
  <c r="EB12" i="1"/>
  <c r="EZ10" i="1"/>
  <c r="S38" i="3" s="1"/>
  <c r="FD93" i="1"/>
  <c r="EZ12" i="1"/>
  <c r="S28" i="3" s="1"/>
  <c r="W75" i="3"/>
  <c r="W76" i="3" s="1"/>
  <c r="AM82" i="1"/>
  <c r="AM99" i="1" s="1"/>
  <c r="FE94" i="1"/>
  <c r="V74" i="3"/>
  <c r="U19" i="3"/>
  <c r="U24" i="3"/>
  <c r="ES9" i="1"/>
  <c r="L38" i="3" s="1"/>
  <c r="ES8" i="1"/>
  <c r="L48" i="3" s="1"/>
  <c r="ET8" i="1"/>
  <c r="M48" i="3" s="1"/>
  <c r="EU8" i="1"/>
  <c r="N48" i="3" s="1"/>
  <c r="J45" i="3"/>
  <c r="Y13" i="3" l="1"/>
  <c r="AN1" i="1"/>
  <c r="Z13" i="3" s="1"/>
  <c r="S67" i="3"/>
  <c r="S69" i="3" s="1"/>
  <c r="S70" i="3" s="1"/>
  <c r="R69" i="3"/>
  <c r="R70" i="3" s="1"/>
  <c r="R71" i="3"/>
  <c r="T26" i="3"/>
  <c r="T27" i="3" s="1"/>
  <c r="T36" i="3"/>
  <c r="T37" i="3" s="1"/>
  <c r="V49" i="3"/>
  <c r="V54" i="3"/>
  <c r="V39" i="3"/>
  <c r="V44" i="3"/>
  <c r="V29" i="3"/>
  <c r="V34" i="3"/>
  <c r="CV12" i="1"/>
  <c r="EC12" i="1"/>
  <c r="CV10" i="1"/>
  <c r="EC10" i="1"/>
  <c r="CV13" i="1"/>
  <c r="EC13" i="1"/>
  <c r="FB13" i="1" s="1"/>
  <c r="X75" i="3"/>
  <c r="X76" i="3" s="1"/>
  <c r="W74" i="3"/>
  <c r="FF94" i="1"/>
  <c r="FE93" i="1"/>
  <c r="V24" i="3"/>
  <c r="V19" i="3"/>
  <c r="AN82" i="1"/>
  <c r="AN99" i="1" s="1"/>
  <c r="N94" i="14" s="1"/>
  <c r="FA10" i="1"/>
  <c r="T38" i="3" s="1"/>
  <c r="FA12" i="1"/>
  <c r="T28" i="3" s="1"/>
  <c r="I48" i="3"/>
  <c r="ET9" i="1"/>
  <c r="M38" i="3" s="1"/>
  <c r="M75" i="3"/>
  <c r="M76" i="3" s="1"/>
  <c r="J48" i="3"/>
  <c r="J46" i="3"/>
  <c r="J47" i="3" s="1"/>
  <c r="EQ4" i="1"/>
  <c r="N95" i="14" l="1"/>
  <c r="P94" i="14"/>
  <c r="Z76" i="3"/>
  <c r="T67" i="3"/>
  <c r="T69" i="3" s="1"/>
  <c r="T70" i="3" s="1"/>
  <c r="S71" i="3"/>
  <c r="U36" i="3"/>
  <c r="U37" i="3" s="1"/>
  <c r="U26" i="3"/>
  <c r="U27" i="3" s="1"/>
  <c r="W49" i="3"/>
  <c r="W54" i="3"/>
  <c r="W39" i="3"/>
  <c r="W44" i="3"/>
  <c r="W29" i="3"/>
  <c r="W34" i="3"/>
  <c r="CY13" i="1"/>
  <c r="ED13" i="1"/>
  <c r="FC13" i="1" s="1"/>
  <c r="CY10" i="1"/>
  <c r="ED10" i="1"/>
  <c r="CY12" i="1"/>
  <c r="ED12" i="1"/>
  <c r="FG94" i="1"/>
  <c r="W24" i="3"/>
  <c r="W19" i="3"/>
  <c r="Y75" i="3"/>
  <c r="Y76" i="3" s="1"/>
  <c r="X74" i="3"/>
  <c r="FF93" i="1"/>
  <c r="FB12" i="1"/>
  <c r="U28" i="3" s="1"/>
  <c r="FB10" i="1"/>
  <c r="U38" i="3" s="1"/>
  <c r="J35" i="3"/>
  <c r="J75" i="3" s="1"/>
  <c r="ET4" i="1"/>
  <c r="EU9" i="1"/>
  <c r="N38" i="3" s="1"/>
  <c r="N67" i="3" s="1"/>
  <c r="N69" i="3" s="1"/>
  <c r="M74" i="3"/>
  <c r="T71" i="3" l="1"/>
  <c r="U67" i="3"/>
  <c r="U71" i="3" s="1"/>
  <c r="V26" i="3"/>
  <c r="V27" i="3" s="1"/>
  <c r="V36" i="3"/>
  <c r="V37" i="3" s="1"/>
  <c r="X49" i="3"/>
  <c r="X54" i="3"/>
  <c r="M49" i="3"/>
  <c r="M54" i="3"/>
  <c r="M39" i="3"/>
  <c r="M44" i="3"/>
  <c r="X39" i="3"/>
  <c r="X44" i="3"/>
  <c r="M29" i="3"/>
  <c r="M34" i="3"/>
  <c r="X29" i="3"/>
  <c r="X34" i="3"/>
  <c r="EE12" i="1"/>
  <c r="DB12" i="1"/>
  <c r="EE10" i="1"/>
  <c r="DB10" i="1"/>
  <c r="EE13" i="1"/>
  <c r="FD13" i="1" s="1"/>
  <c r="DB13" i="1"/>
  <c r="FC10" i="1"/>
  <c r="V38" i="3" s="1"/>
  <c r="FG93" i="1"/>
  <c r="Y74" i="3"/>
  <c r="FC12" i="1"/>
  <c r="V28" i="3" s="1"/>
  <c r="X24" i="3"/>
  <c r="X19" i="3"/>
  <c r="S9" i="13"/>
  <c r="S14" i="13"/>
  <c r="J76" i="3"/>
  <c r="M59" i="3"/>
  <c r="M67" i="3"/>
  <c r="M71" i="3" s="1"/>
  <c r="J74" i="3"/>
  <c r="J59" i="3" s="1"/>
  <c r="J38" i="3"/>
  <c r="J67" i="3" s="1"/>
  <c r="J36" i="3"/>
  <c r="J37" i="3" s="1"/>
  <c r="ES4" i="1"/>
  <c r="L67" i="3" s="1"/>
  <c r="I38" i="3"/>
  <c r="V67" i="3" l="1"/>
  <c r="V71" i="3" s="1"/>
  <c r="U69" i="3"/>
  <c r="U70" i="3" s="1"/>
  <c r="W36" i="3"/>
  <c r="W37" i="3" s="1"/>
  <c r="W26" i="3"/>
  <c r="W27" i="3" s="1"/>
  <c r="Y49" i="3"/>
  <c r="Y54" i="3"/>
  <c r="Y39" i="3"/>
  <c r="Y44" i="3"/>
  <c r="Y29" i="3"/>
  <c r="Y34" i="3"/>
  <c r="EF13" i="1"/>
  <c r="FE13" i="1" s="1"/>
  <c r="DE13" i="1"/>
  <c r="EF10" i="1"/>
  <c r="DE10" i="1"/>
  <c r="FD10" i="1"/>
  <c r="W38" i="3" s="1"/>
  <c r="EF12" i="1"/>
  <c r="DE12" i="1"/>
  <c r="FD12" i="1"/>
  <c r="W28" i="3" s="1"/>
  <c r="Y24" i="3"/>
  <c r="Y19" i="3"/>
  <c r="R8" i="13"/>
  <c r="S8" i="13" s="1"/>
  <c r="J34" i="3"/>
  <c r="J39" i="3"/>
  <c r="M24" i="3"/>
  <c r="M87" i="3"/>
  <c r="M89" i="3"/>
  <c r="M19" i="3"/>
  <c r="L59" i="3"/>
  <c r="M69" i="3"/>
  <c r="M70" i="3" s="1"/>
  <c r="L71" i="3"/>
  <c r="L69" i="3"/>
  <c r="L70" i="3" s="1"/>
  <c r="J71" i="3"/>
  <c r="J69" i="3"/>
  <c r="J70" i="3" s="1"/>
  <c r="J87" i="3"/>
  <c r="J89" i="3"/>
  <c r="J19" i="3"/>
  <c r="J44" i="3"/>
  <c r="J24" i="3"/>
  <c r="J29" i="3"/>
  <c r="J54" i="3"/>
  <c r="J49" i="3"/>
  <c r="W67" i="3" l="1"/>
  <c r="W71" i="3" s="1"/>
  <c r="V69" i="3"/>
  <c r="V70" i="3" s="1"/>
  <c r="X26" i="3"/>
  <c r="X27" i="3" s="1"/>
  <c r="X36" i="3"/>
  <c r="X37" i="3" s="1"/>
  <c r="EG12" i="1"/>
  <c r="DH12" i="1"/>
  <c r="EH12" i="1" s="1"/>
  <c r="FE12" i="1"/>
  <c r="X28" i="3" s="1"/>
  <c r="EG10" i="1"/>
  <c r="DH10" i="1"/>
  <c r="EH10" i="1" s="1"/>
  <c r="FE10" i="1"/>
  <c r="X38" i="3" s="1"/>
  <c r="EG13" i="1"/>
  <c r="FF13" i="1" s="1"/>
  <c r="DH13" i="1"/>
  <c r="B8" i="13"/>
  <c r="L34" i="3"/>
  <c r="ER4" i="1"/>
  <c r="L87" i="3"/>
  <c r="L19" i="3"/>
  <c r="L89" i="3"/>
  <c r="I75" i="3"/>
  <c r="EP4" i="1"/>
  <c r="I67" i="3" s="1"/>
  <c r="W69" i="3" l="1"/>
  <c r="W70" i="3" s="1"/>
  <c r="X67" i="3"/>
  <c r="X71" i="3" s="1"/>
  <c r="Y26" i="3"/>
  <c r="Y27" i="3" s="1"/>
  <c r="Z36" i="3"/>
  <c r="Z37" i="3" s="1"/>
  <c r="Y36" i="3"/>
  <c r="Y37" i="3" s="1"/>
  <c r="EH13" i="1"/>
  <c r="FG13" i="1" s="1"/>
  <c r="FG10" i="1"/>
  <c r="Z38" i="3" s="1"/>
  <c r="FF10" i="1"/>
  <c r="Y38" i="3" s="1"/>
  <c r="FG12" i="1"/>
  <c r="FF12" i="1"/>
  <c r="Y28" i="3" s="1"/>
  <c r="I76" i="3"/>
  <c r="I74" i="3"/>
  <c r="I71" i="3"/>
  <c r="I69" i="3"/>
  <c r="I70" i="3" s="1"/>
  <c r="Z28" i="3" l="1"/>
  <c r="Z67" i="3" s="1"/>
  <c r="Z71" i="3" s="1"/>
  <c r="Y67" i="3"/>
  <c r="Y69" i="3" s="1"/>
  <c r="Y70" i="3" s="1"/>
  <c r="X69" i="3"/>
  <c r="X70" i="3" s="1"/>
  <c r="Z26" i="3"/>
  <c r="Z27" i="3" s="1"/>
  <c r="I34" i="3"/>
  <c r="I39" i="3"/>
  <c r="I19" i="3"/>
  <c r="I49" i="3"/>
  <c r="I24" i="3"/>
  <c r="I54" i="3"/>
  <c r="I29" i="3"/>
  <c r="I59" i="3"/>
  <c r="I44" i="3"/>
  <c r="I87" i="3"/>
  <c r="I89" i="3"/>
  <c r="Y71" i="3" l="1"/>
  <c r="Z69" i="3"/>
  <c r="Z70" i="3" s="1"/>
  <c r="K76" i="3"/>
  <c r="K59" i="3"/>
  <c r="K49" i="3"/>
  <c r="K54" i="3"/>
  <c r="K39" i="3"/>
  <c r="K44" i="3"/>
  <c r="K24" i="3"/>
  <c r="K29" i="3"/>
  <c r="K34" i="3"/>
  <c r="K19" i="3"/>
  <c r="K89" i="3" l="1"/>
  <c r="K87" i="3"/>
  <c r="V1" i="11" l="1"/>
  <c r="W1" i="11" s="1"/>
  <c r="X1" i="11" s="1"/>
  <c r="Y1" i="11" s="1"/>
  <c r="Z1" i="11" s="1"/>
  <c r="AA1" i="11" s="1"/>
  <c r="AB1" i="11" s="1"/>
  <c r="AC1" i="11" s="1"/>
  <c r="AD1" i="11" s="1"/>
  <c r="AE1" i="11" s="1"/>
  <c r="AF1" i="11" s="1"/>
  <c r="M7" i="11" l="1"/>
  <c r="M3" i="11" l="1"/>
  <c r="M18" i="11" s="1"/>
  <c r="O36" i="3" l="1"/>
  <c r="O37" i="3" s="1"/>
  <c r="EV4" i="1" l="1"/>
  <c r="O38" i="3" s="1"/>
  <c r="O67" i="3" s="1"/>
  <c r="O71" i="3" l="1"/>
  <c r="O69" i="3"/>
  <c r="O70" i="3" s="1"/>
  <c r="N75" i="3"/>
  <c r="N76" i="3" s="1"/>
  <c r="O76" i="3"/>
  <c r="EU4" i="1"/>
  <c r="N70" i="3" l="1"/>
  <c r="N71" i="3"/>
  <c r="AA67" i="3"/>
  <c r="D3" i="13"/>
  <c r="E3" i="13" s="1"/>
  <c r="R20" i="13"/>
  <c r="S20" i="13" s="1"/>
  <c r="N74" i="3"/>
  <c r="N66" i="3" l="1"/>
  <c r="P66" i="3"/>
  <c r="Q66" i="3"/>
  <c r="R66" i="3"/>
  <c r="O66" i="3"/>
  <c r="T66" i="3"/>
  <c r="V66" i="3"/>
  <c r="U66" i="3"/>
  <c r="Y66" i="3"/>
  <c r="S66" i="3"/>
  <c r="W66" i="3"/>
  <c r="X66" i="3"/>
  <c r="Z66" i="3"/>
  <c r="N49" i="3"/>
  <c r="N54" i="3"/>
  <c r="N39" i="3"/>
  <c r="N44" i="3"/>
  <c r="N29" i="3"/>
  <c r="N34" i="3"/>
  <c r="D10" i="13"/>
  <c r="D8" i="13"/>
  <c r="E8" i="13" s="1"/>
  <c r="K66" i="3"/>
  <c r="D66" i="3"/>
  <c r="F66" i="3"/>
  <c r="E66" i="3"/>
  <c r="M66" i="3"/>
  <c r="L66" i="3"/>
  <c r="J66" i="3"/>
  <c r="I66" i="3"/>
  <c r="G66" i="3"/>
  <c r="H66" i="3"/>
  <c r="C66" i="3"/>
  <c r="N59" i="3"/>
  <c r="N19" i="3"/>
  <c r="N24" i="3"/>
  <c r="N89" i="3"/>
  <c r="N87" i="3"/>
  <c r="M5" i="1" l="1"/>
  <c r="M3" i="1" l="1"/>
  <c r="M99" i="1" s="1"/>
  <c r="B113" i="1"/>
  <c r="AC9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Christine Williams</author>
  </authors>
  <commentList>
    <comment ref="G8" authorId="0" shapeId="0" xr:uid="{AF0B08B6-1C4B-4BD9-8598-B46FE71558E8}">
      <text>
        <r>
          <rPr>
            <b/>
            <sz val="9"/>
            <color indexed="81"/>
            <rFont val="Tahoma"/>
            <family val="2"/>
          </rPr>
          <t>Christine Williams:</t>
        </r>
        <r>
          <rPr>
            <sz val="9"/>
            <color indexed="81"/>
            <rFont val="Tahoma"/>
            <family val="2"/>
          </rPr>
          <t xml:space="preserve">
Memorial Day</t>
        </r>
      </text>
    </comment>
    <comment ref="I8" authorId="0" shapeId="0" xr:uid="{313FCE8F-5B53-4FCC-A5B0-73C5ACE9DEF1}">
      <text>
        <r>
          <rPr>
            <b/>
            <sz val="9"/>
            <color indexed="81"/>
            <rFont val="Tahoma"/>
            <family val="2"/>
          </rPr>
          <t>Christine Williams:</t>
        </r>
        <r>
          <rPr>
            <sz val="9"/>
            <color indexed="81"/>
            <rFont val="Tahoma"/>
            <family val="2"/>
          </rPr>
          <t xml:space="preserve">
July 4th
</t>
        </r>
      </text>
    </comment>
    <comment ref="K8" authorId="0" shapeId="0" xr:uid="{A359197A-DCCA-4CAB-9D74-FE97E613A3E0}">
      <text>
        <r>
          <rPr>
            <b/>
            <sz val="9"/>
            <color indexed="81"/>
            <rFont val="Tahoma"/>
            <family val="2"/>
          </rPr>
          <t>Christine Williams:</t>
        </r>
        <r>
          <rPr>
            <sz val="9"/>
            <color indexed="81"/>
            <rFont val="Tahoma"/>
            <family val="2"/>
          </rPr>
          <t xml:space="preserve">
Labor Day</t>
        </r>
      </text>
    </comment>
    <comment ref="M8" authorId="0" shapeId="0" xr:uid="{C6D6620A-AF63-4301-B8E6-F8D4C16A378B}">
      <text>
        <r>
          <rPr>
            <b/>
            <sz val="9"/>
            <color indexed="81"/>
            <rFont val="Tahoma"/>
            <family val="2"/>
          </rPr>
          <t>Christine Williams:</t>
        </r>
        <r>
          <rPr>
            <sz val="9"/>
            <color indexed="81"/>
            <rFont val="Tahoma"/>
            <family val="2"/>
          </rPr>
          <t xml:space="preserve">
Tgiving a week down</t>
        </r>
      </text>
    </comment>
    <comment ref="N8" authorId="0" shapeId="0" xr:uid="{F3C08922-6F61-46C7-8D1A-F5E689516D95}">
      <text>
        <r>
          <rPr>
            <b/>
            <sz val="9"/>
            <color indexed="81"/>
            <rFont val="Tahoma"/>
            <family val="2"/>
          </rPr>
          <t>Christine Williams:</t>
        </r>
        <r>
          <rPr>
            <sz val="9"/>
            <color indexed="81"/>
            <rFont val="Tahoma"/>
            <family val="2"/>
          </rPr>
          <t xml:space="preserve">
Xmas 24-31 down
</t>
        </r>
      </text>
    </comment>
    <comment ref="G10" authorId="0" shapeId="0" xr:uid="{C9D6DE93-19B1-45CF-8145-968018159F1C}">
      <text>
        <r>
          <rPr>
            <b/>
            <sz val="9"/>
            <color indexed="81"/>
            <rFont val="Tahoma"/>
            <family val="2"/>
          </rPr>
          <t>Christine Williams:</t>
        </r>
        <r>
          <rPr>
            <sz val="9"/>
            <color indexed="81"/>
            <rFont val="Tahoma"/>
            <family val="2"/>
          </rPr>
          <t xml:space="preserve">
No Mother's Day and Memorial Day weekend</t>
        </r>
      </text>
    </comment>
    <comment ref="H10" authorId="0" shapeId="0" xr:uid="{E140CF71-0071-4046-BC44-47E87106AEF2}">
      <text>
        <r>
          <rPr>
            <b/>
            <sz val="9"/>
            <color indexed="81"/>
            <rFont val="Tahoma"/>
            <family val="2"/>
          </rPr>
          <t>Christine Williams:</t>
        </r>
        <r>
          <rPr>
            <sz val="9"/>
            <color indexed="81"/>
            <rFont val="Tahoma"/>
            <family val="2"/>
          </rPr>
          <t xml:space="preserve">
NO Fathers Day
</t>
        </r>
      </text>
    </comment>
    <comment ref="L16" authorId="0" shapeId="0" xr:uid="{42A97C9C-B4D9-4D1A-9D0C-686DDE2876EE}">
      <text>
        <r>
          <rPr>
            <b/>
            <sz val="9"/>
            <color indexed="81"/>
            <rFont val="Tahoma"/>
            <family val="2"/>
          </rPr>
          <t>Christine Williams:</t>
        </r>
        <r>
          <rPr>
            <sz val="9"/>
            <color indexed="81"/>
            <rFont val="Tahoma"/>
            <family val="2"/>
          </rPr>
          <t xml:space="preserve">
Did not run 10/3-10/6 USDA Release
</t>
        </r>
      </text>
    </comment>
    <comment ref="N27" authorId="0" shapeId="0" xr:uid="{E6DCA0AB-494A-419F-AC32-9E6F7EF0746E}">
      <text>
        <r>
          <rPr>
            <b/>
            <sz val="9"/>
            <color indexed="81"/>
            <rFont val="Tahoma"/>
            <family val="2"/>
          </rPr>
          <t>Christine Williams:</t>
        </r>
        <r>
          <rPr>
            <sz val="9"/>
            <color indexed="81"/>
            <rFont val="Tahoma"/>
            <family val="2"/>
          </rPr>
          <t xml:space="preserve">
25</t>
        </r>
      </text>
    </comment>
    <comment ref="L36" authorId="0" shapeId="0" xr:uid="{05101264-7F3B-497D-B55E-7A8B03FB5BF2}">
      <text>
        <r>
          <rPr>
            <b/>
            <sz val="9"/>
            <color indexed="81"/>
            <rFont val="Tahoma"/>
            <family val="2"/>
          </rPr>
          <t>Christine Williams:</t>
        </r>
        <r>
          <rPr>
            <sz val="9"/>
            <color indexed="81"/>
            <rFont val="Tahoma"/>
            <family val="2"/>
          </rPr>
          <t xml:space="preserve">
Ran MRE 18 days shared NS</t>
        </r>
      </text>
    </comment>
    <comment ref="N37" authorId="0" shapeId="0" xr:uid="{D2B7A440-31F6-4E26-98C2-F61C679EACCD}">
      <text>
        <r>
          <rPr>
            <b/>
            <sz val="9"/>
            <color indexed="81"/>
            <rFont val="Tahoma"/>
            <family val="2"/>
          </rPr>
          <t>Christine Williams:</t>
        </r>
        <r>
          <rPr>
            <sz val="9"/>
            <color indexed="81"/>
            <rFont val="Tahoma"/>
            <family val="2"/>
          </rPr>
          <t xml:space="preserve">
29/30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<sst xmlns="http://schemas.openxmlformats.org/spreadsheetml/2006/main" count="23526" uniqueCount="5123">
  <si>
    <t>S&amp;OP 2025</t>
  </si>
  <si>
    <t>Government</t>
  </si>
  <si>
    <t>MRE Base</t>
  </si>
  <si>
    <t>RNC Fruit</t>
  </si>
  <si>
    <t>Emergency drinking water</t>
  </si>
  <si>
    <t>Poly Trays</t>
  </si>
  <si>
    <t>SDR</t>
  </si>
  <si>
    <t>aPack</t>
  </si>
  <si>
    <t>Rehydration Water Pouch</t>
  </si>
  <si>
    <t>Luxfer Heater Meals</t>
  </si>
  <si>
    <t>USDA</t>
  </si>
  <si>
    <t>USDA Chicken</t>
  </si>
  <si>
    <t>USDA Beef Stew</t>
  </si>
  <si>
    <t>USDA Chili with Beans</t>
  </si>
  <si>
    <t>USDA Chili No Bean</t>
  </si>
  <si>
    <t>Institutional Nutrition</t>
  </si>
  <si>
    <t>2.6 oz</t>
  </si>
  <si>
    <t xml:space="preserve">            (85129) FLB/DT WHITE CHICKEN</t>
  </si>
  <si>
    <t xml:space="preserve">            (85131) FLB CHICKEN SALAD</t>
  </si>
  <si>
    <t xml:space="preserve">            (85132) FLB BUFFALO CHICKEN</t>
  </si>
  <si>
    <t>4.5 OZ</t>
  </si>
  <si>
    <t xml:space="preserve">            (85134) FLB CHICKEN</t>
  </si>
  <si>
    <t xml:space="preserve">            (85138) FLB BUFFALO STYLE CHICKEN</t>
  </si>
  <si>
    <t xml:space="preserve">            (85206) FLB CHICKEN SALAD</t>
  </si>
  <si>
    <t xml:space="preserve">            (85207) FLB BBQ  WHITE CHICKEN</t>
  </si>
  <si>
    <t xml:space="preserve">            (85208) FLB BBQ SAUCE W/BEEF</t>
  </si>
  <si>
    <t>8 OZ</t>
  </si>
  <si>
    <t xml:space="preserve">            (85120) FLB SPAGHETTI W/MEAT SAUCE</t>
  </si>
  <si>
    <t xml:space="preserve">            (85125) FLB PASTA &amp; VEG</t>
  </si>
  <si>
    <t xml:space="preserve">            (85127) FLB SOUTHW CHIX W/RICE &amp; BEANS</t>
  </si>
  <si>
    <t xml:space="preserve">            (85205) FLB WHITE CHICKEN CHILI</t>
  </si>
  <si>
    <t xml:space="preserve">            (85215) FLB CHILI W/BEANS</t>
  </si>
  <si>
    <t>7 OZ</t>
  </si>
  <si>
    <t xml:space="preserve">            (85211) FLB BEEF STEW</t>
  </si>
  <si>
    <t xml:space="preserve">            (85212) FLB SPAGHETTI IN TOMATO SAUCE</t>
  </si>
  <si>
    <t xml:space="preserve">            (85213) FLB CHEESY MAC</t>
  </si>
  <si>
    <t xml:space="preserve">            (85216) FLB PIZZA MAC</t>
  </si>
  <si>
    <t>10 OZ</t>
  </si>
  <si>
    <t xml:space="preserve">            (85126H) HALAL CHICKEN</t>
  </si>
  <si>
    <t xml:space="preserve">            (85204) FLB CHICKEN</t>
  </si>
  <si>
    <t>CHILI/STEW 15/24 OZ</t>
  </si>
  <si>
    <t xml:space="preserve">            (85210) FLB CHILI W/BEANS</t>
  </si>
  <si>
    <t xml:space="preserve">            (85217) FLB BEEF STEW</t>
  </si>
  <si>
    <t>SOUP</t>
  </si>
  <si>
    <t xml:space="preserve">            (85200) TOMATO SOUP</t>
  </si>
  <si>
    <t xml:space="preserve">            (85201) CREAM OF MUSHROOM SOUP</t>
  </si>
  <si>
    <t xml:space="preserve">            (85202) VEGETABLE SOUP</t>
  </si>
  <si>
    <t xml:space="preserve">            (85203) CHICKEN NOODLE SOUP</t>
  </si>
  <si>
    <t>TRAYS</t>
  </si>
  <si>
    <t xml:space="preserve">            (98000-24) FLB CHEESY MAC 7.0 TRAY</t>
  </si>
  <si>
    <t xml:space="preserve">            (98001-24) FLB JAMBALYA 7.0 TRAY</t>
  </si>
  <si>
    <t xml:space="preserve">            (98002-24) FLB PASTA FAGIOLI 7.0 OZ. TRAY</t>
  </si>
  <si>
    <t xml:space="preserve">            (98003-24) FLB SOUTHWEST BOWL 7.0 TRAY</t>
  </si>
  <si>
    <t>Spouted Pouches</t>
  </si>
  <si>
    <t>Beechnut</t>
  </si>
  <si>
    <t>Hain Celestial</t>
  </si>
  <si>
    <t>Serenity</t>
  </si>
  <si>
    <t>SunMaid</t>
  </si>
  <si>
    <t>Commercial Pouch</t>
  </si>
  <si>
    <t>Cauli Rice</t>
  </si>
  <si>
    <t>My Own Meals</t>
  </si>
  <si>
    <t>Nutri System</t>
  </si>
  <si>
    <t>Spammy</t>
  </si>
  <si>
    <t>Starkist Beef</t>
  </si>
  <si>
    <t>Starkist Creations</t>
  </si>
  <si>
    <t>Starkist WHITE</t>
  </si>
  <si>
    <t>Union Supply</t>
  </si>
  <si>
    <t>Total Retorted Units</t>
  </si>
  <si>
    <t>June</t>
  </si>
  <si>
    <t>July</t>
  </si>
  <si>
    <t>Aug</t>
  </si>
  <si>
    <t>Sept</t>
  </si>
  <si>
    <t>Machine</t>
  </si>
  <si>
    <t>PT3</t>
  </si>
  <si>
    <t>W3</t>
  </si>
  <si>
    <t>Throughput</t>
  </si>
  <si>
    <t>Retorts</t>
  </si>
  <si>
    <t>W2</t>
  </si>
  <si>
    <t>Y4S/Y5</t>
  </si>
  <si>
    <t>Y4N</t>
  </si>
  <si>
    <t>Days</t>
  </si>
  <si>
    <t>UGRA</t>
  </si>
  <si>
    <t>April</t>
  </si>
  <si>
    <t>May</t>
  </si>
  <si>
    <t>85134</t>
  </si>
  <si>
    <t>85211</t>
  </si>
  <si>
    <t>85205-48</t>
  </si>
  <si>
    <t>85213</t>
  </si>
  <si>
    <t>517660</t>
  </si>
  <si>
    <t>520860</t>
  </si>
  <si>
    <t>520880</t>
  </si>
  <si>
    <t>522260</t>
  </si>
  <si>
    <t>517700</t>
  </si>
  <si>
    <t>S6/S7</t>
  </si>
  <si>
    <t>MRE</t>
  </si>
  <si>
    <t>SER</t>
  </si>
  <si>
    <t>USU</t>
  </si>
  <si>
    <t>85213-24</t>
  </si>
  <si>
    <t>UGR</t>
  </si>
  <si>
    <t>HCL</t>
  </si>
  <si>
    <t>85210-12</t>
  </si>
  <si>
    <t>FRU</t>
  </si>
  <si>
    <t>85211-24</t>
  </si>
  <si>
    <t>85205-24</t>
  </si>
  <si>
    <t>220125</t>
  </si>
  <si>
    <t>85203</t>
  </si>
  <si>
    <t>85215-24</t>
  </si>
  <si>
    <t>85202</t>
  </si>
  <si>
    <t>APC</t>
  </si>
  <si>
    <t>85200</t>
  </si>
  <si>
    <t>85212-24</t>
  </si>
  <si>
    <t>BCH</t>
  </si>
  <si>
    <t>85125-24</t>
  </si>
  <si>
    <t>CF001</t>
  </si>
  <si>
    <t>CF002</t>
  </si>
  <si>
    <t>CF003</t>
  </si>
  <si>
    <t>85204</t>
  </si>
  <si>
    <t>POL</t>
  </si>
  <si>
    <t>220133</t>
  </si>
  <si>
    <t>520900</t>
  </si>
  <si>
    <t>85127-24</t>
  </si>
  <si>
    <t>85201</t>
  </si>
  <si>
    <t>85206</t>
  </si>
  <si>
    <t>85207</t>
  </si>
  <si>
    <t>HML</t>
  </si>
  <si>
    <t>NUT</t>
  </si>
  <si>
    <t>85120-24</t>
  </si>
  <si>
    <t>517640</t>
  </si>
  <si>
    <t>522280</t>
  </si>
  <si>
    <t>85138</t>
  </si>
  <si>
    <t>SGC</t>
  </si>
  <si>
    <t>Oct</t>
  </si>
  <si>
    <t>Nov</t>
  </si>
  <si>
    <t>Dec</t>
  </si>
  <si>
    <t>Foods</t>
  </si>
  <si>
    <t>Repack</t>
  </si>
  <si>
    <t>Duplicates</t>
  </si>
  <si>
    <t>Packaging</t>
  </si>
  <si>
    <t>(All) All</t>
  </si>
  <si>
    <t>All</t>
  </si>
  <si>
    <t>(85134T) FLB CHICKEN REPACK 24-4.5 OZ</t>
  </si>
  <si>
    <t xml:space="preserve">            (85134G) FLB CHICKEN 24-4.5 OZ</t>
  </si>
  <si>
    <t xml:space="preserve">            (85134) FLB CHICKEN 48-4.5 OZ</t>
  </si>
  <si>
    <t>(8034) GOODERS - CHED OVER HEELS</t>
  </si>
  <si>
    <t>8034</t>
  </si>
  <si>
    <t>(APACK) APACK</t>
  </si>
  <si>
    <t>(85207T-24) FLB BBQ WHITE CHICKEN 4.5 OZ REPACK</t>
  </si>
  <si>
    <t xml:space="preserve">            (REDOA1ZCD) RED GOLD BARBECUE SAUCE WP</t>
  </si>
  <si>
    <t xml:space="preserve">            (REDOA1Z) RED GOLD BARBECUE SAUCE</t>
  </si>
  <si>
    <t>(8035) GOODERS - SHELL WE DANCE</t>
  </si>
  <si>
    <t>8035</t>
  </si>
  <si>
    <t>(CAMP) CAMP</t>
  </si>
  <si>
    <t>Campbells</t>
  </si>
  <si>
    <t>CMP</t>
  </si>
  <si>
    <t>(85125T-24) FLB PASTA W/GARDEN VEG 24-8oz</t>
  </si>
  <si>
    <t xml:space="preserve">            (LOGLA1ZCD) LJS COCKTAIL SAUCE WW PALLET</t>
  </si>
  <si>
    <t>(8036) GOODERS - QUESO TELL ME MORE</t>
  </si>
  <si>
    <t>8036</t>
  </si>
  <si>
    <t>(CAULI) CAULI RICE</t>
  </si>
  <si>
    <t>CAU</t>
  </si>
  <si>
    <t>(85127T-24) SOUTHWEST CHIX CHILI 24 CT REPACK</t>
  </si>
  <si>
    <t xml:space="preserve">            (REDY51ZCD) RED GOLD REDUCED SODIUM KETCHUP WW PALLET</t>
  </si>
  <si>
    <t xml:space="preserve">            (REDY51Z) RED GOLD REDUCED SODIUM KETCHUP</t>
  </si>
  <si>
    <t>(MENUS-LUXFER) MENUS-LUXFER</t>
  </si>
  <si>
    <t>Luxfer Cases</t>
  </si>
  <si>
    <t>(FRUIT) FRUIT</t>
  </si>
  <si>
    <t>(85205T-24) FLB WHITE CHIX CHILI  24 CT REPACK</t>
  </si>
  <si>
    <t>(1867) UGRE BIB EGG MODULE ASSEMBLY</t>
  </si>
  <si>
    <t>Luxfer Bib</t>
  </si>
  <si>
    <t>1867</t>
  </si>
  <si>
    <t>(HAIN-CEL) HAIN-CELESTIAL</t>
  </si>
  <si>
    <t>(85215T-24) FLB CHILI W/BEANS REPACK 24 CT.</t>
  </si>
  <si>
    <t>(910324) MRE 44 FINISHED CASE A</t>
  </si>
  <si>
    <t>MRE Cases</t>
  </si>
  <si>
    <t>910324</t>
  </si>
  <si>
    <t>(HAPPY) HAPPY BABY</t>
  </si>
  <si>
    <t>Happy Baby Retort</t>
  </si>
  <si>
    <t>HBY</t>
  </si>
  <si>
    <t>(85211T-24) FLB BEEF STEW  24-7 OZ RE-PACK</t>
  </si>
  <si>
    <t>(910324A) MRE 44 NON PORK FINISHED CASE</t>
  </si>
  <si>
    <t>910324A</t>
  </si>
  <si>
    <t>(HORMEL) HORMEL</t>
  </si>
  <si>
    <t>(85212T-24) FLB SPAG TOM. SAUCE 24-7 OZ REPACK</t>
  </si>
  <si>
    <t>(910524) MRE 44 FINISHED CASE B</t>
  </si>
  <si>
    <t>910524</t>
  </si>
  <si>
    <t>(INST) INSTITUTIONAL NUTRITION</t>
  </si>
  <si>
    <t>x</t>
  </si>
  <si>
    <t>(85213T-24) FLB CHEESY MAC REPACK 24-7 OZ</t>
  </si>
  <si>
    <t>(1370) SURVIVOR DAILY RATION CASE-FEMA</t>
  </si>
  <si>
    <t>SDR Case</t>
  </si>
  <si>
    <t>(CHICKEN10) INST 10 OZ</t>
  </si>
  <si>
    <t>(UGR) UGR</t>
  </si>
  <si>
    <t>(85204) FLB CHICKEN 36-10 OZ</t>
  </si>
  <si>
    <t xml:space="preserve"> Institutional</t>
  </si>
  <si>
    <t>(8030) USDA PASTA, WG ELBOWS 24/1LB</t>
  </si>
  <si>
    <t>8030</t>
  </si>
  <si>
    <t>(CHICKEN2.6) INST 2.6 OZ</t>
  </si>
  <si>
    <t>(8031) USDA PASTA, WG ROTINI 12/1LB</t>
  </si>
  <si>
    <t>8031</t>
  </si>
  <si>
    <t>(85129) FLB/DT WHITE CHICKEN 12-2.6 OZ</t>
  </si>
  <si>
    <t>85129</t>
  </si>
  <si>
    <t>(8032) USDA PASTA, PLAIN ELBOWS 20/1LB</t>
  </si>
  <si>
    <t>8032</t>
  </si>
  <si>
    <t>(85131) FLB CHICKEN SALAD 12-2.6 OZ</t>
  </si>
  <si>
    <t>85131</t>
  </si>
  <si>
    <t>(VIC) VICTORY MEAL KITS</t>
  </si>
  <si>
    <t>Victory Meals</t>
  </si>
  <si>
    <t>VIC</t>
  </si>
  <si>
    <t>(CHICKEN4.5) INST 4.5 OZ</t>
  </si>
  <si>
    <t>APACK Cases</t>
  </si>
  <si>
    <t>12500017</t>
  </si>
  <si>
    <t>(85134) FLB CHICKEN 48-4.5 OZ</t>
  </si>
  <si>
    <t>1350</t>
  </si>
  <si>
    <t>(85134G) FLB CHICKEN 24-4.5 OZ</t>
  </si>
  <si>
    <t>1370</t>
  </si>
  <si>
    <t>RePack</t>
  </si>
  <si>
    <t>12500017A</t>
  </si>
  <si>
    <t>(85138) FLB Buffalo Style Chicken 48-4.5 OZ</t>
  </si>
  <si>
    <t>(85206) FLB CHICKEN SALAD 48-4.5 OZ</t>
  </si>
  <si>
    <t>12500018</t>
  </si>
  <si>
    <t>(85207) FLB BBQ  WHITE CHICKEN 48-4.5 OZ</t>
  </si>
  <si>
    <t>(MRE) MRE</t>
  </si>
  <si>
    <t>910325</t>
  </si>
  <si>
    <t>910525</t>
  </si>
  <si>
    <t>(85208) FLB BBQ SAUCE W/BEEF 48-4.5 OZ</t>
  </si>
  <si>
    <t>85208</t>
  </si>
  <si>
    <t>6300</t>
  </si>
  <si>
    <t>(CHICKEN8) INST 8 OZ</t>
  </si>
  <si>
    <t>6310</t>
  </si>
  <si>
    <t>(85125-48) FLB PASTA &amp; VEG 48-8 OZ</t>
  </si>
  <si>
    <t>85125-48</t>
  </si>
  <si>
    <t>(85125-24) FLB PASTA &amp; VEG 8 OZ 24 CT CS.</t>
  </si>
  <si>
    <t>(522940) 2.6OZ CHICKEN SALAD LTG MEAL KIT (TRAY)</t>
  </si>
  <si>
    <t>Starkist To-Go</t>
  </si>
  <si>
    <t>522940</t>
  </si>
  <si>
    <t>12500019</t>
  </si>
  <si>
    <t>(85127-48) FLB SOUTHW CHIX W/RICE &amp; BEANS 48-8 OZ</t>
  </si>
  <si>
    <t>85127-48</t>
  </si>
  <si>
    <t>(85127-24) FLB SOUTHW CHIX W/RICE &amp; BEANS 8 OZ. 24 CT</t>
  </si>
  <si>
    <t>(85205-48) FLB WHITE CHICKEN CHILI 48-8 OZ</t>
  </si>
  <si>
    <t>(85205-24) FLB WHITE CHICKEN CHILI 8 OZ 24 CT</t>
  </si>
  <si>
    <t>(85215) FLB CHILI W/BEANS 48-8 OZ</t>
  </si>
  <si>
    <t>85215</t>
  </si>
  <si>
    <t>(85215-24) FLB CHILI W/BEANS 8 OZ 24 CT CS</t>
  </si>
  <si>
    <t>(CHILI) CHILI/STEW 15/24 OZ</t>
  </si>
  <si>
    <t>X</t>
  </si>
  <si>
    <t>(85210-12) FLB CHILI W/BEANS 12-15 OZ</t>
  </si>
  <si>
    <t>(INST7OZ) INST 7 OZ</t>
  </si>
  <si>
    <t>(85211) FLB BEEF STEW  48-7 OZ</t>
  </si>
  <si>
    <t>(85211-24) FLB BEEF STEW  7 OZ - 24 CT.</t>
  </si>
  <si>
    <t xml:space="preserve">            (85210-12) FLB CHILI W/BEANS</t>
  </si>
  <si>
    <t>(85212) FLB SPAGHETTI IN TOMATO SAUCE 48-7 OZ</t>
  </si>
  <si>
    <t>85212</t>
  </si>
  <si>
    <t>(85212-24) FLB SPAGHETTI IN TOMATO SAUCE 7 OZ 24 CT.</t>
  </si>
  <si>
    <t>(85213) FLB CHEESY MAC 48-7 OZ</t>
  </si>
  <si>
    <t>(85213-24) FLB CHEESY MAC 7 OZ 24 CT.</t>
  </si>
  <si>
    <t>(85216) FLB PIZZA MAC 48-7 OZ</t>
  </si>
  <si>
    <t>85216</t>
  </si>
  <si>
    <t>(85216-24) PIZZA MAC 7 OZ. 24 CT</t>
  </si>
  <si>
    <t>85216-24</t>
  </si>
  <si>
    <t>(SOUP INST) INST SOUP</t>
  </si>
  <si>
    <t>(85200) TOMATO SOUP 24-10 OZ</t>
  </si>
  <si>
    <t>85135</t>
  </si>
  <si>
    <t>(85200) TOMATO SOUP</t>
  </si>
  <si>
    <t>(85202) VEGETABLE SOUP</t>
  </si>
  <si>
    <t>85136</t>
  </si>
  <si>
    <t>(85202) VEGETABLE SOUP 24-10 OZ</t>
  </si>
  <si>
    <t>(85201) CREAM OF MUSHROOM SOUP 24-10 OZ</t>
  </si>
  <si>
    <t>85137</t>
  </si>
  <si>
    <t>(85203) CHICKEN NOODLE SOUP 24-10 OZ</t>
  </si>
  <si>
    <t>(TRAYS) TRAYS</t>
  </si>
  <si>
    <t>(98000-24) FLB CHEESY MAC 7.0 TRAY</t>
  </si>
  <si>
    <t>98000-24</t>
  </si>
  <si>
    <t>(98001-24) FLB JAMBALYA 7.0 TRAY</t>
  </si>
  <si>
    <t>98001-24</t>
  </si>
  <si>
    <t>(98002-24) FLB PASTA FAGIOLI 7.0 OZ. TRAY</t>
  </si>
  <si>
    <t>98002-24</t>
  </si>
  <si>
    <t>(98003-24) FLB SOUTHWEST BOWL 7.0 TRAY</t>
  </si>
  <si>
    <t>98003-24</t>
  </si>
  <si>
    <t>(LUXFER-ENTREES) LUXFER ENTREES</t>
  </si>
  <si>
    <t>LUX</t>
  </si>
  <si>
    <t>20027B</t>
  </si>
  <si>
    <t>(MOM) MY OWN MEALS</t>
  </si>
  <si>
    <t>MOM</t>
  </si>
  <si>
    <t>(NUTRI) NUTRISYSTEM</t>
  </si>
  <si>
    <t>(POLY) POLY</t>
  </si>
  <si>
    <t>(PPF) PORTLAND PET FOOD</t>
  </si>
  <si>
    <t>Portland Pet</t>
  </si>
  <si>
    <t>PPF</t>
  </si>
  <si>
    <t>(RGLD) RED GOLD</t>
  </si>
  <si>
    <t>Red Gold</t>
  </si>
  <si>
    <t>HotFill Cups</t>
  </si>
  <si>
    <t>RED</t>
  </si>
  <si>
    <t>(SER) SERENITY KIDS</t>
  </si>
  <si>
    <t>(SGC) SUN-MAID GROWERS</t>
  </si>
  <si>
    <t>(517640) STK LEMON PEPPER CHICKEN</t>
  </si>
  <si>
    <t>(517660) CHICKEN CREATIONS BUFFALO STYLE</t>
  </si>
  <si>
    <t>(517700) STK CHICKEN SALAD</t>
  </si>
  <si>
    <t>(519180) STK CLASSIC BBQ CHICKEN</t>
  </si>
  <si>
    <t>519180</t>
  </si>
  <si>
    <t>(519200) STK TERIYAKI CHICKEN</t>
  </si>
  <si>
    <t>519200</t>
  </si>
  <si>
    <t>(519220) STK CC CHIPOTLE CHICKEN 2.6 OZ. 12 CT.</t>
  </si>
  <si>
    <t>519220</t>
  </si>
  <si>
    <t>(520860) STK WHITE CHICKEN</t>
  </si>
  <si>
    <t>(520880) STK WHITE CHIX REDUCED SODIUM</t>
  </si>
  <si>
    <t>(520900) WHITE CHICKEN 5.0</t>
  </si>
  <si>
    <t>(522260) STK SOUTHWEST STYLE CHICKEN</t>
  </si>
  <si>
    <t>(522280) STK ROASTED GARLIC &amp; HERB CHICKEN</t>
  </si>
  <si>
    <t>(522420) STK CC CHIPOTLE CHICKEN 2.6 OZ. 12 CT.</t>
  </si>
  <si>
    <t>522420</t>
  </si>
  <si>
    <t>(522440) STK BC BBQ 2.6 OZ. 12 CT.</t>
  </si>
  <si>
    <t>522440</t>
  </si>
  <si>
    <t>(522460) STK BC TACO 2.6 OZ 12 CT.</t>
  </si>
  <si>
    <t>522460</t>
  </si>
  <si>
    <t>(522940-B) STK CHICKEN SALAD LTG BP</t>
  </si>
  <si>
    <t>522940-B</t>
  </si>
  <si>
    <t>AQ Kitting Operation</t>
  </si>
  <si>
    <t>(USDA) USDA</t>
  </si>
  <si>
    <t>(220133) USDA CHICKEN BONED</t>
  </si>
  <si>
    <t>(220130) USDA CHILI NO BEAN</t>
  </si>
  <si>
    <t>USDA CHILI NO BEAN</t>
  </si>
  <si>
    <t>220130</t>
  </si>
  <si>
    <t>(220131) USDA CHILI W/BEANS</t>
  </si>
  <si>
    <t>220131</t>
  </si>
  <si>
    <t>(220125) USDA BEEF STEW</t>
  </si>
  <si>
    <t>(USUPP) USUPP</t>
  </si>
  <si>
    <t>(WATER) WATER</t>
  </si>
  <si>
    <t>WATER</t>
  </si>
  <si>
    <t>(HDR) HUMAN DAILY RATIONS</t>
  </si>
  <si>
    <t>(BCHN) BEECHNUT NUTRITION COMPANY</t>
  </si>
  <si>
    <t>(SCOTT-CAT) SCOTT-CAT</t>
  </si>
  <si>
    <t>(SCOTT-DOG) SCOTT-DOG</t>
  </si>
  <si>
    <t>DF014</t>
  </si>
  <si>
    <t>DF013</t>
  </si>
  <si>
    <t>DF012</t>
  </si>
  <si>
    <t>85205T-24</t>
  </si>
  <si>
    <t>85211T-24</t>
  </si>
  <si>
    <t>85127T-24</t>
  </si>
  <si>
    <t>85125T-24</t>
  </si>
  <si>
    <t>85134T</t>
  </si>
  <si>
    <t>(85206T-24) FLB CHICKEN SALAD 4.5 OZ. 48 TO 24 REPACK</t>
  </si>
  <si>
    <t>85206T-24</t>
  </si>
  <si>
    <t>85213T-24</t>
  </si>
  <si>
    <t>85215T-24</t>
  </si>
  <si>
    <t>(LUX) LUXFER MAGTECH, INC</t>
  </si>
  <si>
    <t>(RD) RD</t>
  </si>
  <si>
    <t>RD</t>
  </si>
  <si>
    <t>85207T-24</t>
  </si>
  <si>
    <t>Actuals</t>
  </si>
  <si>
    <t>AmeriQual Foods</t>
  </si>
  <si>
    <t>Converted Units Produced</t>
  </si>
  <si>
    <t>(1818) HMSTYL VEG W/NDLES &amp; CHICKEN</t>
  </si>
  <si>
    <t>(1819) SPAGHETTI W/ITAL SCE &amp; MEAT</t>
  </si>
  <si>
    <t>(1828) STIR FRY SAUCE W/RICE &amp; CHICKEN</t>
  </si>
  <si>
    <t>(1829) CHICKEN W/BBQ SAUCE &amp; RICE</t>
  </si>
  <si>
    <t>(1913) PASTA W/GARD VEG IN TOM SCE</t>
  </si>
  <si>
    <t>(200000021518) ROASTED CHICKEN</t>
  </si>
  <si>
    <t>(200000021591) CREAMY GARLIC BUTTER CHICKEN</t>
  </si>
  <si>
    <t>(200000021908) CREAMY PARMESAN SAUCE</t>
  </si>
  <si>
    <t>(200000021911) MARSALA</t>
  </si>
  <si>
    <t>(200000022065) BEEF STEW</t>
  </si>
  <si>
    <t>(FGRDBROC6) FULL GREEN RICED BROCCOLI</t>
  </si>
  <si>
    <t>(FGRDCAULI6) FULL GREEN RICED CAULI ORIG</t>
  </si>
  <si>
    <t>(FGRDTOM6) FULL GREEN TOMATO, RED PEPPER &amp; CORN</t>
  </si>
  <si>
    <t>(79500) SPICED APPLES</t>
  </si>
  <si>
    <t>(79501) APPLE STRAWBERRY CARROT</t>
  </si>
  <si>
    <t>(79502) BANANA AND PUMPKIN</t>
  </si>
  <si>
    <t>(C33332T) EB PUREE CARROT AND BROCCOLI</t>
  </si>
  <si>
    <t>(C33335T) EB PUREE SWEET POT AND BEETS</t>
  </si>
  <si>
    <t>(C53305) SQUASH MANGO SWEET PEA 3.5 OZ 12 CT</t>
  </si>
  <si>
    <t>(C53311) MAC &amp; CHEESE W/VEGETABLES 4.0 OZ 12 CT.</t>
  </si>
  <si>
    <t>(C53312) CHICKEN VEGGIE MEDLEY 4.0 OZ 12 CT CS</t>
  </si>
  <si>
    <t>(C53313) BEEF MEDLEY 4.0 OZ. - 12 CT. CS</t>
  </si>
  <si>
    <t>(C53314) CHICKEN CASSEROLE 4.0 OZ. 12 CT. CASE</t>
  </si>
  <si>
    <t>(C53315) POTATOES, TURKEY &amp; GREEN BEANS 4.0 F WT</t>
  </si>
  <si>
    <t>(9500) HEARTY BEEF STEW</t>
  </si>
  <si>
    <t>(9502) HOMESTYLE CHIX &amp; NOODLES</t>
  </si>
  <si>
    <t>(9503) TEX MEX STYLE BEANS W/RICE</t>
  </si>
  <si>
    <t>(9504) SW CHIX W/ BEANS &amp; RICE</t>
  </si>
  <si>
    <t>(9505) ZESTY WHITE CHIX CHILI</t>
  </si>
  <si>
    <t>(9506) ITAL. PASTA W/VEG &amp; TOM SAUCE</t>
  </si>
  <si>
    <t>(MISC) MISCELLANEOUS</t>
  </si>
  <si>
    <t>(16816-30011) MOM MY KIND OF CHICKEN 6 -10 OZ.</t>
  </si>
  <si>
    <t>(16816-30020) MOM CHICKEN &amp; NOODLES 6 - 10 OZ.</t>
  </si>
  <si>
    <t>(16816-31000) MOM CHICKEN MEDITERRANEAN 6 1O OZ.</t>
  </si>
  <si>
    <t>(7010) BEEF STEW</t>
  </si>
  <si>
    <t>(7013) SANTA FE RICE AND BEANS</t>
  </si>
  <si>
    <t>(7016) CHILI W/ BEANS MRE</t>
  </si>
  <si>
    <t>(7018) SOUTHWEST BEEF &amp; BLACK BEAN</t>
  </si>
  <si>
    <t>(7020) MEXICAN STYLE CHICKEN STEW</t>
  </si>
  <si>
    <t>(7037) MEXICAN RICE AND BEANS</t>
  </si>
  <si>
    <t>(7074) BEEF TACO FILLING</t>
  </si>
  <si>
    <t>(7076) CHICKEN NOODLES W/ VEGETABLES</t>
  </si>
  <si>
    <t>(7100) BEEF PATTY JALAPENO PEPPER</t>
  </si>
  <si>
    <t>(7121) CHICKEN BURRITO FILLING</t>
  </si>
  <si>
    <t>(7128) MARINARA SAUCE W/ MEATBALLS</t>
  </si>
  <si>
    <t>(7151) ELBOW MACARONI IN TOM SCE</t>
  </si>
  <si>
    <t>(7153) SPAGHETTI WITH BEEF AND SAUCE INC</t>
  </si>
  <si>
    <t>(7154) CHICKEN STIR FRY</t>
  </si>
  <si>
    <t>(65191) SOUTHWEST CHIX W/BEANS &amp; RICE</t>
  </si>
  <si>
    <t>(PT320) SOUTHWESTERN CHICKEN CHILI</t>
  </si>
  <si>
    <t>(PT410) SPAGHETTI  W/MEATBALLS POLY TR</t>
  </si>
  <si>
    <t>(PT440) TURKEY CUTLETS W/GRAVY POLY TR</t>
  </si>
  <si>
    <t>(PT503) SWEET POTATO CASSEROLE</t>
  </si>
  <si>
    <t>(PT505) CREAM GRAVY W/BEEF &amp; POT.</t>
  </si>
  <si>
    <t>(PT515) CARROTS, GLAZED POLY TRAY</t>
  </si>
  <si>
    <t>(PT516) CORNED BEEF HASH</t>
  </si>
  <si>
    <t>(PT518) PORK SAUSAGE LINKS</t>
  </si>
  <si>
    <t>(PT520) CORN MEXICAN STYLE POLY TR</t>
  </si>
  <si>
    <t>(OTHER-RD) OTHER-RD</t>
  </si>
  <si>
    <t>(RGLD-BBQ) RGLD-BBQ</t>
  </si>
  <si>
    <t>(REDOA1Z) RED GOLD BARBECUE SAUCE</t>
  </si>
  <si>
    <t>(REDOA1ZCD) RED GOLD BARBECUE SAUCE WP</t>
  </si>
  <si>
    <t>(RGLD-KETCHUP) RED GOLD KETCHUP</t>
  </si>
  <si>
    <t>(REDY51Z) RED GOLD REDUCED SODIUM KETCHUP</t>
  </si>
  <si>
    <t>(REDY51ZCD) RED GOLD REDUCED SODIUM KETCHUP WW PALLET</t>
  </si>
  <si>
    <t>(RGLD-MARINARA) RED GOLD MARINARA</t>
  </si>
  <si>
    <t>(SDR) SURVIVOR DAILY RATIONS</t>
  </si>
  <si>
    <t>(1314) BEAN SALAD - PKG</t>
  </si>
  <si>
    <t>(SKABC001) SER GF BEEF CHIMICHURRI</t>
  </si>
  <si>
    <t>(SKABC001-B) SER GF BEEF CHIMICHURRI BP 3.5 OZ. 50 CT.</t>
  </si>
  <si>
    <t>(SKBEF001) SKD BEEF W/ KALE &amp; SWEET POT</t>
  </si>
  <si>
    <t>(SKBEF-B) BEEF W/KALE &amp; SWT POT - BULK</t>
  </si>
  <si>
    <t>(SKBIS001) SKD BISON W/KABOCHA SQ &amp; SPIN</t>
  </si>
  <si>
    <t>(SKBIS001-B) BISON W/KABOCHA SQSH &amp; SPIN - BULK</t>
  </si>
  <si>
    <t>(SKBKB001) SER GF BEEF KEBAB</t>
  </si>
  <si>
    <t>(SKBKB001-B) SER GF BEEF KEBAB BULK PACK</t>
  </si>
  <si>
    <t>(SKBUT001) BUTTERNUT SQUASH W/SPINACH</t>
  </si>
  <si>
    <t>(SKBUT001-B) BUTTERNUT SQ W/SPINACH - BULK</t>
  </si>
  <si>
    <t>(SKCHK001) SKD CHIX W/ PEAS &amp; CARROTS</t>
  </si>
  <si>
    <t>(SKCHK001-B) CHICKEN W/PEAS &amp; CARROTS - BULK</t>
  </si>
  <si>
    <t>(SKCKV001) FR CHICKEN W/PARSNIP &amp; BEETS</t>
  </si>
  <si>
    <t>(SKCKV001-B) CHICKEN W/PARSNIP &amp; BEETS- BULK PACK</t>
  </si>
  <si>
    <t>(SKCSP001) SKD CARROT &amp; SPINACH W/BASIL</t>
  </si>
  <si>
    <t>(SKMCS001) SER FR CHICKEN MEXICAN INSPIRED STEW</t>
  </si>
  <si>
    <t>(SKMCS001-B) SER CHCKEN MEXICAN INSPIRED STEW BP</t>
  </si>
  <si>
    <t>(SKPSW001) SKD SWEET POTATO &amp; PARSNIP</t>
  </si>
  <si>
    <t>(SKPSWBULK) SWEET POTATO &amp; PARSNIP BULK</t>
  </si>
  <si>
    <t>(SKROO001) SERENITY ROOTS</t>
  </si>
  <si>
    <t>(SKSAL001) SALMON W/BNUT SQUASH &amp; BEET</t>
  </si>
  <si>
    <t>(SKSQU001) SERENITY SQUASH</t>
  </si>
  <si>
    <t>(SKSQU001-B) SQUASHES - BULK</t>
  </si>
  <si>
    <t>(SKSWT001) SWEET POT W/SPINACH</t>
  </si>
  <si>
    <t>(SKSWT001-B) SWEET POT W/SPINACH - BULK</t>
  </si>
  <si>
    <t>(SKTKV001) PR TURKEY W/CARROT, ZUCCHINI &amp; CELERY</t>
  </si>
  <si>
    <t>(SKTRK001) TURKEY SPOT PUMP &amp; BEET</t>
  </si>
  <si>
    <t>(SKTRK001-B) TURK SPOT PUMP &amp; BEET-BULK</t>
  </si>
  <si>
    <t>(0720145000) PLUM 4OZ 12CT CRT/SPT/CHIX</t>
  </si>
  <si>
    <t>(STARKIST) STARKIST</t>
  </si>
  <si>
    <t>(CASES-CONUSUGR) CASES - CONUS UGR</t>
  </si>
  <si>
    <t>(CASES-OCONUSUGR) CASES - OCONUS UGR</t>
  </si>
  <si>
    <t>(USDA-CHICKEN) USDA CHICKEN</t>
  </si>
  <si>
    <t>(USDA-STEWCHILI) USDA BEEF STEW / OTHER</t>
  </si>
  <si>
    <t>(8013210) CHILI WITH NO BEANS</t>
  </si>
  <si>
    <t>(8013250) TACO FILLING</t>
  </si>
  <si>
    <t>(8013251) BEEF STEW</t>
  </si>
  <si>
    <t>(8013255) CHILI WITH BEANS</t>
  </si>
  <si>
    <t>(8013256) HOT CHILI WITH BEANS</t>
  </si>
  <si>
    <t>Thermo Pac</t>
  </si>
  <si>
    <t>(9011231) INT BAN APL SMOOTHIE 100-6 OZ</t>
  </si>
  <si>
    <t>(9011232) INT SWT POT GRP SMOTH 100-6 OZ</t>
  </si>
  <si>
    <t>(9011234) SUNFLOWER BUTTER 350-1.25 OZ</t>
  </si>
  <si>
    <t>(COMM) COMM</t>
  </si>
  <si>
    <t>(900401NM) COMM MRE PNB 300-1 OZ</t>
  </si>
  <si>
    <t>(933006) AQUA-GARD 100-86 GM</t>
  </si>
  <si>
    <t>(CONAGRA) CONAGRA</t>
  </si>
  <si>
    <t>(931101) JHS CH FUDG 96-1.5 OZ</t>
  </si>
  <si>
    <t>(GDR) GOODERS</t>
  </si>
  <si>
    <t>(72001) CHEDDAR CHEESE SAUCE 140-4.06OZ</t>
  </si>
  <si>
    <t>(72002) WHITE CHED CHEESE SAUCE 140-4.06OZ</t>
  </si>
  <si>
    <t>(HEINZ) HEINZ</t>
  </si>
  <si>
    <t>(HNZ-SAUCE) HNZ-SAUCE</t>
  </si>
  <si>
    <t>(528400) S.S. HNZ SALSA 60-2.0 OZ</t>
  </si>
  <si>
    <t>(529300) HEINZ MARINARA SAUCE 60-2.0 OZ</t>
  </si>
  <si>
    <t>(YOGURT) YOGURT</t>
  </si>
  <si>
    <t>(JOY250002) YOGURT STRAWBERRY 3.5 OZ-48 CT</t>
  </si>
  <si>
    <t>(JOY250003) YOGURT MIXED BERRY 3.5 OZ-48CT</t>
  </si>
  <si>
    <t>(JJ) J&amp;J SNACK FOODS</t>
  </si>
  <si>
    <t>(961515) JJ 5-BAND BUTTER 1020-0.141 OZ</t>
  </si>
  <si>
    <t>(961517) JJ 4-BAND BUTTER 1020-0.141 OZ</t>
  </si>
  <si>
    <t>(JUST) JUSTINS</t>
  </si>
  <si>
    <t>(JUST-0.5 OZ) JUST-0.5 OZ</t>
  </si>
  <si>
    <t>(84429) 80 CALORIE HONEY PNB 150-.5 OZ</t>
  </si>
  <si>
    <t>(JUST-1.15OZ) JUST-1.15OZ</t>
  </si>
  <si>
    <t>(78491) CHOC HAZ BTR SQ PK 60-1.15 OZ</t>
  </si>
  <si>
    <t>(78492) CLASSIC PNB SQ PACK 60-1.15 OZ</t>
  </si>
  <si>
    <t>(78494) HONEY PNB SQ PACKS 60-1.15 OZ</t>
  </si>
  <si>
    <t>(MIL-OTHER) MILITARY OTHER</t>
  </si>
  <si>
    <t>(900301) IMP KETCHUP 400-15 G</t>
  </si>
  <si>
    <t>(900303) IMP RASPBERRY JAM 400-20 G - MRE</t>
  </si>
  <si>
    <t>(900405) MRE APPLE PIE DESSERT 200-2 OZ</t>
  </si>
  <si>
    <t>(900101) MRE GRP JEL 400-1 OZ</t>
  </si>
  <si>
    <t>(900102) MRE APL JEL 400-1 OZ</t>
  </si>
  <si>
    <t>(900105) MRE     BLK BER  400-1 OZ</t>
  </si>
  <si>
    <t>(900106) MRE     STR JAM  400-1 OZ</t>
  </si>
  <si>
    <t>(900107) MRE     BBQ SCE  400-1 OZ</t>
  </si>
  <si>
    <t>(900114) MRE FAT FREE MAYO 400-1OZ</t>
  </si>
  <si>
    <t>(900400) MRE     BAC CHED 300-1.OZ</t>
  </si>
  <si>
    <t>(900401) MRE     PNB      300-1 OZ</t>
  </si>
  <si>
    <t>(900402) MRE CHOC PEANUT 300-1 OZ</t>
  </si>
  <si>
    <t>(900403) MRE     CHUN PNB 300-1 OZ</t>
  </si>
  <si>
    <t>(NESTLE) NESTLE</t>
  </si>
  <si>
    <t>(12152904) NESTLE BENECALORIE  24-1.5 OZ</t>
  </si>
  <si>
    <t>(NFG) NATIONAL FOOD GROUP</t>
  </si>
  <si>
    <t>(623739) NFG HUMMUS 240CT 2OZ</t>
  </si>
  <si>
    <t>(623282) ZEE ZEES NO NUT BUTTER, CINNAMON TOAST, 1.1OZ 200CT</t>
  </si>
  <si>
    <t>(PEPSI) PEPSICO</t>
  </si>
  <si>
    <t>(FFM0006003) TOSTITOS MEDIUM CHUNKY SALSA 30 - 3.8 OZ</t>
  </si>
  <si>
    <t>(PNBCO) PNBCO</t>
  </si>
  <si>
    <t>(903301) SMOOTH OPER PNB 200-1.15 OZ</t>
  </si>
  <si>
    <t>(REDNA2ZC168) RED GOLD MARINARA 168-2.5 OZ CUP</t>
  </si>
  <si>
    <t>(REDNA2ZC168CD) RED GOLD MARINARA 168-2.5 OZ CUP WHT WOOD</t>
  </si>
  <si>
    <t>(REDNA2ZC84) RED GOLD MARINARA 84-2.5 OZ CUP</t>
  </si>
  <si>
    <t>(REDNA2ZC84CD) RED GOLD MARINARA 84-2.5 OZ CUP WHT WOOD</t>
  </si>
  <si>
    <t>(REDNAHZC264) RED GOLD MARINARA 264-1.25 OZ CUP</t>
  </si>
  <si>
    <t>(REDNAHZC264CD) RED GOLD MARINARA 264-1.25 OZ CUP WW</t>
  </si>
  <si>
    <t>(RGLD-SALSA) RED GOLD SALSA</t>
  </si>
  <si>
    <t>(REDSC2ZC168) RED GOLD SALSA 168-3 OZ CUP</t>
  </si>
  <si>
    <t>(REDSC2ZC168CD) RED GOLD SALSA 168-3 OZ CUP WHT WOOD</t>
  </si>
  <si>
    <t>(REDSC2ZC84) RED GOLD SALSA 84- 3 OZ CUP</t>
  </si>
  <si>
    <t>(REDSC2ZC84CD) RED GOLD SALSA 84- 3 OZ CUP WHT WOOD</t>
  </si>
  <si>
    <t>(REDSCHZC264) RED GOLD SALSA 264- 1.5 OZ CUP</t>
  </si>
  <si>
    <t>(REDSCHZC264CD) RED GOLD SALSA 264- 1.5 OZ CUP WHT WOOD</t>
  </si>
  <si>
    <t>(SIG) SIGNATURE SAUCES</t>
  </si>
  <si>
    <t>(936001) SIG CITY BBQ BRUSHFIRE SAUC 156CT-1.5 OZ CUP</t>
  </si>
  <si>
    <t>(936002) SIG CITY BBQ ORIGINAL SAUC 156CT-1.5 OZ CUP</t>
  </si>
  <si>
    <t>(936003) SIG CITY BBQ SWEET SAUCE 156CT-1.5 OZ CUP</t>
  </si>
  <si>
    <t>(SMUCKER) SMUCKERS</t>
  </si>
  <si>
    <t>(5150010450) SMU STRAWBERRY 400-.5 OZ</t>
  </si>
  <si>
    <t>(5150010451) SMU GRAPE 400-.5 OZ</t>
  </si>
  <si>
    <t>(STERLING) STERLING</t>
  </si>
  <si>
    <t>(907017) STERLING MAPLE SYRUP 75/6OZ</t>
  </si>
  <si>
    <t>(907019) STERLING CHERRY TOP 50-10 OZ</t>
  </si>
  <si>
    <t>AmeriQual Packaging</t>
  </si>
  <si>
    <t>(CASES-APACK) APACK FG CASES</t>
  </si>
  <si>
    <t>(LUXFER-KITS) LUXFER KITS</t>
  </si>
  <si>
    <t>(USDA-PASTA) USDA-PASTA</t>
  </si>
  <si>
    <t>January</t>
  </si>
  <si>
    <t>February</t>
  </si>
  <si>
    <t>March</t>
  </si>
  <si>
    <t>August</t>
  </si>
  <si>
    <t>September</t>
  </si>
  <si>
    <t>October</t>
  </si>
  <si>
    <t>November</t>
  </si>
  <si>
    <t>December</t>
  </si>
  <si>
    <t>Page member details</t>
  </si>
  <si>
    <t>Classification</t>
  </si>
  <si>
    <t>Time Perspective</t>
  </si>
  <si>
    <t>Base</t>
  </si>
  <si>
    <t>Version</t>
  </si>
  <si>
    <t>Period</t>
  </si>
  <si>
    <t>(B01141) BN BASE PCH CHICKEN USDA 3.5OZ 12PK</t>
  </si>
  <si>
    <t>(B01142) BN BASE PCH TURKEY USDA 3.5OZ 12PK</t>
  </si>
  <si>
    <t>(C23643) CHICKEN CASSEROLE 4.0 OZ. 16 CT. CS.</t>
  </si>
  <si>
    <t>(85134-24) CHICKEN 4.5 OZ 24 CT CS</t>
  </si>
  <si>
    <t>(16816-23560) MOM MUSHROOM STROGANOFF 10 OZ 6 CT</t>
  </si>
  <si>
    <t>(16816-23610) MOM UN-STUFFED PEPPERS 10 OZ. 6 CT</t>
  </si>
  <si>
    <t>(16816-39630) MOM TUSCAN PASTA &amp; BEANS 10 OZ 6 CT.</t>
  </si>
  <si>
    <t>(16816-39640) MOM VEGETARIAN STEW 6 - 10 OZ.</t>
  </si>
  <si>
    <t>(16816-39645) MOM HEARTY LENTIL STEW 10 OZ. 6 CT</t>
  </si>
  <si>
    <t>(16816-40560) MOM FLORENTINE LASAGNA 6 -10 OZ.</t>
  </si>
  <si>
    <t>(16816-41010) J &amp; M CHICKEN JAMBALAYA 10 OZ. 6 CT.</t>
  </si>
  <si>
    <t>(16816-42070) J &amp; M BEEF &amp; LENTIL STEW 1O OZ 6 CT.</t>
  </si>
  <si>
    <t>(65194) WHITE BEAN CHILI W/CHICKEN 8 OZ. 32 CT CS</t>
  </si>
  <si>
    <t>(SCOTT) SCOTT PET</t>
  </si>
  <si>
    <t>(CF001) PATE CAT TURKEY &amp; GIBLETS 2.6 OZ. 12 CT.</t>
  </si>
  <si>
    <t>(CF002) PATE CAT CHICKEN &amp; LIVER 2.6 OZ. 12 CT.</t>
  </si>
  <si>
    <t>(CF003) PATE CAT TURF &amp; SURF 2.6 OZ. 12 CT.</t>
  </si>
  <si>
    <t>(DF012) BE DOG BEEF STEW W/VEGGIES 10 OZ. 6 CT.</t>
  </si>
  <si>
    <t>(DF013) BE DOG CHICKEN &amp; PASTA 10 OZ. 6 CT.</t>
  </si>
  <si>
    <t>(DF014) BE DOG LAMB STEW W/RICE 10 OZ 6 CT.</t>
  </si>
  <si>
    <t>(SKCSPBULK) CARROT &amp; SPINACH W/BASIL</t>
  </si>
  <si>
    <t>(SKSAL001-B) SALMON W/BUTTERNUT SQUASH BULK</t>
  </si>
  <si>
    <t>(8013208) HOT TURKEY CHILI W/BEANS</t>
  </si>
  <si>
    <t>(910325) MRE 45 FINISHED CASE A</t>
  </si>
  <si>
    <t>(910525) MRE 45 FINISHED CASE B</t>
  </si>
  <si>
    <t>(2254) LUNCH/DINNER MENU 13, SEMI-PER</t>
  </si>
  <si>
    <t>(BAR) BAR</t>
  </si>
  <si>
    <t>(9011235) FLB CHOCOLATE BAR 2.29OZ - 132CT</t>
  </si>
  <si>
    <t>(72003) QUESO CHEESE SAUCE 140-4.06OZ</t>
  </si>
  <si>
    <t>(500400) MRE RASPBERRY ENERGY GEL 400-32g CT</t>
  </si>
  <si>
    <t>(500401) MRE MOCHA ENERGY GEL 400-32g CT</t>
  </si>
  <si>
    <t>(500402) MRE CHOCOLATE ENERGY GEL 400-32g CT</t>
  </si>
  <si>
    <t>(900305) IMP CHOCOLATE PNB 400-20 G</t>
  </si>
  <si>
    <t>(623281) ZEE ZEES NO NUT BUTTER, CREAMY, 1.1OZ 200CT</t>
  </si>
  <si>
    <t>Forecast</t>
  </si>
  <si>
    <t>Jun</t>
  </si>
  <si>
    <t>Filler</t>
  </si>
  <si>
    <t>Volume</t>
  </si>
  <si>
    <t>Days Under/(Over)</t>
  </si>
  <si>
    <t>Retort Cycles Req'd</t>
  </si>
  <si>
    <t>Total</t>
  </si>
  <si>
    <t>M-F</t>
  </si>
  <si>
    <t>Sat</t>
  </si>
  <si>
    <t>Sun</t>
  </si>
  <si>
    <t>Days in Month</t>
  </si>
  <si>
    <t xml:space="preserve">February </t>
  </si>
  <si>
    <t>Business Days</t>
  </si>
  <si>
    <t xml:space="preserve"> </t>
  </si>
  <si>
    <t>Retort Cycle Available</t>
  </si>
  <si>
    <t>Delta</t>
  </si>
  <si>
    <t>Days Available</t>
  </si>
  <si>
    <t>% Utilization</t>
  </si>
  <si>
    <t>J1</t>
  </si>
  <si>
    <t>MRE production Dec</t>
  </si>
  <si>
    <t>Fruit</t>
  </si>
  <si>
    <t>Y1/L1</t>
  </si>
  <si>
    <t>V3</t>
  </si>
  <si>
    <t>Schedule Date</t>
  </si>
  <si>
    <t>Line</t>
  </si>
  <si>
    <t>MFG Num</t>
  </si>
  <si>
    <t>Item</t>
  </si>
  <si>
    <t>Description</t>
  </si>
  <si>
    <t>Qty</t>
  </si>
  <si>
    <t xml:space="preserve">   UOM</t>
  </si>
  <si>
    <t xml:space="preserve"> Qty (EA)</t>
  </si>
  <si>
    <t>Contract</t>
  </si>
  <si>
    <t>Lot</t>
  </si>
  <si>
    <t>CS</t>
  </si>
  <si>
    <t>Y3NS</t>
  </si>
  <si>
    <t>BEEF STEW</t>
  </si>
  <si>
    <t>EA</t>
  </si>
  <si>
    <t>SKBEF001</t>
  </si>
  <si>
    <t>SKSAL001</t>
  </si>
  <si>
    <t>SPICED APPLES</t>
  </si>
  <si>
    <t>SKBUT001</t>
  </si>
  <si>
    <t>SKBUT001-B</t>
  </si>
  <si>
    <t>CHILI W/ BEANS MRE</t>
  </si>
  <si>
    <t>APPLE STRAWBERRY CARROT</t>
  </si>
  <si>
    <t>SANTA FE RICE AND BEANS</t>
  </si>
  <si>
    <t>CHICKEN STIR FRY</t>
  </si>
  <si>
    <t>MEXICAN RICE AND BEANS</t>
  </si>
  <si>
    <t>MARINARA SAUCE W/ MEATBALLS</t>
  </si>
  <si>
    <t>CHICKEN NOODLES W/ VEGETABLES</t>
  </si>
  <si>
    <t>CHICKEN BURRITO FILLING</t>
  </si>
  <si>
    <t>SKSWT001</t>
  </si>
  <si>
    <t>REDOA1ZCD</t>
  </si>
  <si>
    <t>RED GOLD BARBECUE SAUCE GRADE A PALLET</t>
  </si>
  <si>
    <t>REDY51ZCD</t>
  </si>
  <si>
    <t>RED GOLD REDUCED SODIUM KETCHUP WW PALLET</t>
  </si>
  <si>
    <t>SKTRK001</t>
  </si>
  <si>
    <t>521000</t>
  </si>
  <si>
    <t>Column Labels</t>
  </si>
  <si>
    <t>Row Labels</t>
  </si>
  <si>
    <t>Helper</t>
  </si>
  <si>
    <t>Sum of  Qty (EA)</t>
  </si>
  <si>
    <t>Grand Total</t>
  </si>
  <si>
    <t>Jul</t>
  </si>
  <si>
    <t>Schedule</t>
  </si>
  <si>
    <t>Demand</t>
  </si>
  <si>
    <t>Variance</t>
  </si>
  <si>
    <t>Scott Pet</t>
  </si>
  <si>
    <t>Totals</t>
  </si>
  <si>
    <t>2024</t>
  </si>
  <si>
    <t>2023</t>
  </si>
  <si>
    <t>2022</t>
  </si>
  <si>
    <t>2021</t>
  </si>
  <si>
    <t>2020</t>
  </si>
  <si>
    <t>2019</t>
  </si>
  <si>
    <t>6 Year AVG</t>
  </si>
  <si>
    <t>2 Year Avg</t>
  </si>
  <si>
    <t>Variance B/(W)</t>
  </si>
  <si>
    <t>Gooders</t>
  </si>
  <si>
    <t>MENUS</t>
  </si>
  <si>
    <t>932503</t>
  </si>
  <si>
    <t>FINISHED MENU #3</t>
  </si>
  <si>
    <t>932505</t>
  </si>
  <si>
    <t>FINISHED MENU #5</t>
  </si>
  <si>
    <t>932508</t>
  </si>
  <si>
    <t>FINISHED MENU #8</t>
  </si>
  <si>
    <t>932513</t>
  </si>
  <si>
    <t>FINISHED MENU #13</t>
  </si>
  <si>
    <t>932517</t>
  </si>
  <si>
    <t>FINISHED MENU #17</t>
  </si>
  <si>
    <t>932519</t>
  </si>
  <si>
    <t>FINISHED MENU #19</t>
  </si>
  <si>
    <t>932523</t>
  </si>
  <si>
    <t>FINISHED MENU #23</t>
  </si>
  <si>
    <t>CRACKER</t>
  </si>
  <si>
    <t>7212</t>
  </si>
  <si>
    <t>PACKAGED, PLAIN CRACKERS</t>
  </si>
  <si>
    <t>BOSAR</t>
  </si>
  <si>
    <t>7297</t>
  </si>
  <si>
    <t>HMO PRETZELS - PKG</t>
  </si>
  <si>
    <t>SV1</t>
  </si>
  <si>
    <t>7371A</t>
  </si>
  <si>
    <t>PACKAGED, JALAPENO CASHEWS 38G</t>
  </si>
  <si>
    <t>AQPACC</t>
  </si>
  <si>
    <t>7741</t>
  </si>
  <si>
    <t>ACCESSORY A, FINISHED</t>
  </si>
  <si>
    <t>7746</t>
  </si>
  <si>
    <t>ACCESSORY B, FINISHED</t>
  </si>
  <si>
    <t>MAINLINE</t>
  </si>
  <si>
    <t>MRE 45 FINISHED CASE A</t>
  </si>
  <si>
    <t>MRE 45 FINISHED CASE B</t>
  </si>
  <si>
    <t>932502</t>
  </si>
  <si>
    <t>FINISHED MENU #2</t>
  </si>
  <si>
    <t>932512</t>
  </si>
  <si>
    <t>FINISHED MENU #12</t>
  </si>
  <si>
    <t>932516</t>
  </si>
  <si>
    <t>FINISHED MENU #16</t>
  </si>
  <si>
    <t>932522</t>
  </si>
  <si>
    <t>FINISHED MENU #22</t>
  </si>
  <si>
    <t>932504</t>
  </si>
  <si>
    <t>FINISHED MENU #4</t>
  </si>
  <si>
    <t>932514</t>
  </si>
  <si>
    <t>FINISHED MENU #14</t>
  </si>
  <si>
    <t>932520</t>
  </si>
  <si>
    <t>FINISHED MENU #20</t>
  </si>
  <si>
    <t>932524</t>
  </si>
  <si>
    <t>FINISHED MENU #24</t>
  </si>
  <si>
    <t>D-YEAMAN</t>
  </si>
  <si>
    <t xml:space="preserve">GOODERS - CHED OVER HEELS </t>
  </si>
  <si>
    <t>GDR</t>
  </si>
  <si>
    <t>MV7</t>
  </si>
  <si>
    <t>7185</t>
  </si>
  <si>
    <t>TERIYAKI BEEF SNACK, PACKAGED</t>
  </si>
  <si>
    <t>7213</t>
  </si>
  <si>
    <t>PACKAGED, VEGETABLE CRACKERS</t>
  </si>
  <si>
    <t>7282</t>
  </si>
  <si>
    <t>SUGAR COOKIE PACKAGED</t>
  </si>
  <si>
    <t>7370A</t>
  </si>
  <si>
    <t>PACKAGED, SMOKED ALMONDS 38G</t>
  </si>
  <si>
    <t>932501</t>
  </si>
  <si>
    <t>FINISHED MENU #1</t>
  </si>
  <si>
    <t>932506</t>
  </si>
  <si>
    <t>FINISHED MENU #6</t>
  </si>
  <si>
    <t>932509</t>
  </si>
  <si>
    <t>FINISHED MENU #9</t>
  </si>
  <si>
    <t>932511</t>
  </si>
  <si>
    <t>FINISHED MENU #11</t>
  </si>
  <si>
    <t>932515</t>
  </si>
  <si>
    <t>FINISHED MENU #15</t>
  </si>
  <si>
    <t>932518</t>
  </si>
  <si>
    <t>FINISHED MENU #18</t>
  </si>
  <si>
    <t>932521</t>
  </si>
  <si>
    <t>FINISHED MENU #21</t>
  </si>
  <si>
    <t>7281</t>
  </si>
  <si>
    <t>BAKED SNACK CRACKERS - PKG</t>
  </si>
  <si>
    <t>7372</t>
  </si>
  <si>
    <t>PACKAGED, DRY ROASTED PEANUTS</t>
  </si>
  <si>
    <t>932507</t>
  </si>
  <si>
    <t>FINISHED MENU #7</t>
  </si>
  <si>
    <t>2200</t>
  </si>
  <si>
    <t>BREAKFAST 1 SEMI-PERISHABLE</t>
  </si>
  <si>
    <t>2204</t>
  </si>
  <si>
    <t>BREAKFAST MENU 3, SEMI-PERISH</t>
  </si>
  <si>
    <t>2230</t>
  </si>
  <si>
    <t>LUNCH/DINNER MENU 1, SEMI-PERI</t>
  </si>
  <si>
    <t>2248</t>
  </si>
  <si>
    <t>LUNCH/DINNER MENU 10, SEMI-PER</t>
  </si>
  <si>
    <t>8034A</t>
  </si>
  <si>
    <t>7279</t>
  </si>
  <si>
    <t>BBQ CORN NUTS PACKAGED</t>
  </si>
  <si>
    <t>932510</t>
  </si>
  <si>
    <t>FINISHED MENU #10</t>
  </si>
  <si>
    <t>2208</t>
  </si>
  <si>
    <t>BREAKFAST MENU 5, SEMI-PERISH</t>
  </si>
  <si>
    <t>2238</t>
  </si>
  <si>
    <t>LUNCH/DINNER MENU 5, SEMI-PERI</t>
  </si>
  <si>
    <t>2240</t>
  </si>
  <si>
    <t>LUNCH/DINNER MENU 6, SEMI-PERI</t>
  </si>
  <si>
    <t>2246</t>
  </si>
  <si>
    <t>LUNCH/DINNER MENU 9, SEMI-PERI</t>
  </si>
  <si>
    <t>2254</t>
  </si>
  <si>
    <t>LUNCH/DINNER MENU 13, SEMI-PER</t>
  </si>
  <si>
    <t>7302</t>
  </si>
  <si>
    <t>PRETZEL-COMBO, CHEDD-PKG BOSAR</t>
  </si>
  <si>
    <t>7304</t>
  </si>
  <si>
    <t>CRACKER-COMBO, PIZZA-PKG BOSAR</t>
  </si>
  <si>
    <t>2202</t>
  </si>
  <si>
    <t>BREAKFAST 2 SEMI-PERISHABLE</t>
  </si>
  <si>
    <t>2210</t>
  </si>
  <si>
    <t>BREAKFAST MENU 6, SEMI-PERISH</t>
  </si>
  <si>
    <t>2212</t>
  </si>
  <si>
    <t>BREAKFAST MENU 7, SEMI-PERISH</t>
  </si>
  <si>
    <t>2232</t>
  </si>
  <si>
    <t>LUNCH/DINNER MENU 2, SEMI-PERI</t>
  </si>
  <si>
    <t>2336</t>
  </si>
  <si>
    <t>SHORT LUN DIN # 4 SEMI</t>
  </si>
  <si>
    <t>GOODERS - SHELL WE DANCE</t>
  </si>
  <si>
    <t>7373</t>
  </si>
  <si>
    <t>PACKAGED, NUT MIX W/ CANDY</t>
  </si>
  <si>
    <t>7374</t>
  </si>
  <si>
    <t>PACKAGED, RECOVERY TRAIL MIX</t>
  </si>
  <si>
    <t>2206</t>
  </si>
  <si>
    <t>BREAKFAST MENU 4, SEMI-PERISH</t>
  </si>
  <si>
    <t>2234</t>
  </si>
  <si>
    <t>LUNCH/DINNER MENU 3, SEMI-PERI</t>
  </si>
  <si>
    <t>2236</t>
  </si>
  <si>
    <t>LUNCH/DINNER MENU 4, SEMI-PERI</t>
  </si>
  <si>
    <t>2242</t>
  </si>
  <si>
    <t>LUNCH/DINNER MENU 7, SEMI-PERI</t>
  </si>
  <si>
    <t>2244</t>
  </si>
  <si>
    <t>LUNCH/DINNER MENU 8, SEMI-PERI</t>
  </si>
  <si>
    <t>2250</t>
  </si>
  <si>
    <t>LUNCH/DINNER MENU 11, SEMI-PER</t>
  </si>
  <si>
    <t>2252</t>
  </si>
  <si>
    <t>LUNCH/DINNER MENU 12, SEMI-PER</t>
  </si>
  <si>
    <t>2256</t>
  </si>
  <si>
    <t>LUNCH/DINNER MENU 14, SEMI-PER</t>
  </si>
  <si>
    <t>2334</t>
  </si>
  <si>
    <t>SHORT LUN DIN # 3 SEMI</t>
  </si>
  <si>
    <t>2340</t>
  </si>
  <si>
    <t>SHORT LUN DIN # 6 SEMI</t>
  </si>
  <si>
    <t>7169B</t>
  </si>
  <si>
    <t>CRANBERRIES, PKG - PACKAGING</t>
  </si>
  <si>
    <t>GOODERS - QUESO TELL ME MORE</t>
  </si>
  <si>
    <t>8036A</t>
  </si>
  <si>
    <t>7193</t>
  </si>
  <si>
    <t>CHOC CHIP TOASTER PASTRY PKG</t>
  </si>
  <si>
    <t>2330</t>
  </si>
  <si>
    <t>SHORT LUN DIN #1 SEMI</t>
  </si>
  <si>
    <t>2338</t>
  </si>
  <si>
    <t>SHORT LUN DIN # 5 SEMI</t>
  </si>
  <si>
    <t>USDA PASTA, WG ROTINI 12/1LB</t>
  </si>
  <si>
    <t>PAS</t>
  </si>
  <si>
    <t>Month</t>
  </si>
  <si>
    <t>SKCTM001</t>
  </si>
  <si>
    <t>SKCTM001-B</t>
  </si>
  <si>
    <t>(521000) BUFFALO CHICKEN  5.0 OZ</t>
  </si>
  <si>
    <t>Simmons</t>
  </si>
  <si>
    <t>8035A</t>
  </si>
  <si>
    <t>(131681) HORMEL SPAMMY</t>
  </si>
  <si>
    <t>(85138) FLB BUFFALO STYLE CHICKEN 48-4.5 OZ</t>
  </si>
  <si>
    <t>(85120-24) FLB SPAGHETTI W/MEAT SAUCE 8 OZ. 24 CT. CS.</t>
  </si>
  <si>
    <t>(220185) FLB APPLE CINNAMON OATMEAL 24 OZ. 24 CT.</t>
  </si>
  <si>
    <t>(65192) BEAN BOLOGNESE</t>
  </si>
  <si>
    <t>(65193) CHICKEN W/BBQ SAUCE</t>
  </si>
  <si>
    <t>(SKBFV001) GF BEEF W/PEA, BROCCOLI &amp; PEPPER</t>
  </si>
  <si>
    <t>(SKBFV001-B) BEEF W/PEA, BROCCOLI &amp; PEPPER BULK PACK</t>
  </si>
  <si>
    <t>(SKROO001-B) ROOTS - BULK</t>
  </si>
  <si>
    <t>(8034A) GOODERS - CHED OVER HEELS</t>
  </si>
  <si>
    <t>(8036A) GOODERS - QUESO TELL ME MORE</t>
  </si>
  <si>
    <t>(931102) JHS CARAMEL 96-1.5 OZ</t>
  </si>
  <si>
    <t>(PNB) PEANUT BUTTER</t>
  </si>
  <si>
    <t>(800500) JOY2 PNB 200-1.1OZ</t>
  </si>
  <si>
    <t>(118073) CAN PNB BULK PACK  75-1.15OZ</t>
  </si>
  <si>
    <t>(NFG POUCH) NFG POUCH</t>
  </si>
  <si>
    <t>(NFG YOGURT) NFG YOGURT</t>
  </si>
  <si>
    <t>(624557) ZEE ZEES REDUCED SUGAR STRAWBERRY YOGURT, 4OZ 48CT</t>
  </si>
  <si>
    <t>(624558) ZEE ZEES REDUCED SUGAR VANILLA YOGURT, 4OZ 48CT</t>
  </si>
  <si>
    <t>FLB Oatmeal</t>
  </si>
  <si>
    <t>220185</t>
  </si>
  <si>
    <t>85218</t>
  </si>
  <si>
    <t xml:space="preserve">            (85218) FLB POLLO ASADO</t>
  </si>
  <si>
    <t>MRE Base Total</t>
  </si>
  <si>
    <t>RNC Fruit Total</t>
  </si>
  <si>
    <t>Poly Trays Total</t>
  </si>
  <si>
    <t>SDR Total</t>
  </si>
  <si>
    <t>APACK Total</t>
  </si>
  <si>
    <t>Luxfer Heater Meals Total</t>
  </si>
  <si>
    <t xml:space="preserve">            (85129) FLB/DT WHITE CHICKEN Total</t>
  </si>
  <si>
    <t xml:space="preserve">            (85131) FLB CHICKEN SALAD Total</t>
  </si>
  <si>
    <t xml:space="preserve">            (85134) FLB CHICKEN Total</t>
  </si>
  <si>
    <t xml:space="preserve">            (85206) FLB CHICKEN SALAD Total</t>
  </si>
  <si>
    <t xml:space="preserve">            (85207) FLB BBQ  WHITE CHICKEN Total</t>
  </si>
  <si>
    <t xml:space="preserve">            (85125) FLB PASTA &amp; VEG Total</t>
  </si>
  <si>
    <t xml:space="preserve">            (85127) FLB SOUTHW CHIX W/RICE &amp; BEANS Total</t>
  </si>
  <si>
    <t xml:space="preserve">            (85205) FLB WHITE CHICKEN CHILI Total</t>
  </si>
  <si>
    <t xml:space="preserve">            (85215) FLB CHILI W/BEANS Total</t>
  </si>
  <si>
    <t xml:space="preserve">            (85211) FLB BEEF STEW Total</t>
  </si>
  <si>
    <t xml:space="preserve">            (85212) FLB SPAGHETTI IN TOMATO SAUCE Total</t>
  </si>
  <si>
    <t xml:space="preserve">            (85213) FLB CHEESY MAC Total</t>
  </si>
  <si>
    <t xml:space="preserve">            (85216) FLB PIZZA MAC Total</t>
  </si>
  <si>
    <t xml:space="preserve">            (85204) FLB CHICKEN Total</t>
  </si>
  <si>
    <t xml:space="preserve">            (85210) FLB CHILI W/BEANS Total</t>
  </si>
  <si>
    <t xml:space="preserve">            (85217) FLB BEEF STEW Total</t>
  </si>
  <si>
    <t xml:space="preserve">            (85200) TOMATO SOUP Total</t>
  </si>
  <si>
    <t xml:space="preserve">            (85137) CREAM OF MUSHROOM SOUP Total</t>
  </si>
  <si>
    <t xml:space="preserve">            (85202) VEGETABLE SOUP Total</t>
  </si>
  <si>
    <t xml:space="preserve">            (85203) CHICKEN NOODLE SOUP Total</t>
  </si>
  <si>
    <t xml:space="preserve">            (98000-24) FLB CHEESY MAC 7.0 TRAY Total</t>
  </si>
  <si>
    <t xml:space="preserve">            (98001-24) FLB JAMBALYA 7.0 TRAY Total</t>
  </si>
  <si>
    <t xml:space="preserve">            (98002-24) FLB PASTA FAGIOLI 7.0 OZ. TRAY Total</t>
  </si>
  <si>
    <t xml:space="preserve">            (98003-24) FLB SOUTHWEST BOWL 7.0 TRAY Total</t>
  </si>
  <si>
    <t>Union Supply Total</t>
  </si>
  <si>
    <t>Red Gold Total</t>
  </si>
  <si>
    <t>BREAKFAST MENU 1 PERISHABLE</t>
  </si>
  <si>
    <t>BREAKFAST MENU 3 PERISHABLE</t>
  </si>
  <si>
    <t>BREAKFAST MENU 6 PERISHABLE</t>
  </si>
  <si>
    <t>LUNCH/DINNER MENU 1 PERISHABL</t>
  </si>
  <si>
    <t>LUNCH/DINNER MENU 7 PERISHABL</t>
  </si>
  <si>
    <t>LUNCH/DINNER MENU 8 PERISHABL</t>
  </si>
  <si>
    <t>BANANA AND PUMPKIN</t>
  </si>
  <si>
    <t>BREAKFAST MENU 2 PERISHABLE</t>
  </si>
  <si>
    <t>BREAKFAST MENU 4 PERISHABLE</t>
  </si>
  <si>
    <t>BREAKFAST MENU 5 PERISHABLE</t>
  </si>
  <si>
    <t>BREAKFAST MENU 7 PERISHABLE</t>
  </si>
  <si>
    <t>LUNCH/DINNER MENU 2 PERISHABL</t>
  </si>
  <si>
    <t>LUNCH/DINNER MENU 4 PERISHABL</t>
  </si>
  <si>
    <t>LUNCH/DINNER MENU 5 PERISHABL</t>
  </si>
  <si>
    <t>LUNCH/DINNER MENU 6 PERISHABL</t>
  </si>
  <si>
    <t>C53314</t>
  </si>
  <si>
    <t>CHICKEN CASSEROLE 4.0 OZ. 12 CT. CASE</t>
  </si>
  <si>
    <t>(8030) USDA PASTA, WG ELBOWS 24/1LB Total</t>
  </si>
  <si>
    <t>(8031) USDA PASTA, WG ROTINI 12/1LB Total</t>
  </si>
  <si>
    <t>(8032) USDA PASTA, PLAIN ELBOWS 20/1LB Total</t>
  </si>
  <si>
    <t>(8034) GOODERS - CHED OVER HEELS Total</t>
  </si>
  <si>
    <t>(8035) GOODERS - SHELL WE DANCE Total</t>
  </si>
  <si>
    <t>(8036) GOODERS - QUESO TELL ME MORE Total</t>
  </si>
  <si>
    <t>APACK Cases Total</t>
  </si>
  <si>
    <t>Luxfer Menus Total</t>
  </si>
  <si>
    <t>UGRA Total</t>
  </si>
  <si>
    <t>Jan</t>
  </si>
  <si>
    <t>Feb</t>
  </si>
  <si>
    <t>Mar</t>
  </si>
  <si>
    <t>Apr</t>
  </si>
  <si>
    <t>Sep</t>
  </si>
  <si>
    <t>(C53310) PASTA MARINARA W/VEGGIES 4.0 OZ 12 CT CS</t>
  </si>
  <si>
    <t>(85218) FLB POLLO ASADO 4.5 OZ 48 CT</t>
  </si>
  <si>
    <t>(SKJST001) SER WILD CAUGHT SALMON TERIYAKI</t>
  </si>
  <si>
    <t>(SKJST001-B) WILD CAUGHT SALMON TERIYAKI 3.5 OZ. 50 CT. rd</t>
  </si>
  <si>
    <t>(USDA-CHILI) USDA CHILI</t>
  </si>
  <si>
    <t>SPP</t>
  </si>
  <si>
    <t>SKCHK001</t>
  </si>
  <si>
    <t>85138-24</t>
  </si>
  <si>
    <t>85206-24</t>
  </si>
  <si>
    <t>RRFG001</t>
  </si>
  <si>
    <t>6301</t>
  </si>
  <si>
    <t>6302</t>
  </si>
  <si>
    <t>6303</t>
  </si>
  <si>
    <t>6304</t>
  </si>
  <si>
    <t>6305</t>
  </si>
  <si>
    <t>6306</t>
  </si>
  <si>
    <t>MRE BaseV3</t>
  </si>
  <si>
    <t xml:space="preserve">            (85218) POLLO ASADO 4.5 OZ</t>
  </si>
  <si>
    <t>Emergency drinking waterY3NS</t>
  </si>
  <si>
    <t>RR005</t>
  </si>
  <si>
    <t>RR006</t>
  </si>
  <si>
    <t>RR007</t>
  </si>
  <si>
    <t>Non FG</t>
  </si>
  <si>
    <t>Count of prodDate</t>
  </si>
  <si>
    <t>Y4/Y5</t>
  </si>
  <si>
    <t>(85138T-24) FLB BUFFALO CHICKEN 4.5 OZ REPACK</t>
  </si>
  <si>
    <t>(78493) NT H0N ALMD BTR SQ  60-1.15 OZ</t>
  </si>
  <si>
    <t>(PETER) PETERSON FARMS</t>
  </si>
  <si>
    <t>(PETEGRPJUCE) PTRSN FRMS GRP JUICE W/STRAW 96CT 4OZ</t>
  </si>
  <si>
    <t>85138T-24</t>
  </si>
  <si>
    <t>(PETEAPPJUCE) PTRSN FRMS APPLE JUICE W/STRAWS 96CT 4OZ</t>
  </si>
  <si>
    <t>(85218T-24) FLB POLLO ASADO 4.5 OZ 48 to 24 REPACK</t>
  </si>
  <si>
    <t>(85216T-24) FLB PIZZA MAC REPACK 48-24</t>
  </si>
  <si>
    <t>(16816-39560) MOM PASTA W/GARDEN VEGETABLES 6 - 10 OZ.</t>
  </si>
  <si>
    <t>(16816-42000) J &amp; M BEEF STEW 6 - 10 OZ.</t>
  </si>
  <si>
    <t>(SKCTM001) SER FR CHICKEN TIKKA MASALA</t>
  </si>
  <si>
    <t>(SKCTM001-B) SER FR CHICKEN TIKKA MASALA 50 CT. CS.</t>
  </si>
  <si>
    <t>(SKTCC001) SER FR COCONUT CURRY W/CHICKEN</t>
  </si>
  <si>
    <t>(SKTCC001-B) SER COCONUT CURRY W/CHICKEN 50 CT.</t>
  </si>
  <si>
    <t>(0720146000) PLUM 4OZ 12CT CRT/SPIN/TURK/CRN</t>
  </si>
  <si>
    <t>(RRFG001) READY RATION FINISHED CASE - V01</t>
  </si>
  <si>
    <t>(8035A) GOODERS - SHELL WE DANCE</t>
  </si>
  <si>
    <t>(78490) NT CL ALM BTR SQ PK 60-1.15 OZ</t>
  </si>
  <si>
    <t>(PETEBRYBLND) PTRSN FRMS BRRY BLND W/STRAW 96CT 4 OZ</t>
  </si>
  <si>
    <t>2201O</t>
  </si>
  <si>
    <t>OCONUS BREAKFAST MENU 1 PERIS</t>
  </si>
  <si>
    <t>2203O</t>
  </si>
  <si>
    <t>OCONUS BREAKFAST MENU 2 PERIS</t>
  </si>
  <si>
    <t>2205O</t>
  </si>
  <si>
    <t>OCONUS BREAKFAST MENU 3 PERIS</t>
  </si>
  <si>
    <t>2207O</t>
  </si>
  <si>
    <t>OCONUS BREAKFAST MENU 4 PERIS</t>
  </si>
  <si>
    <t>2209O</t>
  </si>
  <si>
    <t>OCONUS BREAKFAST MENU 5 PERIS</t>
  </si>
  <si>
    <t>2211O</t>
  </si>
  <si>
    <t>OCONUS BREAKFAST MENU 6 PERIS</t>
  </si>
  <si>
    <t>2231O</t>
  </si>
  <si>
    <t>OCONUS LUNCH/DINNER MENU 1 PE</t>
  </si>
  <si>
    <t>2233O</t>
  </si>
  <si>
    <t>OCONUS LUNCH/DINNER MENU 2 PE</t>
  </si>
  <si>
    <t>2235O</t>
  </si>
  <si>
    <t>OCONUS LUNCH/DINNER MENU 3 PE</t>
  </si>
  <si>
    <t>2237O</t>
  </si>
  <si>
    <t>OCONUS LUNCH/DINNER MENU 4 PE</t>
  </si>
  <si>
    <t>2239O</t>
  </si>
  <si>
    <t>OCONUS LUNCH/DINNER MENU 5 PE</t>
  </si>
  <si>
    <t>2241O</t>
  </si>
  <si>
    <t>OCONUS LUNCH/DINNER MENU 6 PE</t>
  </si>
  <si>
    <t>2243O</t>
  </si>
  <si>
    <t>OCONUS LUNCH/DINNER MENU 7 PE</t>
  </si>
  <si>
    <t>2245O</t>
  </si>
  <si>
    <t>OCONUS LUNCH/DINNER MENU 8 PE</t>
  </si>
  <si>
    <t>2247O</t>
  </si>
  <si>
    <t>OCONUS LUNCH/DINNER MENU 9 PE</t>
  </si>
  <si>
    <t>2249O</t>
  </si>
  <si>
    <t>OCONUS LUNCH/DINNER MENU10 PE</t>
  </si>
  <si>
    <t>2251O</t>
  </si>
  <si>
    <t>OCONUS LUNCH/DINNER MENU11 PE</t>
  </si>
  <si>
    <t>2253O</t>
  </si>
  <si>
    <t>OCONUS LUNCH/DINNER MENU12 PE</t>
  </si>
  <si>
    <t>2255O</t>
  </si>
  <si>
    <t>OCONUS LUNCH/DINNER MENU13 PE</t>
  </si>
  <si>
    <t>2257O</t>
  </si>
  <si>
    <t>OCONUS LUNCH/DINNER MENU14 PE</t>
  </si>
  <si>
    <t>SKMCS001</t>
  </si>
  <si>
    <t>85120-48</t>
  </si>
  <si>
    <t>SKTKV001</t>
  </si>
  <si>
    <t>521020</t>
  </si>
  <si>
    <t>6311</t>
  </si>
  <si>
    <t>6312</t>
  </si>
  <si>
    <t>6313</t>
  </si>
  <si>
    <t>6314</t>
  </si>
  <si>
    <t>6315</t>
  </si>
  <si>
    <t>6316</t>
  </si>
  <si>
    <t>MFG0367079</t>
  </si>
  <si>
    <t>Starkist WHITE 5.0 OZ</t>
  </si>
  <si>
    <t>Starkist 5.0 Oz</t>
  </si>
  <si>
    <t>Scott Pet Cat</t>
  </si>
  <si>
    <t>Scott Pet Dog</t>
  </si>
  <si>
    <t>85218T-24</t>
  </si>
  <si>
    <t>Pasta Days</t>
  </si>
  <si>
    <t>Old</t>
  </si>
  <si>
    <t>New</t>
  </si>
  <si>
    <t>LUNCH/DINNER MENU 3 PERISHABL</t>
  </si>
  <si>
    <t>LUNCH/DINNER MENU 9 PERISHABL</t>
  </si>
  <si>
    <t>LUNCH/DINNER MENU10 PERISHABL</t>
  </si>
  <si>
    <t>LUNCH/DINNER MENU12 PERISHABL</t>
  </si>
  <si>
    <t>(16816-31040) MOM CHICKEN &amp; BLACK BEANS 6 - 10 OZ.</t>
  </si>
  <si>
    <t>(16816-32000) MOM BEEF STEW 6 - 10 OZ.</t>
  </si>
  <si>
    <t>(16816-32011) MOM OLD WORLD STEW 6 - 10 OZ.</t>
  </si>
  <si>
    <t>(7019) BUFFALO CHICKEN 5.0 F. WT.</t>
  </si>
  <si>
    <t>(7033) THAI RED CURRY W/CHICKEN 8 OZ.</t>
  </si>
  <si>
    <t>(7036) TUSCAN LENTILS</t>
  </si>
  <si>
    <t>(7046) BEEF PICADILLO 8 OZ.</t>
  </si>
  <si>
    <t>(PT300) MASHED POTATOES POLY TRAY</t>
  </si>
  <si>
    <t>(20025) DRINKING WATER CENTER SPOUT</t>
  </si>
  <si>
    <t>1371G</t>
  </si>
  <si>
    <t>2332</t>
  </si>
  <si>
    <t>SHORT LUN DIN # 2 SEMI</t>
  </si>
  <si>
    <t>MFG0367035</t>
  </si>
  <si>
    <t>2200O</t>
  </si>
  <si>
    <t>OCONUS BREAKFAST 1 SEMI-PERISH</t>
  </si>
  <si>
    <t>2202O</t>
  </si>
  <si>
    <t>OCONUS BREAKFAST 2 SEMI-PERISH</t>
  </si>
  <si>
    <t>2204O</t>
  </si>
  <si>
    <t>OCONUS BREAKFAST MENU 3, SEMI-</t>
  </si>
  <si>
    <t>2206O</t>
  </si>
  <si>
    <t>OCONUS BREAKFAST MENU 4, SEMI-</t>
  </si>
  <si>
    <t>2208O</t>
  </si>
  <si>
    <t>OCONUS BREAKFAST MENU 5, SEMI-</t>
  </si>
  <si>
    <t>2210O</t>
  </si>
  <si>
    <t>OCONUS BREAKFAST MENU 6, SEMI-</t>
  </si>
  <si>
    <t>2212O</t>
  </si>
  <si>
    <t>OCONUS BREAKFAST MENU 7, SEMI-</t>
  </si>
  <si>
    <t>MFG0366966</t>
  </si>
  <si>
    <t>MFG0365466</t>
  </si>
  <si>
    <t>2230O</t>
  </si>
  <si>
    <t>OCONUS LUNCH/DINNER MENU 1, SE</t>
  </si>
  <si>
    <t>2232O</t>
  </si>
  <si>
    <t>OCONUS LUNCH/DINNER MENU 2, SE</t>
  </si>
  <si>
    <t>2234O</t>
  </si>
  <si>
    <t>OCONUS LUNCH/DINNER MENU 3, SE</t>
  </si>
  <si>
    <t>2238O</t>
  </si>
  <si>
    <t>OCONUS LUNCH/DINNER MENU 5, SE</t>
  </si>
  <si>
    <t>2240O</t>
  </si>
  <si>
    <t>OCONUS LUNCH/DINNER MENU 6, SE</t>
  </si>
  <si>
    <t>2242O</t>
  </si>
  <si>
    <t>OCONUS LUNCH/DINNER MENU 7, SE</t>
  </si>
  <si>
    <t>2246O</t>
  </si>
  <si>
    <t>OCONUS LUNCH/DINNER MENU 9, SE</t>
  </si>
  <si>
    <t>2248O</t>
  </si>
  <si>
    <t>OCONUS LUNCH/DINNER MENU 10, S</t>
  </si>
  <si>
    <t>2250O</t>
  </si>
  <si>
    <t>OCONUS LUNCH/DINNER MENU 11, S</t>
  </si>
  <si>
    <t>2252O</t>
  </si>
  <si>
    <t>OCONUS LUNCH/DINNER MENU 12, S</t>
  </si>
  <si>
    <t>2256O</t>
  </si>
  <si>
    <t>OCONUS LUNCH/DINNER MENU 14, S</t>
  </si>
  <si>
    <t>MFG0367058</t>
  </si>
  <si>
    <t>MFG0370961</t>
  </si>
  <si>
    <t>MFG0366563</t>
  </si>
  <si>
    <t>MFG0366449</t>
  </si>
  <si>
    <t>MFG0370960</t>
  </si>
  <si>
    <t>MFG0366507</t>
  </si>
  <si>
    <t>MFG0370951</t>
  </si>
  <si>
    <t>MFG0365931</t>
  </si>
  <si>
    <t>MFG0370944</t>
  </si>
  <si>
    <t>SOUTHWEST BEEF &amp; BLACK BEAN</t>
  </si>
  <si>
    <t>2213O</t>
  </si>
  <si>
    <t>OCONUS BREAKFAST MENU 7 PERIS</t>
  </si>
  <si>
    <t>SKSAL001-B</t>
  </si>
  <si>
    <t>85220-48</t>
  </si>
  <si>
    <t xml:space="preserve">            (85220) FLB CHILI W/BEANS</t>
  </si>
  <si>
    <t>15 OZ</t>
  </si>
  <si>
    <t>(85120-48) FLB SPAGHETTI W/MEAT SAUCE 8 OZ. 48 CT. CS.</t>
  </si>
  <si>
    <t>(900101NM) COMM GRP JELLY 400/1OZ</t>
  </si>
  <si>
    <t>(900102NM) COMM APL JEL  400-1 OZ</t>
  </si>
  <si>
    <t>(900403NM) COMM MRE     CHUN PNB 300-1 OZ</t>
  </si>
  <si>
    <t>(900126) MRE ENG GEL LEMO LIME 200-60 G</t>
  </si>
  <si>
    <t>(900128) MRE ENG GEL MIX BERRY 200-60 G</t>
  </si>
  <si>
    <t>(907013) STERLIN WHT ICE  75-6 OZ   MRE</t>
  </si>
  <si>
    <t>(907015) STERLING CHOC ICING 75/6 OZ</t>
  </si>
  <si>
    <t>SHORT LUN DIN # 3 PERISH</t>
  </si>
  <si>
    <t>SHORT LUN DIN # 4 PERISH</t>
  </si>
  <si>
    <t>PATE CAT TURKEY &amp; GIBLETS 2.6 OZ. 12 CT.</t>
  </si>
  <si>
    <t>2331O</t>
  </si>
  <si>
    <t>OCONUS S LUN DIN #1 PERISH</t>
  </si>
  <si>
    <t>2333O</t>
  </si>
  <si>
    <t>OCONUS S LUN DIN # 2 PERISH</t>
  </si>
  <si>
    <t>2335O</t>
  </si>
  <si>
    <t>OCONUS S LUN DIN # 3 PERISH</t>
  </si>
  <si>
    <t>2337O</t>
  </si>
  <si>
    <t>OCONUS S LUN DIN # 4 PERISH</t>
  </si>
  <si>
    <t>MFG0372019</t>
  </si>
  <si>
    <t>SKCSP001</t>
  </si>
  <si>
    <t>SKCSPBULK</t>
  </si>
  <si>
    <t>C53313</t>
  </si>
  <si>
    <t>BEEF MEDLEY 4.0 OZ. - 12 CT. CS</t>
  </si>
  <si>
    <t>BUFFALO CHICKEN 5.0 F. WT.</t>
  </si>
  <si>
    <t>THAI RED CURRY W/CHICKEN 8 OZ.</t>
  </si>
  <si>
    <t xml:space="preserve">BEEF PICADILLO 8 OZ. </t>
  </si>
  <si>
    <t>(85220-48) FLB CHILI W/BEANS 7 OZ 48 CT</t>
  </si>
  <si>
    <t>(1831) SDR SWT POT GRP SMTHIE 7.5 OZ</t>
  </si>
  <si>
    <t>Actual</t>
  </si>
  <si>
    <t>PT320</t>
  </si>
  <si>
    <t>SOUTHWESTERN CHICKEN CHILI</t>
  </si>
  <si>
    <t>SKTKV001-B</t>
  </si>
  <si>
    <t>PR TURKEY W/CAR, ZUC &amp; CELERY BULK PACK</t>
  </si>
  <si>
    <t>PT516</t>
  </si>
  <si>
    <t>CORNED BEEF HASH</t>
  </si>
  <si>
    <t>Amount</t>
  </si>
  <si>
    <t>Sum of Amount</t>
  </si>
  <si>
    <t>(blank)</t>
  </si>
  <si>
    <t>MRE Placeable</t>
  </si>
  <si>
    <t>1371K</t>
  </si>
  <si>
    <t>1371L</t>
  </si>
  <si>
    <t>8036B</t>
  </si>
  <si>
    <t>8034B</t>
  </si>
  <si>
    <t>8035B</t>
  </si>
  <si>
    <t>MFG0371585</t>
  </si>
  <si>
    <t>1371M</t>
  </si>
  <si>
    <t>1371N</t>
  </si>
  <si>
    <t>MFG0365703</t>
  </si>
  <si>
    <t>MFG0365818</t>
  </si>
  <si>
    <t>MFG0366452</t>
  </si>
  <si>
    <t>MFG0366995</t>
  </si>
  <si>
    <t>MFG0371849</t>
  </si>
  <si>
    <t>MFG0367312</t>
  </si>
  <si>
    <t>MFG0370735</t>
  </si>
  <si>
    <t>MFG0366279</t>
  </si>
  <si>
    <t>MFG0366681</t>
  </si>
  <si>
    <t>MFG0370721</t>
  </si>
  <si>
    <t>MFG0367313</t>
  </si>
  <si>
    <t>MFG0370734</t>
  </si>
  <si>
    <t>MFG0359285</t>
  </si>
  <si>
    <t>MFG0359289</t>
  </si>
  <si>
    <t>MFG0365531</t>
  </si>
  <si>
    <t>MFG0365587</t>
  </si>
  <si>
    <t>MFG0366567</t>
  </si>
  <si>
    <t>MFG0370722</t>
  </si>
  <si>
    <t>MFG0367145</t>
  </si>
  <si>
    <t>MFG0367259</t>
  </si>
  <si>
    <t>MFG0370733</t>
  </si>
  <si>
    <t>MFG0365704</t>
  </si>
  <si>
    <t>MFG0365819</t>
  </si>
  <si>
    <t>MFG0365876</t>
  </si>
  <si>
    <t>MFG0365933</t>
  </si>
  <si>
    <t>MFG0366280</t>
  </si>
  <si>
    <t>MFG0366624</t>
  </si>
  <si>
    <t>MFG0370723</t>
  </si>
  <si>
    <t>MFG0366996</t>
  </si>
  <si>
    <t>MFG0367314</t>
  </si>
  <si>
    <t>MFG0370732</t>
  </si>
  <si>
    <t>MFG0365646</t>
  </si>
  <si>
    <t>MFG0366221</t>
  </si>
  <si>
    <t>MFG0366338</t>
  </si>
  <si>
    <t>MFG0366682</t>
  </si>
  <si>
    <t>MFG0366740</t>
  </si>
  <si>
    <t>MFG0366798</t>
  </si>
  <si>
    <t>MFG0370724</t>
  </si>
  <si>
    <t>MFG0370963</t>
  </si>
  <si>
    <t>MFG0367144</t>
  </si>
  <si>
    <t>MFG0367315</t>
  </si>
  <si>
    <t>MFG0370738</t>
  </si>
  <si>
    <t>MFG0359286</t>
  </si>
  <si>
    <t>MFG0359290</t>
  </si>
  <si>
    <t>MFG0365473</t>
  </si>
  <si>
    <t>MFG0365588</t>
  </si>
  <si>
    <t>MFG0365589</t>
  </si>
  <si>
    <t>MFG0365705</t>
  </si>
  <si>
    <t>MFG0365761</t>
  </si>
  <si>
    <t>MFG0366048</t>
  </si>
  <si>
    <t>MFG0366164</t>
  </si>
  <si>
    <t>MFG0366163</t>
  </si>
  <si>
    <t>MFG0366222</t>
  </si>
  <si>
    <t>MFG0366396</t>
  </si>
  <si>
    <t>MFG0366453</t>
  </si>
  <si>
    <t>MFG0366511</t>
  </si>
  <si>
    <t>MFG0366510</t>
  </si>
  <si>
    <t>MFG0366568</t>
  </si>
  <si>
    <t>MFG0366625</t>
  </si>
  <si>
    <t>MFG0371944</t>
  </si>
  <si>
    <t>MFG0371945</t>
  </si>
  <si>
    <t>MFG0371946</t>
  </si>
  <si>
    <t>MFG0371947</t>
  </si>
  <si>
    <t>MFG0371948</t>
  </si>
  <si>
    <t>MFG0371949</t>
  </si>
  <si>
    <t>MFG0371950</t>
  </si>
  <si>
    <t>MFG0371951</t>
  </si>
  <si>
    <t>MFG0371956</t>
  </si>
  <si>
    <t>MFG0371957</t>
  </si>
  <si>
    <t>MFG0371958</t>
  </si>
  <si>
    <t>MFG0371959</t>
  </si>
  <si>
    <t>MFG0371960</t>
  </si>
  <si>
    <t>MFG0371961</t>
  </si>
  <si>
    <t>MFG0371952</t>
  </si>
  <si>
    <t>MFG0371953</t>
  </si>
  <si>
    <t>MFG0371955</t>
  </si>
  <si>
    <t>MFG0371962</t>
  </si>
  <si>
    <t>2330O</t>
  </si>
  <si>
    <t>OCONUS S LUN DIN #1 SEMI</t>
  </si>
  <si>
    <t>MFG0371963</t>
  </si>
  <si>
    <t>2332O</t>
  </si>
  <si>
    <t>OCONUS S LUN DIN # 2 SEMI</t>
  </si>
  <si>
    <t>MFG0371964</t>
  </si>
  <si>
    <t>2334O</t>
  </si>
  <si>
    <t>OCONUS S LUN DIN # 3 SEMI</t>
  </si>
  <si>
    <t>MFG0371965</t>
  </si>
  <si>
    <t>2336O</t>
  </si>
  <si>
    <t>OCONUS S LUN DIN # 4 SEMI</t>
  </si>
  <si>
    <t>MFG0371966</t>
  </si>
  <si>
    <t>2338O</t>
  </si>
  <si>
    <t>OCONUS S LUN DIN # 5 SEMI</t>
  </si>
  <si>
    <t>MFG0371967</t>
  </si>
  <si>
    <t>2340O</t>
  </si>
  <si>
    <t>OCONUS S LUN DIN # 6 SEMI</t>
  </si>
  <si>
    <t>MFG0367198</t>
  </si>
  <si>
    <t>MFG0367316</t>
  </si>
  <si>
    <t>MFG0370739</t>
  </si>
  <si>
    <t>MFG0365474</t>
  </si>
  <si>
    <t>MFG0365762</t>
  </si>
  <si>
    <t>MFG0365820</t>
  </si>
  <si>
    <t>MFG0365877</t>
  </si>
  <si>
    <t>MFG0365934</t>
  </si>
  <si>
    <t>MFG0365991</t>
  </si>
  <si>
    <t>MFG0366569</t>
  </si>
  <si>
    <t>MFG0366626</t>
  </si>
  <si>
    <t>MFG0366683</t>
  </si>
  <si>
    <t>MFG0366741</t>
  </si>
  <si>
    <t>MFG0370964</t>
  </si>
  <si>
    <t>MFG0367260</t>
  </si>
  <si>
    <t>MFG0370740</t>
  </si>
  <si>
    <t>MFG0359291</t>
  </si>
  <si>
    <t>MFG0359298</t>
  </si>
  <si>
    <t>MFG0365532</t>
  </si>
  <si>
    <t>MFG0365590</t>
  </si>
  <si>
    <t>MFG0365647</t>
  </si>
  <si>
    <t>MFG0365706</t>
  </si>
  <si>
    <t>MFG0366108</t>
  </si>
  <si>
    <t>MFG0366165</t>
  </si>
  <si>
    <t>MFG0366223</t>
  </si>
  <si>
    <t>MFG0366281</t>
  </si>
  <si>
    <t>MFG0366339</t>
  </si>
  <si>
    <t>MFG0366397</t>
  </si>
  <si>
    <t>MFG0366454</t>
  </si>
  <si>
    <t>MFG0366512</t>
  </si>
  <si>
    <t>MFG0367317</t>
  </si>
  <si>
    <t>MFG0370741</t>
  </si>
  <si>
    <t>MFG0365475</t>
  </si>
  <si>
    <t>MFG0365533</t>
  </si>
  <si>
    <t>MFG0365763</t>
  </si>
  <si>
    <t>MFG0365821</t>
  </si>
  <si>
    <t>MFG0365878</t>
  </si>
  <si>
    <t>MFG0365935</t>
  </si>
  <si>
    <t>MFG0365992</t>
  </si>
  <si>
    <t>MFG0366050</t>
  </si>
  <si>
    <t>MFG0366627</t>
  </si>
  <si>
    <t>MFG0366684</t>
  </si>
  <si>
    <t>MFG0366742</t>
  </si>
  <si>
    <t>MFG0366799</t>
  </si>
  <si>
    <t>MFG0367318</t>
  </si>
  <si>
    <t>MFG0365591</t>
  </si>
  <si>
    <t>MFG0365648</t>
  </si>
  <si>
    <t>MFG0366051</t>
  </si>
  <si>
    <t>MFG0366109</t>
  </si>
  <si>
    <t>MFG0366166</t>
  </si>
  <si>
    <t>MFG0366282</t>
  </si>
  <si>
    <t>MFG0366340</t>
  </si>
  <si>
    <t>MFG0366398</t>
  </si>
  <si>
    <t>MFG0366455</t>
  </si>
  <si>
    <t>MFG0366513</t>
  </si>
  <si>
    <t>MFG0366570</t>
  </si>
  <si>
    <t>MFG0366628</t>
  </si>
  <si>
    <t>MFG0372112</t>
  </si>
  <si>
    <t>MFG0370952</t>
  </si>
  <si>
    <t>MFG0370736</t>
  </si>
  <si>
    <t>MFG0359292</t>
  </si>
  <si>
    <t>MFG0359299</t>
  </si>
  <si>
    <t>MFG0365476</t>
  </si>
  <si>
    <t>MFG0365534</t>
  </si>
  <si>
    <t>MFG0365592</t>
  </si>
  <si>
    <t>MFG0365649</t>
  </si>
  <si>
    <t>MFG0365707</t>
  </si>
  <si>
    <t>MFG0365764</t>
  </si>
  <si>
    <t>MFG0365822</t>
  </si>
  <si>
    <t>MFG0365879</t>
  </si>
  <si>
    <t>MFG0365936</t>
  </si>
  <si>
    <t>MFG0365993</t>
  </si>
  <si>
    <t>MFG0366685</t>
  </si>
  <si>
    <t>MFG0366800</t>
  </si>
  <si>
    <t>MFG0372113</t>
  </si>
  <si>
    <t>MFG0370954</t>
  </si>
  <si>
    <t>MFG0370737</t>
  </si>
  <si>
    <t>MFG0359293</t>
  </si>
  <si>
    <t>MFG0359300</t>
  </si>
  <si>
    <t>MFG0366110</t>
  </si>
  <si>
    <t>MFG0366167</t>
  </si>
  <si>
    <t>MFG0366224</t>
  </si>
  <si>
    <t>MFG0366283</t>
  </si>
  <si>
    <t>MFG0366341</t>
  </si>
  <si>
    <t>MFG0366399</t>
  </si>
  <si>
    <t>MFG0366456</t>
  </si>
  <si>
    <t>MFG0366514</t>
  </si>
  <si>
    <t>MFG0366571</t>
  </si>
  <si>
    <t>MFG0366629</t>
  </si>
  <si>
    <t>MFG0366686</t>
  </si>
  <si>
    <t>MFG0366743</t>
  </si>
  <si>
    <t>MFG0370955</t>
  </si>
  <si>
    <t>MFG0370742</t>
  </si>
  <si>
    <t>MFG0365477</t>
  </si>
  <si>
    <t>MFG0365650</t>
  </si>
  <si>
    <t>MFG0365709</t>
  </si>
  <si>
    <t>MFG0365708</t>
  </si>
  <si>
    <t>MFG0365765</t>
  </si>
  <si>
    <t>MFG0365766</t>
  </si>
  <si>
    <t>MFG0365880</t>
  </si>
  <si>
    <t>MFG0365937</t>
  </si>
  <si>
    <t>MFG0365994</t>
  </si>
  <si>
    <t>MFG0366052</t>
  </si>
  <si>
    <t>MFG0366168</t>
  </si>
  <si>
    <t>MFG0366801</t>
  </si>
  <si>
    <t>MFG0370957</t>
  </si>
  <si>
    <t>MFG0370743</t>
  </si>
  <si>
    <t>MFG0359294</t>
  </si>
  <si>
    <t>MFG0359301</t>
  </si>
  <si>
    <t>MFG0366225</t>
  </si>
  <si>
    <t>MFG0366342</t>
  </si>
  <si>
    <t>MFG0366400</t>
  </si>
  <si>
    <t>MFG0366457</t>
  </si>
  <si>
    <t>MFG0366515</t>
  </si>
  <si>
    <t>MFG0366572</t>
  </si>
  <si>
    <t>MFG0366630</t>
  </si>
  <si>
    <t>MFG0366687</t>
  </si>
  <si>
    <t>MFG0370942</t>
  </si>
  <si>
    <t>MFG0367226</t>
  </si>
  <si>
    <t>MFG0370744</t>
  </si>
  <si>
    <t>MFG0365478</t>
  </si>
  <si>
    <t>MFG0365535</t>
  </si>
  <si>
    <t>MFG0365593</t>
  </si>
  <si>
    <t>MFG0365651</t>
  </si>
  <si>
    <t>MFG0365823</t>
  </si>
  <si>
    <t>MFG0365881</t>
  </si>
  <si>
    <t>MFG0365938</t>
  </si>
  <si>
    <t>MFG0365995</t>
  </si>
  <si>
    <t>MFG0366053</t>
  </si>
  <si>
    <t>MFG0366111</t>
  </si>
  <si>
    <t>MFG0366744</t>
  </si>
  <si>
    <t>MFG0366802</t>
  </si>
  <si>
    <t>MFG0367212</t>
  </si>
  <si>
    <t>MFG0370745</t>
  </si>
  <si>
    <t>MFG0359295</t>
  </si>
  <si>
    <t>MFG0359302</t>
  </si>
  <si>
    <t>MFG0366112</t>
  </si>
  <si>
    <t>MFG0366169</t>
  </si>
  <si>
    <t>MFG0366226</t>
  </si>
  <si>
    <t>MFG0366284</t>
  </si>
  <si>
    <t>MFG0366458</t>
  </si>
  <si>
    <t>MFG0366516</t>
  </si>
  <si>
    <t>MFG0366573</t>
  </si>
  <si>
    <t>MFG0366631</t>
  </si>
  <si>
    <t>MFG0371851</t>
  </si>
  <si>
    <t>MFG0370746</t>
  </si>
  <si>
    <t>MFG0365824</t>
  </si>
  <si>
    <t>MFG0365882</t>
  </si>
  <si>
    <t>MFG0365939</t>
  </si>
  <si>
    <t>MFG0365996</t>
  </si>
  <si>
    <t>MFG0366688</t>
  </si>
  <si>
    <t>MFG0366745</t>
  </si>
  <si>
    <t>MFG0366803</t>
  </si>
  <si>
    <t>(8034B) GOODERS - CHED OVER HEELS</t>
  </si>
  <si>
    <t>(8035B) GOODERS - SHELL WE DANCE</t>
  </si>
  <si>
    <t>3 month totals</t>
  </si>
  <si>
    <t>Oct S&amp;OP Total</t>
  </si>
  <si>
    <t>(OTHER-MRE) OTHER-MRE</t>
  </si>
  <si>
    <t>(521020) CHICKEN SALAD 5.0 OZ</t>
  </si>
  <si>
    <t>(8036B) GOODERS - QUESO TELL ME MORE</t>
  </si>
  <si>
    <t>FDS</t>
  </si>
  <si>
    <t>Pck</t>
  </si>
  <si>
    <t>STK WHITE CHICKEN 12-2.6 OZ.</t>
  </si>
  <si>
    <t>5307</t>
  </si>
  <si>
    <t>5308</t>
  </si>
  <si>
    <t>5309</t>
  </si>
  <si>
    <t>5310</t>
  </si>
  <si>
    <t>5311</t>
  </si>
  <si>
    <t>5314</t>
  </si>
  <si>
    <t xml:space="preserve">USDA CHILI W/BEANS 12-15 OZ. </t>
  </si>
  <si>
    <t>85217-24</t>
  </si>
  <si>
    <t>STK CHICKEN SALAD 12-2.6 OZ.</t>
  </si>
  <si>
    <t>FLB CHICKEN 36-10 OZ</t>
  </si>
  <si>
    <t>STK WHITE CHKN REDUCE 12-2.6 OZ</t>
  </si>
  <si>
    <t>85220-24</t>
  </si>
  <si>
    <t>85134-24</t>
  </si>
  <si>
    <t xml:space="preserve">FLB CHILI W/BEANS 12-15 OZ. </t>
  </si>
  <si>
    <t>PT518</t>
  </si>
  <si>
    <t>PORK SAUSAGE LINKS</t>
  </si>
  <si>
    <t>SKBIS001</t>
  </si>
  <si>
    <t>MFG0372063</t>
  </si>
  <si>
    <t>MFG0372066</t>
  </si>
  <si>
    <t>STK WHITE CHICKEN 12-5OZ</t>
  </si>
  <si>
    <t>SIM</t>
  </si>
  <si>
    <t>STK ORG BBQ CHICKEN12-2.6 OZ.</t>
  </si>
  <si>
    <t>MFG0372488</t>
  </si>
  <si>
    <t>MFG0373226</t>
  </si>
  <si>
    <t>w3</t>
  </si>
  <si>
    <t>Nov S&amp;OP Total</t>
  </si>
  <si>
    <t>Removed Dec Orders</t>
  </si>
  <si>
    <t>Starkist</t>
  </si>
  <si>
    <t>MFG0373058</t>
  </si>
  <si>
    <t>5314-081226-M2</t>
  </si>
  <si>
    <t>MFG0373338</t>
  </si>
  <si>
    <t>5314-082726-M2</t>
  </si>
  <si>
    <t>5314-082926-M2</t>
  </si>
  <si>
    <t>5314-090226-M2</t>
  </si>
  <si>
    <t>5314-091126-M2</t>
  </si>
  <si>
    <t>5314-092126-M2</t>
  </si>
  <si>
    <t>MFG0372662</t>
  </si>
  <si>
    <t>MFG0372661</t>
  </si>
  <si>
    <t>MFG0372660</t>
  </si>
  <si>
    <t>MFG0372659</t>
  </si>
  <si>
    <t>MFG0372658</t>
  </si>
  <si>
    <t>MFG0372672</t>
  </si>
  <si>
    <t>MFG0372669</t>
  </si>
  <si>
    <t>MFG0372666</t>
  </si>
  <si>
    <t>MFG0372665</t>
  </si>
  <si>
    <t>MFG0372671</t>
  </si>
  <si>
    <t>MFG0372670</t>
  </si>
  <si>
    <t>MFG0372668</t>
  </si>
  <si>
    <t>MFG0372667</t>
  </si>
  <si>
    <t>MFG0372664</t>
  </si>
  <si>
    <t>MFG0372663</t>
  </si>
  <si>
    <t>MFG0372681</t>
  </si>
  <si>
    <t>MFG0372680</t>
  </si>
  <si>
    <t>MFG0372679</t>
  </si>
  <si>
    <t>MFG0372678</t>
  </si>
  <si>
    <t>MFG0372677</t>
  </si>
  <si>
    <t>MFG0372676</t>
  </si>
  <si>
    <t>MFG0372675</t>
  </si>
  <si>
    <t>MFG0372674</t>
  </si>
  <si>
    <t>MFG0372720</t>
  </si>
  <si>
    <t>MFG0372722</t>
  </si>
  <si>
    <t>MFG0372723</t>
  </si>
  <si>
    <t>MFG0372724</t>
  </si>
  <si>
    <t>MFG0372688</t>
  </si>
  <si>
    <t>MFG0372721</t>
  </si>
  <si>
    <t>MFG0372687</t>
  </si>
  <si>
    <t>MFG0372694</t>
  </si>
  <si>
    <t>MFG0372693</t>
  </si>
  <si>
    <t>MFG0372690</t>
  </si>
  <si>
    <t>MFG0372692</t>
  </si>
  <si>
    <t>MFG0372689</t>
  </si>
  <si>
    <t>MFG0372706</t>
  </si>
  <si>
    <t>MFG0372705</t>
  </si>
  <si>
    <t>MFG0372703</t>
  </si>
  <si>
    <t>MFG0372704</t>
  </si>
  <si>
    <t>MFG0372712</t>
  </si>
  <si>
    <t>MFG0372708</t>
  </si>
  <si>
    <t>MFG0372707</t>
  </si>
  <si>
    <t>MFG0372711</t>
  </si>
  <si>
    <t>MFG0372710</t>
  </si>
  <si>
    <t>MFG0372709</t>
  </si>
  <si>
    <t>MFG0372715</t>
  </si>
  <si>
    <t>MFG0372714</t>
  </si>
  <si>
    <t>MFG0372713</t>
  </si>
  <si>
    <t>MFG0373050</t>
  </si>
  <si>
    <t>MFG0373051</t>
  </si>
  <si>
    <t>MFG0373052</t>
  </si>
  <si>
    <t>MFG0373053</t>
  </si>
  <si>
    <t>MFG0373054</t>
  </si>
  <si>
    <t>MFG0373055</t>
  </si>
  <si>
    <t>MFG0373056</t>
  </si>
  <si>
    <t>MFG0373057</t>
  </si>
  <si>
    <t>MFG0373059</t>
  </si>
  <si>
    <t>MFG0373060</t>
  </si>
  <si>
    <t>MFG0373061</t>
  </si>
  <si>
    <t>MFG0373062</t>
  </si>
  <si>
    <t>MFG0373063</t>
  </si>
  <si>
    <t>MFG0373064</t>
  </si>
  <si>
    <t>MFG0373065</t>
  </si>
  <si>
    <t>MFG0373066</t>
  </si>
  <si>
    <t>MFG0373361</t>
  </si>
  <si>
    <t>MFG0373067</t>
  </si>
  <si>
    <t>MFG0372592</t>
  </si>
  <si>
    <t>MFG0373068</t>
  </si>
  <si>
    <t>MFG0373069</t>
  </si>
  <si>
    <t>MFG0373070</t>
  </si>
  <si>
    <t>MFG0373071</t>
  </si>
  <si>
    <t>MFG0373072</t>
  </si>
  <si>
    <t>MFG0373073</t>
  </si>
  <si>
    <t>MFG0373074</t>
  </si>
  <si>
    <t>MFG0373075</t>
  </si>
  <si>
    <t>MFG0373076</t>
  </si>
  <si>
    <t>MFG0373077</t>
  </si>
  <si>
    <t>MFG0373078</t>
  </si>
  <si>
    <t>MFG0373079</t>
  </si>
  <si>
    <t>MFG0373080</t>
  </si>
  <si>
    <t>MFG0373081</t>
  </si>
  <si>
    <t>MFG0373082</t>
  </si>
  <si>
    <t>MFG0373083</t>
  </si>
  <si>
    <t>MFG0373084</t>
  </si>
  <si>
    <t>MFG0373085</t>
  </si>
  <si>
    <t>MFG0373086</t>
  </si>
  <si>
    <t>MFG0373087</t>
  </si>
  <si>
    <t>MFG0373088</t>
  </si>
  <si>
    <t>MFG0373089</t>
  </si>
  <si>
    <t>MFG0373090</t>
  </si>
  <si>
    <t>MFG0373091</t>
  </si>
  <si>
    <t>MFG0373092</t>
  </si>
  <si>
    <t>MFG0373093</t>
  </si>
  <si>
    <t>MFG0373094</t>
  </si>
  <si>
    <t>MFG0372591</t>
  </si>
  <si>
    <t>MFG0373095</t>
  </si>
  <si>
    <t>MFG0372590</t>
  </si>
  <si>
    <t>MFG0373096</t>
  </si>
  <si>
    <t>MFG0373097</t>
  </si>
  <si>
    <t>MFG0373098</t>
  </si>
  <si>
    <t>MFG0373099</t>
  </si>
  <si>
    <t>MFG0373100</t>
  </si>
  <si>
    <t>MFG0373101</t>
  </si>
  <si>
    <t>MFG0373102</t>
  </si>
  <si>
    <t>MFG0373103</t>
  </si>
  <si>
    <t>MFG0373104</t>
  </si>
  <si>
    <t>MFG0373105</t>
  </si>
  <si>
    <t>MFG0373106</t>
  </si>
  <si>
    <t>MFG0373107</t>
  </si>
  <si>
    <t>MFG0373108</t>
  </si>
  <si>
    <t>MFG0373109</t>
  </si>
  <si>
    <t>MFG0373110</t>
  </si>
  <si>
    <t>MFG0373111</t>
  </si>
  <si>
    <t>MFG0373112</t>
  </si>
  <si>
    <t>MFG0373113</t>
  </si>
  <si>
    <t>MFG0373114</t>
  </si>
  <si>
    <t>MFG0373115</t>
  </si>
  <si>
    <t>MFG0366944</t>
  </si>
  <si>
    <t>MFG0370959</t>
  </si>
  <si>
    <t>MFG0371238</t>
  </si>
  <si>
    <t>MFG0366956</t>
  </si>
  <si>
    <t>MFG0373116</t>
  </si>
  <si>
    <t>MFG0373117</t>
  </si>
  <si>
    <t>MFG0373118</t>
  </si>
  <si>
    <t>MFG0373119</t>
  </si>
  <si>
    <t>MFG0373120</t>
  </si>
  <si>
    <t>MFG0373121</t>
  </si>
  <si>
    <t>MFG0373122</t>
  </si>
  <si>
    <t>MFG0373123</t>
  </si>
  <si>
    <t>MFG0373124</t>
  </si>
  <si>
    <t>MFG0373125</t>
  </si>
  <si>
    <t>MFG0373126</t>
  </si>
  <si>
    <t>MFG0373128</t>
  </si>
  <si>
    <t>MFG0373127</t>
  </si>
  <si>
    <t>MFG0373129</t>
  </si>
  <si>
    <t>MFG0373130</t>
  </si>
  <si>
    <t>MFG0373131</t>
  </si>
  <si>
    <t>MFG0373132</t>
  </si>
  <si>
    <t>MFG0373135</t>
  </si>
  <si>
    <t>MFG0373133</t>
  </si>
  <si>
    <t>MFG0373134</t>
  </si>
  <si>
    <t>MFG0373136</t>
  </si>
  <si>
    <t>MFG0373137</t>
  </si>
  <si>
    <t>MFG0373138</t>
  </si>
  <si>
    <t>MFG0373139</t>
  </si>
  <si>
    <t>MFG0373140</t>
  </si>
  <si>
    <t>MFG0372553</t>
  </si>
  <si>
    <t>MFG0359296</t>
  </si>
  <si>
    <t>MFG0359297</t>
  </si>
  <si>
    <t>MFG0359305</t>
  </si>
  <si>
    <t>MFG0359306</t>
  </si>
  <si>
    <t>MFG0359307</t>
  </si>
  <si>
    <t>MFG0359308</t>
  </si>
  <si>
    <t>MFG0359309</t>
  </si>
  <si>
    <t>MFG0359310</t>
  </si>
  <si>
    <t>MFG0359311</t>
  </si>
  <si>
    <t>MFG0372733</t>
  </si>
  <si>
    <t>910326</t>
  </si>
  <si>
    <t>MRE 46 FINISHED CASE A</t>
  </si>
  <si>
    <t>MFG0372734</t>
  </si>
  <si>
    <t>MFG0372735</t>
  </si>
  <si>
    <t>MFG0372736</t>
  </si>
  <si>
    <t>MFG0372737</t>
  </si>
  <si>
    <t>MFG0372738</t>
  </si>
  <si>
    <t>MFG0372739</t>
  </si>
  <si>
    <t>MFG0372554</t>
  </si>
  <si>
    <t>MFG0359303</t>
  </si>
  <si>
    <t>MFG0359304</t>
  </si>
  <si>
    <t>MFG0359312</t>
  </si>
  <si>
    <t>MFG0359313</t>
  </si>
  <si>
    <t>MFG0359314</t>
  </si>
  <si>
    <t>MFG0359315</t>
  </si>
  <si>
    <t>MFG0359316</t>
  </si>
  <si>
    <t>MFG0359317</t>
  </si>
  <si>
    <t>MFG0359318</t>
  </si>
  <si>
    <t>MFG0372747</t>
  </si>
  <si>
    <t>910526</t>
  </si>
  <si>
    <t>MRE 46 FINISHED CASE B</t>
  </si>
  <si>
    <t>MFG0372748</t>
  </si>
  <si>
    <t>MFG0372749</t>
  </si>
  <si>
    <t>MFG0372750</t>
  </si>
  <si>
    <t>MFG0372751</t>
  </si>
  <si>
    <t>MFG0372752</t>
  </si>
  <si>
    <t>MFG0372753</t>
  </si>
  <si>
    <t>MFG0365479</t>
  </si>
  <si>
    <t>MFG0365480</t>
  </si>
  <si>
    <t>MFG0365481</t>
  </si>
  <si>
    <t>MFG0365482</t>
  </si>
  <si>
    <t>MFG0365483</t>
  </si>
  <si>
    <t>MFG0365484</t>
  </si>
  <si>
    <t>MFG0372559</t>
  </si>
  <si>
    <t>MFG0365536</t>
  </si>
  <si>
    <t>MFG0365538</t>
  </si>
  <si>
    <t>MFG0365537</t>
  </si>
  <si>
    <t>MFG0365539</t>
  </si>
  <si>
    <t>MFG0372560</t>
  </si>
  <si>
    <t>MFG0365540</t>
  </si>
  <si>
    <t>MFG0365541</t>
  </si>
  <si>
    <t>MFG0365542</t>
  </si>
  <si>
    <t>MFG0372561</t>
  </si>
  <si>
    <t>MFG0365595</t>
  </si>
  <si>
    <t>MFG0365597</t>
  </si>
  <si>
    <t>MFG0365596</t>
  </si>
  <si>
    <t>MFG0365598</t>
  </si>
  <si>
    <t>MFG0365599</t>
  </si>
  <si>
    <t>MFG0365600</t>
  </si>
  <si>
    <t>MFG0372562</t>
  </si>
  <si>
    <t>MFG0365652</t>
  </si>
  <si>
    <t>MFG0365653</t>
  </si>
  <si>
    <t>MFG0365654</t>
  </si>
  <si>
    <t>MFG0365655</t>
  </si>
  <si>
    <t>MFG0365656</t>
  </si>
  <si>
    <t>MFG0372563</t>
  </si>
  <si>
    <t>MFG0365657</t>
  </si>
  <si>
    <t>MFG0365658</t>
  </si>
  <si>
    <t>MFG0365710</t>
  </si>
  <si>
    <t>MFG0365712</t>
  </si>
  <si>
    <t>MFG0365711</t>
  </si>
  <si>
    <t>MFG0365713</t>
  </si>
  <si>
    <t>MFG0365714</t>
  </si>
  <si>
    <t>MFG0365715</t>
  </si>
  <si>
    <t>MFG0365716</t>
  </si>
  <si>
    <t>MFG0372564</t>
  </si>
  <si>
    <t>MFG0365768</t>
  </si>
  <si>
    <t>MFG0365769</t>
  </si>
  <si>
    <t>MFG0365771</t>
  </si>
  <si>
    <t>MFG0365770</t>
  </si>
  <si>
    <t>MFG0365772</t>
  </si>
  <si>
    <t>MFG0372565</t>
  </si>
  <si>
    <t>MFG0365773</t>
  </si>
  <si>
    <t>MFG0365827</t>
  </si>
  <si>
    <t>MFG0365826</t>
  </si>
  <si>
    <t>MFG0365829</t>
  </si>
  <si>
    <t>MFG0365828</t>
  </si>
  <si>
    <t>MFG0372566</t>
  </si>
  <si>
    <t>MFG0365830</t>
  </si>
  <si>
    <t>MFG0365831</t>
  </si>
  <si>
    <t>MFG0365883</t>
  </si>
  <si>
    <t>MFG0365884</t>
  </si>
  <si>
    <t>MFG0372567</t>
  </si>
  <si>
    <t>MFG0365885</t>
  </si>
  <si>
    <t>MFG0365886</t>
  </si>
  <si>
    <t>MFG0365887</t>
  </si>
  <si>
    <t>MFG0365888</t>
  </si>
  <si>
    <t>MFG0365940</t>
  </si>
  <si>
    <t>MFG0365941</t>
  </si>
  <si>
    <t>MFG0372568</t>
  </si>
  <si>
    <t>MFG0365942</t>
  </si>
  <si>
    <t>MFG0365943</t>
  </si>
  <si>
    <t>MFG0365944</t>
  </si>
  <si>
    <t>MFG0365945</t>
  </si>
  <si>
    <t>MFG0365997</t>
  </si>
  <si>
    <t>MFG0365998</t>
  </si>
  <si>
    <t>MFG0365999</t>
  </si>
  <si>
    <t>MFG0372569</t>
  </si>
  <si>
    <t>MFG0366000</t>
  </si>
  <si>
    <t>MFG0366001</t>
  </si>
  <si>
    <t>MFG0372570</t>
  </si>
  <si>
    <t>MFG0366002</t>
  </si>
  <si>
    <t>MFG0366054</t>
  </si>
  <si>
    <t>MFG0366055</t>
  </si>
  <si>
    <t>MFG0366057</t>
  </si>
  <si>
    <t>MFG0366056</t>
  </si>
  <si>
    <t>MFG0366059</t>
  </si>
  <si>
    <t>MFG0366058</t>
  </si>
  <si>
    <t>MFG0372571</t>
  </si>
  <si>
    <t>MFG0372572</t>
  </si>
  <si>
    <t>MFG0366060</t>
  </si>
  <si>
    <t>MFG0366113</t>
  </si>
  <si>
    <t>MFG0366114</t>
  </si>
  <si>
    <t>MFG0366115</t>
  </si>
  <si>
    <t>MFG0372573</t>
  </si>
  <si>
    <t>MFG0372574</t>
  </si>
  <si>
    <t>MFG0366116</t>
  </si>
  <si>
    <t>MFG0366117</t>
  </si>
  <si>
    <t>MFG0366118</t>
  </si>
  <si>
    <t>MFG0372575</t>
  </si>
  <si>
    <t>MFG0366170</t>
  </si>
  <si>
    <t>MFG0366171</t>
  </si>
  <si>
    <t>MFG0372576</t>
  </si>
  <si>
    <t>MFG0366172</t>
  </si>
  <si>
    <t>MFG0366173</t>
  </si>
  <si>
    <t>MFG0366174</t>
  </si>
  <si>
    <t>MFG0366175</t>
  </si>
  <si>
    <t>MFG0366227</t>
  </si>
  <si>
    <t>MFG0366229</t>
  </si>
  <si>
    <t>MFG0366228</t>
  </si>
  <si>
    <t>MFG0366230</t>
  </si>
  <si>
    <t>MFG0366231</t>
  </si>
  <si>
    <t>MFG0366232</t>
  </si>
  <si>
    <t>MFG0366233</t>
  </si>
  <si>
    <t>MFG0372577</t>
  </si>
  <si>
    <t>MFG0366285</t>
  </si>
  <si>
    <t>MFG0366286</t>
  </si>
  <si>
    <t>MFG0366287</t>
  </si>
  <si>
    <t>MFG0372578</t>
  </si>
  <si>
    <t>MFG0366288</t>
  </si>
  <si>
    <t>MFG0366289</t>
  </si>
  <si>
    <t>MFG0366290</t>
  </si>
  <si>
    <t>MFG0366291</t>
  </si>
  <si>
    <t>MFG0372579</t>
  </si>
  <si>
    <t>MFG0366343</t>
  </si>
  <si>
    <t>MFG0366344</t>
  </si>
  <si>
    <t>MFG0366345</t>
  </si>
  <si>
    <t>MFG0372580</t>
  </si>
  <si>
    <t>MFG0366347</t>
  </si>
  <si>
    <t>MFG0366346</t>
  </si>
  <si>
    <t>MFG0366348</t>
  </si>
  <si>
    <t>MFG0366349</t>
  </si>
  <si>
    <t>MFG0372581</t>
  </si>
  <si>
    <t>MFG0366401</t>
  </si>
  <si>
    <t>MFG0366402</t>
  </si>
  <si>
    <t>MFG0366403</t>
  </si>
  <si>
    <t>MFG0372582</t>
  </si>
  <si>
    <t>MFG0366405</t>
  </si>
  <si>
    <t>MFG0366404</t>
  </si>
  <si>
    <t>MFG0366406</t>
  </si>
  <si>
    <t>MFG0366407</t>
  </si>
  <si>
    <t>MFG0372583</t>
  </si>
  <si>
    <t>MFG0372370</t>
  </si>
  <si>
    <t>MFG0366461</t>
  </si>
  <si>
    <t>MFG0366459</t>
  </si>
  <si>
    <t>MFG0366460</t>
  </si>
  <si>
    <t>MFG0366462</t>
  </si>
  <si>
    <t>MFG0366463</t>
  </si>
  <si>
    <t>MFG0366464</t>
  </si>
  <si>
    <t>MFG0372584</t>
  </si>
  <si>
    <t>MFG0372558</t>
  </si>
  <si>
    <t>MFG0366518</t>
  </si>
  <si>
    <t>MFG0366517</t>
  </si>
  <si>
    <t>MFG0366519</t>
  </si>
  <si>
    <t>MFG0366520</t>
  </si>
  <si>
    <t>MFG0366521</t>
  </si>
  <si>
    <t>MFG0372585</t>
  </si>
  <si>
    <t>MFG0366576</t>
  </si>
  <si>
    <t>MFG0366574</t>
  </si>
  <si>
    <t>MFG0366575</t>
  </si>
  <si>
    <t>MFG0366578</t>
  </si>
  <si>
    <t>MFG0366577</t>
  </si>
  <si>
    <t>MFG0366579</t>
  </si>
  <si>
    <t>MFG0366632</t>
  </si>
  <si>
    <t>MFG0366633</t>
  </si>
  <si>
    <t>MFG0366635</t>
  </si>
  <si>
    <t>MFG0366634</t>
  </si>
  <si>
    <t>MFG0366636</t>
  </si>
  <si>
    <t>MFG0366637</t>
  </si>
  <si>
    <t>MFG0372586</t>
  </si>
  <si>
    <t>MFG0366689</t>
  </si>
  <si>
    <t>MFG0366690</t>
  </si>
  <si>
    <t>MFG0366692</t>
  </si>
  <si>
    <t>MFG0366691</t>
  </si>
  <si>
    <t>MFG0366693</t>
  </si>
  <si>
    <t>MFG0366694</t>
  </si>
  <si>
    <t>MFG0366746</t>
  </si>
  <si>
    <t>MFG0366747</t>
  </si>
  <si>
    <t>MFG0366748</t>
  </si>
  <si>
    <t>MFG0366749</t>
  </si>
  <si>
    <t>MFG0366750</t>
  </si>
  <si>
    <t>MFG0372587</t>
  </si>
  <si>
    <t>MFG0366751</t>
  </si>
  <si>
    <t>MFG0366752</t>
  </si>
  <si>
    <t>MFG0366804</t>
  </si>
  <si>
    <t>MFG0366805</t>
  </si>
  <si>
    <t>MFG0366806</t>
  </si>
  <si>
    <t>MFG0366807</t>
  </si>
  <si>
    <t>MFG0366808</t>
  </si>
  <si>
    <t>MFG0372588</t>
  </si>
  <si>
    <t>MFG0372589</t>
  </si>
  <si>
    <t>MFG0366809</t>
  </si>
  <si>
    <t>MFG0372762</t>
  </si>
  <si>
    <t>932601</t>
  </si>
  <si>
    <t>MFG0372763</t>
  </si>
  <si>
    <t>MFG0372764</t>
  </si>
  <si>
    <t>MFG0372765</t>
  </si>
  <si>
    <t>MFG0372766</t>
  </si>
  <si>
    <t>MFG0372767</t>
  </si>
  <si>
    <t>MFG0372768</t>
  </si>
  <si>
    <t>MFG0372774</t>
  </si>
  <si>
    <t>932602</t>
  </si>
  <si>
    <t>MFG0372775</t>
  </si>
  <si>
    <t>MFG0372776</t>
  </si>
  <si>
    <t>MFG0372777</t>
  </si>
  <si>
    <t>MFG0372778</t>
  </si>
  <si>
    <t>MFG0372779</t>
  </si>
  <si>
    <t>MFG0372780</t>
  </si>
  <si>
    <t>MFG0372786</t>
  </si>
  <si>
    <t>932603</t>
  </si>
  <si>
    <t>MFG0372787</t>
  </si>
  <si>
    <t>MFG0372788</t>
  </si>
  <si>
    <t>MFG0372789</t>
  </si>
  <si>
    <t>MFG0372790</t>
  </si>
  <si>
    <t>MFG0372791</t>
  </si>
  <si>
    <t>MFG0372792</t>
  </si>
  <si>
    <t>MFG0372798</t>
  </si>
  <si>
    <t>932604</t>
  </si>
  <si>
    <t>MFG0372799</t>
  </si>
  <si>
    <t>MFG0372800</t>
  </si>
  <si>
    <t>MFG0372801</t>
  </si>
  <si>
    <t>MFG0372802</t>
  </si>
  <si>
    <t>MFG0372803</t>
  </si>
  <si>
    <t>MFG0372804</t>
  </si>
  <si>
    <t>MFG0372810</t>
  </si>
  <si>
    <t>932605</t>
  </si>
  <si>
    <t>MFG0372811</t>
  </si>
  <si>
    <t>MFG0372812</t>
  </si>
  <si>
    <t>MFG0372813</t>
  </si>
  <si>
    <t>MFG0372814</t>
  </si>
  <si>
    <t>MFG0372815</t>
  </si>
  <si>
    <t>MFG0372816</t>
  </si>
  <si>
    <t>MFG0372822</t>
  </si>
  <si>
    <t>932606</t>
  </si>
  <si>
    <t>MFG0372823</t>
  </si>
  <si>
    <t>MFG0372824</t>
  </si>
  <si>
    <t>MFG0372825</t>
  </si>
  <si>
    <t>MFG0372826</t>
  </si>
  <si>
    <t>MFG0372827</t>
  </si>
  <si>
    <t>MFG0372828</t>
  </si>
  <si>
    <t>MFG0372834</t>
  </si>
  <si>
    <t>932607</t>
  </si>
  <si>
    <t>MFG0372835</t>
  </si>
  <si>
    <t>MFG0372836</t>
  </si>
  <si>
    <t>MFG0372837</t>
  </si>
  <si>
    <t>MFG0372838</t>
  </si>
  <si>
    <t>MFG0372839</t>
  </si>
  <si>
    <t>MFG0372840</t>
  </si>
  <si>
    <t>MFG0372846</t>
  </si>
  <si>
    <t>932608</t>
  </si>
  <si>
    <t>MFG0372847</t>
  </si>
  <si>
    <t>MFG0372848</t>
  </si>
  <si>
    <t>MFG0372849</t>
  </si>
  <si>
    <t>MFG0372850</t>
  </si>
  <si>
    <t>MFG0372851</t>
  </si>
  <si>
    <t>MFG0372852</t>
  </si>
  <si>
    <t>MFG0372858</t>
  </si>
  <si>
    <t>932609</t>
  </si>
  <si>
    <t>MFG0372859</t>
  </si>
  <si>
    <t>MFG0372860</t>
  </si>
  <si>
    <t>MFG0372861</t>
  </si>
  <si>
    <t>MFG0372862</t>
  </si>
  <si>
    <t>MFG0372863</t>
  </si>
  <si>
    <t>MFG0372864</t>
  </si>
  <si>
    <t>MFG0372870</t>
  </si>
  <si>
    <t>932610</t>
  </si>
  <si>
    <t>MFG0372871</t>
  </si>
  <si>
    <t>MFG0372872</t>
  </si>
  <si>
    <t>MFG0372873</t>
  </si>
  <si>
    <t>MFG0372874</t>
  </si>
  <si>
    <t>MFG0372875</t>
  </si>
  <si>
    <t>MFG0372876</t>
  </si>
  <si>
    <t>MFG0372882</t>
  </si>
  <si>
    <t>932611</t>
  </si>
  <si>
    <t>MFG0372883</t>
  </si>
  <si>
    <t>MFG0372884</t>
  </si>
  <si>
    <t>MFG0372885</t>
  </si>
  <si>
    <t>MFG0372886</t>
  </si>
  <si>
    <t>MFG0372887</t>
  </si>
  <si>
    <t>MFG0372888</t>
  </si>
  <si>
    <t>MFG0373236</t>
  </si>
  <si>
    <t>932612</t>
  </si>
  <si>
    <t>MFG0373237</t>
  </si>
  <si>
    <t>MFG0373238</t>
  </si>
  <si>
    <t>MFG0373239</t>
  </si>
  <si>
    <t>MFG0373240</t>
  </si>
  <si>
    <t>MFG0373241</t>
  </si>
  <si>
    <t>MFG0373242</t>
  </si>
  <si>
    <t>MFG0372906</t>
  </si>
  <si>
    <t>932613</t>
  </si>
  <si>
    <t>MFG0372907</t>
  </si>
  <si>
    <t>MFG0372908</t>
  </si>
  <si>
    <t>MFG0372909</t>
  </si>
  <si>
    <t>MFG0372910</t>
  </si>
  <si>
    <t>MFG0372911</t>
  </si>
  <si>
    <t>MFG0372912</t>
  </si>
  <si>
    <t>MFG0372918</t>
  </si>
  <si>
    <t>932614</t>
  </si>
  <si>
    <t>MFG0372919</t>
  </si>
  <si>
    <t>MFG0372920</t>
  </si>
  <si>
    <t>MFG0372921</t>
  </si>
  <si>
    <t>MFG0372922</t>
  </si>
  <si>
    <t>MFG0372923</t>
  </si>
  <si>
    <t>MFG0372924</t>
  </si>
  <si>
    <t>MFG0372930</t>
  </si>
  <si>
    <t>932615</t>
  </si>
  <si>
    <t>MFG0372931</t>
  </si>
  <si>
    <t>MFG0372932</t>
  </si>
  <si>
    <t>MFG0372933</t>
  </si>
  <si>
    <t>MFG0372934</t>
  </si>
  <si>
    <t>MFG0372935</t>
  </si>
  <si>
    <t>MFG0372936</t>
  </si>
  <si>
    <t>MFG0372942</t>
  </si>
  <si>
    <t>932616</t>
  </si>
  <si>
    <t>MFG0372943</t>
  </si>
  <si>
    <t>MFG0372944</t>
  </si>
  <si>
    <t>MFG0372945</t>
  </si>
  <si>
    <t>MFG0372946</t>
  </si>
  <si>
    <t>MFG0372947</t>
  </si>
  <si>
    <t>MFG0372948</t>
  </si>
  <si>
    <t>MFG0372954</t>
  </si>
  <si>
    <t>932617</t>
  </si>
  <si>
    <t>MFG0372955</t>
  </si>
  <si>
    <t>MFG0372956</t>
  </si>
  <si>
    <t>MFG0372957</t>
  </si>
  <si>
    <t>MFG0372958</t>
  </si>
  <si>
    <t>MFG0372959</t>
  </si>
  <si>
    <t>MFG0372960</t>
  </si>
  <si>
    <t>MFG0372966</t>
  </si>
  <si>
    <t>932618</t>
  </si>
  <si>
    <t>MFG0372967</t>
  </si>
  <si>
    <t>MFG0372968</t>
  </si>
  <si>
    <t>MFG0372969</t>
  </si>
  <si>
    <t>MFG0372970</t>
  </si>
  <si>
    <t>MFG0372971</t>
  </si>
  <si>
    <t>MFG0372972</t>
  </si>
  <si>
    <t>MFG0372978</t>
  </si>
  <si>
    <t>932619</t>
  </si>
  <si>
    <t>MFG0372979</t>
  </si>
  <si>
    <t>MFG0372980</t>
  </si>
  <si>
    <t>MFG0372981</t>
  </si>
  <si>
    <t>MFG0372982</t>
  </si>
  <si>
    <t>MFG0372983</t>
  </si>
  <si>
    <t>MFG0372984</t>
  </si>
  <si>
    <t>MFG0372990</t>
  </si>
  <si>
    <t>932620</t>
  </si>
  <si>
    <t>MFG0372991</t>
  </si>
  <si>
    <t>MFG0372992</t>
  </si>
  <si>
    <t>MFG0372993</t>
  </si>
  <si>
    <t>MFG0372994</t>
  </si>
  <si>
    <t>MFG0372995</t>
  </si>
  <si>
    <t>MFG0372996</t>
  </si>
  <si>
    <t>MFG0373002</t>
  </si>
  <si>
    <t>932621</t>
  </si>
  <si>
    <t>MFG0373003</t>
  </si>
  <si>
    <t>MFG0373004</t>
  </si>
  <si>
    <t>MFG0373005</t>
  </si>
  <si>
    <t>MFG0373006</t>
  </si>
  <si>
    <t>MFG0373007</t>
  </si>
  <si>
    <t>MFG0373008</t>
  </si>
  <si>
    <t>MFG0373014</t>
  </si>
  <si>
    <t>932622</t>
  </si>
  <si>
    <t>MFG0373015</t>
  </si>
  <si>
    <t>MFG0373016</t>
  </si>
  <si>
    <t>MFG0373017</t>
  </si>
  <si>
    <t>MFG0373018</t>
  </si>
  <si>
    <t>MFG0373019</t>
  </si>
  <si>
    <t>MFG0373020</t>
  </si>
  <si>
    <t>MFG0373026</t>
  </si>
  <si>
    <t>932623</t>
  </si>
  <si>
    <t>MFG0373027</t>
  </si>
  <si>
    <t>MFG0373028</t>
  </si>
  <si>
    <t>MFG0373029</t>
  </si>
  <si>
    <t>MFG0373030</t>
  </si>
  <si>
    <t>MFG0373031</t>
  </si>
  <si>
    <t>MFG0373032</t>
  </si>
  <si>
    <t>MFG0373038</t>
  </si>
  <si>
    <t>932624</t>
  </si>
  <si>
    <t>MFG0373039</t>
  </si>
  <si>
    <t>MFG0373040</t>
  </si>
  <si>
    <t>MFG0373041</t>
  </si>
  <si>
    <t>MFG0373042</t>
  </si>
  <si>
    <t>MFG0373043</t>
  </si>
  <si>
    <t>MFG0373044</t>
  </si>
  <si>
    <t>MFG0373559</t>
  </si>
  <si>
    <t>MFG0373297</t>
  </si>
  <si>
    <t>MFG0373298</t>
  </si>
  <si>
    <t>MFG0373299</t>
  </si>
  <si>
    <t>MFG0373300</t>
  </si>
  <si>
    <t>MFG0373432</t>
  </si>
  <si>
    <t>MFG0373301</t>
  </si>
  <si>
    <t>MFG0373433</t>
  </si>
  <si>
    <t>MFG0373302</t>
  </si>
  <si>
    <t>MFG0373434</t>
  </si>
  <si>
    <t>MFG0373303</t>
  </si>
  <si>
    <t>MFG0373304</t>
  </si>
  <si>
    <t>MFG0373305</t>
  </si>
  <si>
    <t>MFG0373306</t>
  </si>
  <si>
    <t>MFG0373307</t>
  </si>
  <si>
    <t>MFG0373435</t>
  </si>
  <si>
    <t>MFG0373308</t>
  </si>
  <si>
    <t>MFG0373436</t>
  </si>
  <si>
    <t>MFG0373309</t>
  </si>
  <si>
    <t>MFG0373437</t>
  </si>
  <si>
    <t>MFG0373310</t>
  </si>
  <si>
    <t>MFG0373438</t>
  </si>
  <si>
    <t>MFG0373311</t>
  </si>
  <si>
    <t>MFG0373439</t>
  </si>
  <si>
    <t>MFG0373312</t>
  </si>
  <si>
    <t>MFG0373440</t>
  </si>
  <si>
    <t>MFG0373313</t>
  </si>
  <si>
    <t>MFG0373441</t>
  </si>
  <si>
    <t>MFG0373314</t>
  </si>
  <si>
    <t>MFG0373315</t>
  </si>
  <si>
    <t>MFG0373316</t>
  </si>
  <si>
    <t>MFG0373442</t>
  </si>
  <si>
    <t>MFG0373317</t>
  </si>
  <si>
    <t>MFG0373443</t>
  </si>
  <si>
    <t>MFG0373318</t>
  </si>
  <si>
    <t>MFG0373444</t>
  </si>
  <si>
    <t>MFG0373319</t>
  </si>
  <si>
    <t>MFG0373445</t>
  </si>
  <si>
    <t>MFG0373320</t>
  </si>
  <si>
    <t>MFG0373321</t>
  </si>
  <si>
    <t>MFG0373446</t>
  </si>
  <si>
    <t>MFG0373322</t>
  </si>
  <si>
    <t>MFG0373447</t>
  </si>
  <si>
    <t>MFG0373323</t>
  </si>
  <si>
    <t>MFG0373448</t>
  </si>
  <si>
    <t>MFG0373324</t>
  </si>
  <si>
    <t>MFG0373449</t>
  </si>
  <si>
    <t>MFG0373325</t>
  </si>
  <si>
    <t>MFG0373450</t>
  </si>
  <si>
    <t>MFG0373326</t>
  </si>
  <si>
    <t>MFG0373451</t>
  </si>
  <si>
    <t>MFG0373327</t>
  </si>
  <si>
    <t>MFG0373452</t>
  </si>
  <si>
    <t>MFG0373329</t>
  </si>
  <si>
    <t>Added 200k for W3 Comm in Nov, Building back inventory</t>
  </si>
  <si>
    <t>Demand (PO)</t>
  </si>
  <si>
    <t>B01141</t>
  </si>
  <si>
    <t>MFG0373156</t>
  </si>
  <si>
    <t>B01143</t>
  </si>
  <si>
    <t>MFG0373157</t>
  </si>
  <si>
    <t>MFG0373158</t>
  </si>
  <si>
    <t>MFG0373334</t>
  </si>
  <si>
    <t>MFG0373365</t>
  </si>
  <si>
    <t>MFG0375902</t>
  </si>
  <si>
    <t>MFG0373333</t>
  </si>
  <si>
    <t>MFG0373362</t>
  </si>
  <si>
    <t>MFG0373339</t>
  </si>
  <si>
    <t>MFG0373350</t>
  </si>
  <si>
    <t>MFG0375900</t>
  </si>
  <si>
    <t>MFG0375811</t>
  </si>
  <si>
    <t>FLB SW CHIX RICE &amp; BNS 24-8 OZ.</t>
  </si>
  <si>
    <t>MFG0375822</t>
  </si>
  <si>
    <t>MFG0375823</t>
  </si>
  <si>
    <t>MFG0375824</t>
  </si>
  <si>
    <t>MFG0375753</t>
  </si>
  <si>
    <t>FLB CHICKEN 4.5 OZ</t>
  </si>
  <si>
    <t>MFG0375754</t>
  </si>
  <si>
    <t>MFG0375755</t>
  </si>
  <si>
    <t>MFG0375756</t>
  </si>
  <si>
    <t>MFG0375757</t>
  </si>
  <si>
    <t>MFG0376668</t>
  </si>
  <si>
    <t>MFG0376671</t>
  </si>
  <si>
    <t>FLB CREAM OF MUSH SOUP 24-10OZ</t>
  </si>
  <si>
    <t>MFG0375769</t>
  </si>
  <si>
    <t>FLB VEGETABLE SOUP 24-10 OZ</t>
  </si>
  <si>
    <t>MFG0376632</t>
  </si>
  <si>
    <t>MFG0375865</t>
  </si>
  <si>
    <t>MFG0375866</t>
  </si>
  <si>
    <t>MFG0375820</t>
  </si>
  <si>
    <t>MFG0375821</t>
  </si>
  <si>
    <t>MFG0375818</t>
  </si>
  <si>
    <t>FLB CHICKEN CHILI 24-8 OZ.</t>
  </si>
  <si>
    <t>MFG0375825</t>
  </si>
  <si>
    <t>MFG0375826</t>
  </si>
  <si>
    <t>MFG0376249</t>
  </si>
  <si>
    <t>MFG0376250</t>
  </si>
  <si>
    <t>MFG0376042</t>
  </si>
  <si>
    <t>MFG0376200</t>
  </si>
  <si>
    <t>16816-23560</t>
  </si>
  <si>
    <t>MOM MUSH STROGANOFF 6-10 OZ</t>
  </si>
  <si>
    <t>16816-23610</t>
  </si>
  <si>
    <t>MFG0373409</t>
  </si>
  <si>
    <t>16816-39560</t>
  </si>
  <si>
    <t>MOM PASTA W/GARDEN VEG 6-10 OZ</t>
  </si>
  <si>
    <t>16816-39630</t>
  </si>
  <si>
    <t>MOM TUSCAN PASTA &amp; BNS 6-10 OZ</t>
  </si>
  <si>
    <t>MFG0373408</t>
  </si>
  <si>
    <t>16816-39640</t>
  </si>
  <si>
    <t>MOM VEGETARIAN STEW 6-10 OZ</t>
  </si>
  <si>
    <t>16816-39645</t>
  </si>
  <si>
    <t>MOM HEARTY LENTIL STEW 6-10 OZ</t>
  </si>
  <si>
    <t>16816-40560</t>
  </si>
  <si>
    <t>MOM FLORENTINE LASAGNA 6-10 OZ</t>
  </si>
  <si>
    <t>MFG0373410</t>
  </si>
  <si>
    <t>16816-42070</t>
  </si>
  <si>
    <t>J&amp;M BEEF &amp; LENTIL STEW 6-10 OZ</t>
  </si>
  <si>
    <t>MFG0375791</t>
  </si>
  <si>
    <t>MFG0375910</t>
  </si>
  <si>
    <t>MFG0373347</t>
  </si>
  <si>
    <t>MFG0373343</t>
  </si>
  <si>
    <t>MFG0373351</t>
  </si>
  <si>
    <t>MFG0375903</t>
  </si>
  <si>
    <t>MFG0376039</t>
  </si>
  <si>
    <t>MFG0376273</t>
  </si>
  <si>
    <t>MFG0376274</t>
  </si>
  <si>
    <t>MFG0376027</t>
  </si>
  <si>
    <t>MFG0375794</t>
  </si>
  <si>
    <t>MFG0375912</t>
  </si>
  <si>
    <t>MFG0373352</t>
  </si>
  <si>
    <t>MFG0375895</t>
  </si>
  <si>
    <t>MFG0376041</t>
  </si>
  <si>
    <t>MFG0375911</t>
  </si>
  <si>
    <t>MFG0375788</t>
  </si>
  <si>
    <t>MFG0375897</t>
  </si>
  <si>
    <t>MFG0375778</t>
  </si>
  <si>
    <t>MFG0375896</t>
  </si>
  <si>
    <t>MFG0375917</t>
  </si>
  <si>
    <t>MFG0373328</t>
  </si>
  <si>
    <t>MFG0375792</t>
  </si>
  <si>
    <t>MFG0375914</t>
  </si>
  <si>
    <t>MFG0373342</t>
  </si>
  <si>
    <t>MFG0375795</t>
  </si>
  <si>
    <t>MFG0375904</t>
  </si>
  <si>
    <t>PT130</t>
  </si>
  <si>
    <t>POL APPLE DESSERT</t>
  </si>
  <si>
    <t>PT195</t>
  </si>
  <si>
    <t xml:space="preserve">POL BROWN RICE </t>
  </si>
  <si>
    <t>PT198</t>
  </si>
  <si>
    <t>POL APPLE CINN OATMEAL</t>
  </si>
  <si>
    <t>PT200</t>
  </si>
  <si>
    <t xml:space="preserve">POL CHILI W/BEANS </t>
  </si>
  <si>
    <t>MFG0376673</t>
  </si>
  <si>
    <t>MFG0376674</t>
  </si>
  <si>
    <t>MFG0376679</t>
  </si>
  <si>
    <t>PT505</t>
  </si>
  <si>
    <t>CREAM  GRAVY W/BEEF AND POTATOES</t>
  </si>
  <si>
    <t>MFG0376678</t>
  </si>
  <si>
    <t>MFG0376680</t>
  </si>
  <si>
    <t>MFG0376681</t>
  </si>
  <si>
    <t>MFG0376682</t>
  </si>
  <si>
    <t>MFG0376683</t>
  </si>
  <si>
    <t>MFG0376361</t>
  </si>
  <si>
    <t>PT515</t>
  </si>
  <si>
    <t>CARROTS, GLAZED POLY TRAY</t>
  </si>
  <si>
    <t>MFG0376675</t>
  </si>
  <si>
    <t>MFG0376676</t>
  </si>
  <si>
    <t>MFG0376677</t>
  </si>
  <si>
    <t>MFG0376672</t>
  </si>
  <si>
    <t>MFG0376396</t>
  </si>
  <si>
    <t>PT520</t>
  </si>
  <si>
    <t>CORN MEXICAN STYLE POLY TR</t>
  </si>
  <si>
    <t>PT521</t>
  </si>
  <si>
    <t>POL GREEN BEANS</t>
  </si>
  <si>
    <t>MFG0373579</t>
  </si>
  <si>
    <t>MFG0373580</t>
  </si>
  <si>
    <t>MFG0373581</t>
  </si>
  <si>
    <t>MFG0373582</t>
  </si>
  <si>
    <t>MFG0373583</t>
  </si>
  <si>
    <t>MFG0373584</t>
  </si>
  <si>
    <t>MFG0375779</t>
  </si>
  <si>
    <t>MFG0376365</t>
  </si>
  <si>
    <t>MFG0376366</t>
  </si>
  <si>
    <t>MFG0376367</t>
  </si>
  <si>
    <t>MFG0376368</t>
  </si>
  <si>
    <t>MFG0376369</t>
  </si>
  <si>
    <t>MFG0376370</t>
  </si>
  <si>
    <t>MFG0376371</t>
  </si>
  <si>
    <t>MFG0376372</t>
  </si>
  <si>
    <t>MFG0376373</t>
  </si>
  <si>
    <t>MFG0376377</t>
  </si>
  <si>
    <t>MFG0375091</t>
  </si>
  <si>
    <t>MFG0375092</t>
  </si>
  <si>
    <t>MFG0375093</t>
  </si>
  <si>
    <t>MFG0375094</t>
  </si>
  <si>
    <t>MFG0376375</t>
  </si>
  <si>
    <t>MFG0376376</t>
  </si>
  <si>
    <t>MFG0375688</t>
  </si>
  <si>
    <t>SKBEF-B</t>
  </si>
  <si>
    <t>MFG0375661</t>
  </si>
  <si>
    <t>MFG0375687</t>
  </si>
  <si>
    <t>MFG0375677</t>
  </si>
  <si>
    <t>MFG0375689</t>
  </si>
  <si>
    <t>MFG0375690</t>
  </si>
  <si>
    <t>SKBIS001-B</t>
  </si>
  <si>
    <t>MFG0375671</t>
  </si>
  <si>
    <t>MFG0375672</t>
  </si>
  <si>
    <t>MFG0375659</t>
  </si>
  <si>
    <t>MFG0375660</t>
  </si>
  <si>
    <t>MFG0375685</t>
  </si>
  <si>
    <t>MFG0375686</t>
  </si>
  <si>
    <t>MFG0375680</t>
  </si>
  <si>
    <t>MFG0375681</t>
  </si>
  <si>
    <t>MFG0375678</t>
  </si>
  <si>
    <t>MFG0375665</t>
  </si>
  <si>
    <t>MFG0375666</t>
  </si>
  <si>
    <t>MFG0375667</t>
  </si>
  <si>
    <t>MFG0376125</t>
  </si>
  <si>
    <t>MFG0375668</t>
  </si>
  <si>
    <t>MFG0375684</t>
  </si>
  <si>
    <t>MFG0375669</t>
  </si>
  <si>
    <t>MFG0375670</t>
  </si>
  <si>
    <t>MFG0375679</t>
  </si>
  <si>
    <t>MFG0375682</t>
  </si>
  <si>
    <t>MFG0375683</t>
  </si>
  <si>
    <t>SKTRK001-B</t>
  </si>
  <si>
    <t>PATE CAT CHICKEN &amp; LIVER 2.6 OZ. 12 CT.</t>
  </si>
  <si>
    <t>PATE CAT TURF &amp; SURF 2.6 OZ. 12 CT.</t>
  </si>
  <si>
    <t>MFG0376381</t>
  </si>
  <si>
    <t>MFG0373593</t>
  </si>
  <si>
    <t>STK BUFFALO CHICKEN 12-2.6 OZ.</t>
  </si>
  <si>
    <t>MFG0376382</t>
  </si>
  <si>
    <t>MFG0373594</t>
  </si>
  <si>
    <t>MFG0376383</t>
  </si>
  <si>
    <t>MFG0376384</t>
  </si>
  <si>
    <t>MFG0372167</t>
  </si>
  <si>
    <t>MFG0372595</t>
  </si>
  <si>
    <t>MFG0372596</t>
  </si>
  <si>
    <t>MFG0372597</t>
  </si>
  <si>
    <t>MFG0372599</t>
  </si>
  <si>
    <t>MFG0373591</t>
  </si>
  <si>
    <t>MFG0376390</t>
  </si>
  <si>
    <t>MFG0376388</t>
  </si>
  <si>
    <t>MFG0376389</t>
  </si>
  <si>
    <t>MFG0372593</t>
  </si>
  <si>
    <t>MFG0372594</t>
  </si>
  <si>
    <t>MFG0376386</t>
  </si>
  <si>
    <t>MFG0376387</t>
  </si>
  <si>
    <t>MFG0376258</t>
  </si>
  <si>
    <t>MFG0376385</t>
  </si>
  <si>
    <t>STK GARLIC HERB CHKN 12-2.6 OZ</t>
  </si>
  <si>
    <t>MFG0376558</t>
  </si>
  <si>
    <t>MFG0376308</t>
  </si>
  <si>
    <t>MFG0376447</t>
  </si>
  <si>
    <t>MFG0376687</t>
  </si>
  <si>
    <t>MFG0376559</t>
  </si>
  <si>
    <t>MFG0376638</t>
  </si>
  <si>
    <t>MFG0376688</t>
  </si>
  <si>
    <t>MFG0376560</t>
  </si>
  <si>
    <t>MFG0376309</t>
  </si>
  <si>
    <t>MFG0376451</t>
  </si>
  <si>
    <t>MFG0376689</t>
  </si>
  <si>
    <t>MFG0376561</t>
  </si>
  <si>
    <t>MFG0376310</t>
  </si>
  <si>
    <t>MFG0376452</t>
  </si>
  <si>
    <t>MFG0376690</t>
  </si>
  <si>
    <t>MFG0376562</t>
  </si>
  <si>
    <t>MFG0376311</t>
  </si>
  <si>
    <t>MFG0376454</t>
  </si>
  <si>
    <t>MFG0376563</t>
  </si>
  <si>
    <t>MFG0376312</t>
  </si>
  <si>
    <t>MFG0376644</t>
  </si>
  <si>
    <t>MFG0376564</t>
  </si>
  <si>
    <t>MFG0376313</t>
  </si>
  <si>
    <t>MFG0376456</t>
  </si>
  <si>
    <t>MFG0376315</t>
  </si>
  <si>
    <t>MFG0376457</t>
  </si>
  <si>
    <t>MFG0376691</t>
  </si>
  <si>
    <t>MFG0376316</t>
  </si>
  <si>
    <t>MFG0376458</t>
  </si>
  <si>
    <t>MFG0376318</t>
  </si>
  <si>
    <t>MFG0376459</t>
  </si>
  <si>
    <t>MFG0376569</t>
  </si>
  <si>
    <t>MFG0376319</t>
  </si>
  <si>
    <t>MFG0376460</t>
  </si>
  <si>
    <t>MFG0376692</t>
  </si>
  <si>
    <t>MFG0376320</t>
  </si>
  <si>
    <t>MFG0376461</t>
  </si>
  <si>
    <t>MFG0376570</t>
  </si>
  <si>
    <t>MFG0376321</t>
  </si>
  <si>
    <t>MFG0376462</t>
  </si>
  <si>
    <t>MFG0376322</t>
  </si>
  <si>
    <t>MFG0376463</t>
  </si>
  <si>
    <t>MFG0376693</t>
  </si>
  <si>
    <t>MFG0376464</t>
  </si>
  <si>
    <t>MFG0376694</t>
  </si>
  <si>
    <t>MFG0376323</t>
  </si>
  <si>
    <t>MFG0376465</t>
  </si>
  <si>
    <t>MFG0376324</t>
  </si>
  <si>
    <t>MFG0376466</t>
  </si>
  <si>
    <t>MFG0376566</t>
  </si>
  <si>
    <t>LUNCH/DINNER MENU11 PERISHABL</t>
  </si>
  <si>
    <t>MFG0376646</t>
  </si>
  <si>
    <t>MFG0376567</t>
  </si>
  <si>
    <t>MFG0376468</t>
  </si>
  <si>
    <t>MFG0376695</t>
  </si>
  <si>
    <t>LUNCH/DINNER MENU13 PERISHABL</t>
  </si>
  <si>
    <t>MFG0376325</t>
  </si>
  <si>
    <t>MFG0376469</t>
  </si>
  <si>
    <t>MFG0376696</t>
  </si>
  <si>
    <t>MFG0376568</t>
  </si>
  <si>
    <t>LUNCH/DINNER MENU14 PERISHABL</t>
  </si>
  <si>
    <t>MFG0376326</t>
  </si>
  <si>
    <t>MFG0376470</t>
  </si>
  <si>
    <t>MFG0376697</t>
  </si>
  <si>
    <t>MFG0376471</t>
  </si>
  <si>
    <t>MFG0376472</t>
  </si>
  <si>
    <t>MFG0376474</t>
  </si>
  <si>
    <t>MFG0376698</t>
  </si>
  <si>
    <t>MFG0376475</t>
  </si>
  <si>
    <t>SHORT LUN DIN # 5 PERISH</t>
  </si>
  <si>
    <t>MFG0376612</t>
  </si>
  <si>
    <t>MFG0376613</t>
  </si>
  <si>
    <t>MFG0376614</t>
  </si>
  <si>
    <t>MFG0376619</t>
  </si>
  <si>
    <t>MFG0376620</t>
  </si>
  <si>
    <t>MFG0376633</t>
  </si>
  <si>
    <t>MFG0376634</t>
  </si>
  <si>
    <t>MFG0376635</t>
  </si>
  <si>
    <t>Pre Month Schedule</t>
  </si>
  <si>
    <t xml:space="preserve">  </t>
  </si>
  <si>
    <t>Actual Production</t>
  </si>
  <si>
    <t>Customer Forecast</t>
  </si>
  <si>
    <t>new</t>
  </si>
  <si>
    <t>New Retorted Units</t>
  </si>
  <si>
    <t>new (not updateD)</t>
  </si>
  <si>
    <t>MFG0376405</t>
  </si>
  <si>
    <t>MFG0376034</t>
  </si>
  <si>
    <t>MFG0372719</t>
  </si>
  <si>
    <t>MFG0375814</t>
  </si>
  <si>
    <t>MFG0376248</t>
  </si>
  <si>
    <t>MFG0376877</t>
  </si>
  <si>
    <t>MFG0376750</t>
  </si>
  <si>
    <t>MFG0376752</t>
  </si>
  <si>
    <t>MFG0376754</t>
  </si>
  <si>
    <t>MFG0376756</t>
  </si>
  <si>
    <t>MFG0376760</t>
  </si>
  <si>
    <t>MFG0376762</t>
  </si>
  <si>
    <t>MFG0376766</t>
  </si>
  <si>
    <t>MFG0376769</t>
  </si>
  <si>
    <t>MFG0376770</t>
  </si>
  <si>
    <t>MFG0377302</t>
  </si>
  <si>
    <t>MFG0376778</t>
  </si>
  <si>
    <t>MFG0376744</t>
  </si>
  <si>
    <t>MFG0376746</t>
  </si>
  <si>
    <t>MFG0376748</t>
  </si>
  <si>
    <t>MFG0376751</t>
  </si>
  <si>
    <t>MFG0376759</t>
  </si>
  <si>
    <t>MFG0376765</t>
  </si>
  <si>
    <t>MFG0376773</t>
  </si>
  <si>
    <t>MFG0377303</t>
  </si>
  <si>
    <t>MFG0376783</t>
  </si>
  <si>
    <t>MFG0377304</t>
  </si>
  <si>
    <t>MFG0376684</t>
  </si>
  <si>
    <t>MFG0377325</t>
  </si>
  <si>
    <t>MFG0377327</t>
  </si>
  <si>
    <t>MFG0377416</t>
  </si>
  <si>
    <t>MFG0376871</t>
  </si>
  <si>
    <t>MFG0376869</t>
  </si>
  <si>
    <t>MFG0376753</t>
  </si>
  <si>
    <t>MFG0376870</t>
  </si>
  <si>
    <t>MFG0376761</t>
  </si>
  <si>
    <t>MFG0376767</t>
  </si>
  <si>
    <t>MFG0376823</t>
  </si>
  <si>
    <t>MFG0376777</t>
  </si>
  <si>
    <t>MFG0377328</t>
  </si>
  <si>
    <t>MFG0377370</t>
  </si>
  <si>
    <t>RD539</t>
  </si>
  <si>
    <t>STARCH BALLAST THERMAL</t>
  </si>
  <si>
    <t>MFG0376755</t>
  </si>
  <si>
    <t>MFG0376875</t>
  </si>
  <si>
    <t>MFG0376763</t>
  </si>
  <si>
    <t>MFG0377002</t>
  </si>
  <si>
    <t>MFG0376820</t>
  </si>
  <si>
    <t>MFG0376822</t>
  </si>
  <si>
    <t>MFG0376825</t>
  </si>
  <si>
    <t>MFG0376826</t>
  </si>
  <si>
    <t>MFG0376827</t>
  </si>
  <si>
    <t>MFG0377545</t>
  </si>
  <si>
    <t>MFG0377544</t>
  </si>
  <si>
    <t>MFG0377557</t>
  </si>
  <si>
    <t>MFG0377573</t>
  </si>
  <si>
    <t>MFG0377009</t>
  </si>
  <si>
    <t>MFG0376810</t>
  </si>
  <si>
    <t>MFG0377574</t>
  </si>
  <si>
    <t>MFG0376999</t>
  </si>
  <si>
    <t>MFG0376819</t>
  </si>
  <si>
    <t>MFG0376821</t>
  </si>
  <si>
    <t>MFG0377509</t>
  </si>
  <si>
    <t>MFG0377417</t>
  </si>
  <si>
    <t>MFG0377371</t>
  </si>
  <si>
    <t>MFG0377731</t>
  </si>
  <si>
    <t>RD555</t>
  </si>
  <si>
    <t>STARCH TRAYS</t>
  </si>
  <si>
    <t>MFG0377722</t>
  </si>
  <si>
    <t>MFG0377000</t>
  </si>
  <si>
    <t>MFG0377001</t>
  </si>
  <si>
    <t>MFG0376858</t>
  </si>
  <si>
    <t>MFG0376861</t>
  </si>
  <si>
    <t>MFG0376863</t>
  </si>
  <si>
    <t>MFG0377003</t>
  </si>
  <si>
    <t>MFG0377428</t>
  </si>
  <si>
    <t>MFG0377771</t>
  </si>
  <si>
    <t>MFG0377154</t>
  </si>
  <si>
    <t>RD678</t>
  </si>
  <si>
    <t>FLB PASTA IN RED SAUCE 15 OZ</t>
  </si>
  <si>
    <t>MFG0377724</t>
  </si>
  <si>
    <t>RD682</t>
  </si>
  <si>
    <t>FLB SW CHIX RICE &amp; BEANS  15 OZ</t>
  </si>
  <si>
    <t>MFG0377725</t>
  </si>
  <si>
    <t>RD683</t>
  </si>
  <si>
    <t xml:space="preserve">FLB WHITE CHIX CHILI 15 OZ </t>
  </si>
  <si>
    <t>MFG0377021</t>
  </si>
  <si>
    <t>MFG0377723</t>
  </si>
  <si>
    <t>RD681</t>
  </si>
  <si>
    <t xml:space="preserve">FLB PASTA RINGS TOM SAUCE 15 OZ  </t>
  </si>
  <si>
    <t>MFG0377160</t>
  </si>
  <si>
    <t>RD684</t>
  </si>
  <si>
    <t xml:space="preserve">FLB PIZZA MAC 15 OZ. </t>
  </si>
  <si>
    <t>MFG0377769</t>
  </si>
  <si>
    <t>MFG0377729</t>
  </si>
  <si>
    <t>RD680</t>
  </si>
  <si>
    <t>FLB BEEF STEW 15 OZ</t>
  </si>
  <si>
    <t>MFG0377778</t>
  </si>
  <si>
    <t>MFG0376850</t>
  </si>
  <si>
    <t>MFG0376851</t>
  </si>
  <si>
    <t>MFG0377780</t>
  </si>
  <si>
    <t>MFG0376854</t>
  </si>
  <si>
    <t>MFG0376855</t>
  </si>
  <si>
    <t>MFG0376856</t>
  </si>
  <si>
    <t>MFG0376857</t>
  </si>
  <si>
    <t>MFG0376859</t>
  </si>
  <si>
    <t>MFG0376860</t>
  </si>
  <si>
    <t>MFG0377572</t>
  </si>
  <si>
    <t>MFG0376864</t>
  </si>
  <si>
    <t>MFG0376867</t>
  </si>
  <si>
    <t>MFG0376868</t>
  </si>
  <si>
    <t>MFG0377770</t>
  </si>
  <si>
    <t>MFG0377568</t>
  </si>
  <si>
    <t>MFG0377730</t>
  </si>
  <si>
    <t>RD679</t>
  </si>
  <si>
    <t>FLB CHILI W/BEANS 15 OZ</t>
  </si>
  <si>
    <t>MFG0377418</t>
  </si>
  <si>
    <t>MFG0377017</t>
  </si>
  <si>
    <t>STK SOUTHWEST CHIX 12- 2.6 OZ</t>
  </si>
  <si>
    <t>MFG0377378</t>
  </si>
  <si>
    <t>MFG0377374</t>
  </si>
  <si>
    <t>MFG0377375</t>
  </si>
  <si>
    <t>MFG0377781</t>
  </si>
  <si>
    <t>MFG0377783</t>
  </si>
  <si>
    <t>MFG0377784</t>
  </si>
  <si>
    <t>MFG0377785</t>
  </si>
  <si>
    <t>MFG0377787</t>
  </si>
  <si>
    <t>MFG0377377</t>
  </si>
  <si>
    <t>MFG0377376</t>
  </si>
  <si>
    <t>MFG0377720</t>
  </si>
  <si>
    <t>MFG0377412</t>
  </si>
  <si>
    <t>SKABC001</t>
  </si>
  <si>
    <t>MFG0377413</t>
  </si>
  <si>
    <t>SKABC001-B</t>
  </si>
  <si>
    <t>MFG0377084</t>
  </si>
  <si>
    <t>MFG0377085</t>
  </si>
  <si>
    <t>MFG0377086</t>
  </si>
  <si>
    <t>MFG0377087</t>
  </si>
  <si>
    <t>MFG0377088</t>
  </si>
  <si>
    <t>MFG0377089</t>
  </si>
  <si>
    <t>MFG0377090</t>
  </si>
  <si>
    <t>MFG0377091</t>
  </si>
  <si>
    <t>MFG0377092</t>
  </si>
  <si>
    <t>MFG0377093</t>
  </si>
  <si>
    <t>MFG0377094</t>
  </si>
  <si>
    <t>MFG0377095</t>
  </si>
  <si>
    <t>MFG0377096</t>
  </si>
  <si>
    <t>MFG0377381</t>
  </si>
  <si>
    <t>MFG0377382</t>
  </si>
  <si>
    <t>SKCHK001-B</t>
  </si>
  <si>
    <t>MFG0377098</t>
  </si>
  <si>
    <t>MFG0377099</t>
  </si>
  <si>
    <t>MFG0377100</t>
  </si>
  <si>
    <t>MFG0377101</t>
  </si>
  <si>
    <t>MFG0377102</t>
  </si>
  <si>
    <t>MFG0377103</t>
  </si>
  <si>
    <t>MFG0377104</t>
  </si>
  <si>
    <t>MFG0377105</t>
  </si>
  <si>
    <t>MFG0377106</t>
  </si>
  <si>
    <t>MFG0377107</t>
  </si>
  <si>
    <t>MFG0377108</t>
  </si>
  <si>
    <t>MFG0377109</t>
  </si>
  <si>
    <t>2339O</t>
  </si>
  <si>
    <t>OCONUS S LUN DIN # 5 PERISH</t>
  </si>
  <si>
    <t>MFG0377110</t>
  </si>
  <si>
    <t>2341O</t>
  </si>
  <si>
    <t>OCONUS S LUN DINN #6 PERISH</t>
  </si>
  <si>
    <t>FLB CHICKEN 48-4.5 OZ</t>
  </si>
  <si>
    <t>MFG0377368</t>
  </si>
  <si>
    <t>MFG0377721</t>
  </si>
  <si>
    <t>PT390</t>
  </si>
  <si>
    <t xml:space="preserve">POL RICE WHITE </t>
  </si>
  <si>
    <t>MFG0377389</t>
  </si>
  <si>
    <t>MFG0377038</t>
  </si>
  <si>
    <t>MFG0377039</t>
  </si>
  <si>
    <t>MFG0377040</t>
  </si>
  <si>
    <t>MFG0377357</t>
  </si>
  <si>
    <t>MFG0377388</t>
  </si>
  <si>
    <t>MFG0377390</t>
  </si>
  <si>
    <t>MFG0377041</t>
  </si>
  <si>
    <t>MFG0377042</t>
  </si>
  <si>
    <t>MFG0377043</t>
  </si>
  <si>
    <t>MFG0377044</t>
  </si>
  <si>
    <t>MFG0377343</t>
  </si>
  <si>
    <t>MFG0377391</t>
  </si>
  <si>
    <t>MFG0377045</t>
  </si>
  <si>
    <t>MFG0377046</t>
  </si>
  <si>
    <t>MFG0377047</t>
  </si>
  <si>
    <t>MFG0377048</t>
  </si>
  <si>
    <t>MFG0377049</t>
  </si>
  <si>
    <t>MFG0377050</t>
  </si>
  <si>
    <t>MFG0377052</t>
  </si>
  <si>
    <t>MFG0377569</t>
  </si>
  <si>
    <t>MFG0377548</t>
  </si>
  <si>
    <t>MFG0375918</t>
  </si>
  <si>
    <t>MFG0377356</t>
  </si>
  <si>
    <t>MFG0377396</t>
  </si>
  <si>
    <t>SKJST001</t>
  </si>
  <si>
    <t>MFG0377397</t>
  </si>
  <si>
    <t>SKJST001-B</t>
  </si>
  <si>
    <t>MFG0377053</t>
  </si>
  <si>
    <t>MFG0377054</t>
  </si>
  <si>
    <t>MFG0377055</t>
  </si>
  <si>
    <t>MFG0377056</t>
  </si>
  <si>
    <t>MFG0377057</t>
  </si>
  <si>
    <t>MFG0377058</t>
  </si>
  <si>
    <t>MFG0377059</t>
  </si>
  <si>
    <t>MFG0377716</t>
  </si>
  <si>
    <t>FLB TOMATO SOUP 24-10 OZ</t>
  </si>
  <si>
    <t>PT315</t>
  </si>
  <si>
    <t>BUFFALO STY CHIX STRIPS</t>
  </si>
  <si>
    <t>MFG0377398</t>
  </si>
  <si>
    <t>MFG0377399</t>
  </si>
  <si>
    <t>MFG0377400</t>
  </si>
  <si>
    <t>MFG0377401</t>
  </si>
  <si>
    <t>SKMCS001-B</t>
  </si>
  <si>
    <t>MFG0377718</t>
  </si>
  <si>
    <t>MFG0377310</t>
  </si>
  <si>
    <t>MFG0377404</t>
  </si>
  <si>
    <t>SKPSW001</t>
  </si>
  <si>
    <t>MFG0377405</t>
  </si>
  <si>
    <t>SKPSWBULK</t>
  </si>
  <si>
    <t>MFG0377406</t>
  </si>
  <si>
    <t>770100-6</t>
  </si>
  <si>
    <t xml:space="preserve">YPK HOMESTYLE BEEF 9 OZ </t>
  </si>
  <si>
    <t>770201-6</t>
  </si>
  <si>
    <t xml:space="preserve">MJR HOMESTYLE BEEF 9 OZ. </t>
  </si>
  <si>
    <t>MFG0377577</t>
  </si>
  <si>
    <t>MFG0377579</t>
  </si>
  <si>
    <t>MFG0377580</t>
  </si>
  <si>
    <t>MFG0377581</t>
  </si>
  <si>
    <t>MFG0377582</t>
  </si>
  <si>
    <t>MFG0377358</t>
  </si>
  <si>
    <t>MFG0375936</t>
  </si>
  <si>
    <t>MFG0377407</t>
  </si>
  <si>
    <t>770101-6</t>
  </si>
  <si>
    <t xml:space="preserve">YPK TURKEY FARE 9 OZ. </t>
  </si>
  <si>
    <t>770202-6</t>
  </si>
  <si>
    <t>MJR TURKEY FARE 9 OZ</t>
  </si>
  <si>
    <t>MFG0377583</t>
  </si>
  <si>
    <t>MFG0377585</t>
  </si>
  <si>
    <t>MFG0377586</t>
  </si>
  <si>
    <t>MFG0377588</t>
  </si>
  <si>
    <t>MFG0377589</t>
  </si>
  <si>
    <t>MFG0377590</t>
  </si>
  <si>
    <t>MFG0377591</t>
  </si>
  <si>
    <t>MFG0377593</t>
  </si>
  <si>
    <t>MFG0377594</t>
  </si>
  <si>
    <t>MFG0377596</t>
  </si>
  <si>
    <t>MFG0377359</t>
  </si>
  <si>
    <t>MFG0375934</t>
  </si>
  <si>
    <t>MFG0377379</t>
  </si>
  <si>
    <t>MFG0377380</t>
  </si>
  <si>
    <t>MFG0377408</t>
  </si>
  <si>
    <t>MFG0377409</t>
  </si>
  <si>
    <t>770102-6</t>
  </si>
  <si>
    <t xml:space="preserve">YPK CHICKEN POT PIE 9 OZ </t>
  </si>
  <si>
    <t>770203-6</t>
  </si>
  <si>
    <t xml:space="preserve">MJR CHICKEN PIE 9 OZ </t>
  </si>
  <si>
    <t>MFG0375938</t>
  </si>
  <si>
    <t>MFG0377394</t>
  </si>
  <si>
    <t>MFG0377395</t>
  </si>
  <si>
    <t>MFG0375940</t>
  </si>
  <si>
    <t>MFG0377414</t>
  </si>
  <si>
    <t>MFG0377514</t>
  </si>
  <si>
    <t>MFG0377786</t>
  </si>
  <si>
    <t>MFG0377788</t>
  </si>
  <si>
    <t>MFG0377362</t>
  </si>
  <si>
    <t>(All)</t>
  </si>
  <si>
    <t>Previous Forecast</t>
  </si>
  <si>
    <t xml:space="preserve">            (XXX) FLB BBQ CHICKEN</t>
  </si>
  <si>
    <t xml:space="preserve">            (85210) FLB WHITE CHICKEN CHILI</t>
  </si>
  <si>
    <t xml:space="preserve">            (85210) FLB SOUTHWEST CHICKEN RICE AND BEANS</t>
  </si>
  <si>
    <t xml:space="preserve">            (85210) FLB PIZZA MAC</t>
  </si>
  <si>
    <t xml:space="preserve">            (85210) FLB PASTA WITH MEAT SAUCE</t>
  </si>
  <si>
    <t xml:space="preserve">            (85210) FLB MARINARA MAC</t>
  </si>
  <si>
    <t xml:space="preserve">            (85210) FLB HOT CHILI WITH BEANS</t>
  </si>
  <si>
    <t xml:space="preserve">            (85210) FLB HEARTY BEEF STEW</t>
  </si>
  <si>
    <t xml:space="preserve">            (85210) FLB RING-O-RONI</t>
  </si>
  <si>
    <t>Scheduled</t>
  </si>
  <si>
    <t>YTD</t>
  </si>
  <si>
    <t>% Attainment</t>
  </si>
  <si>
    <t>Simmons Cat</t>
  </si>
  <si>
    <t>Simmons Dog</t>
  </si>
  <si>
    <t>S&amp;OP 2026</t>
  </si>
  <si>
    <t>TOYO1</t>
  </si>
  <si>
    <t>FG</t>
  </si>
  <si>
    <t>TOYO3</t>
  </si>
  <si>
    <t>TRI</t>
  </si>
  <si>
    <t>TOYO4</t>
  </si>
  <si>
    <t>W6</t>
  </si>
  <si>
    <t>MFG0373652</t>
  </si>
  <si>
    <t>WHITE CHED CHEESE SAUCE 140-4.06OZ</t>
  </si>
  <si>
    <t>W17</t>
  </si>
  <si>
    <t>MFG0373688</t>
  </si>
  <si>
    <t>MRE STR JAM 400-1 OZ</t>
  </si>
  <si>
    <t>W-18</t>
  </si>
  <si>
    <t>MFG0376654</t>
  </si>
  <si>
    <t>SMU STRAWBERRY 400-.5 OZ</t>
  </si>
  <si>
    <t>FLB PASTA &amp; VEG 24-8.0 OZ.</t>
  </si>
  <si>
    <t>JORDAN</t>
  </si>
  <si>
    <t>MFG0376284</t>
  </si>
  <si>
    <t>HEINZ MARINARA SAUCE 60-2.0 OZ</t>
  </si>
  <si>
    <t>J2</t>
  </si>
  <si>
    <t>MFG0376989</t>
  </si>
  <si>
    <t>REDSC2ZC84</t>
  </si>
  <si>
    <t>RED GOLD SALSA 84- 3 OZ CUP</t>
  </si>
  <si>
    <t>DT1</t>
  </si>
  <si>
    <t>MFG0376663</t>
  </si>
  <si>
    <t>JOY2 CHOCOLATE BAR 2.29OZ - 140CT</t>
  </si>
  <si>
    <t xml:space="preserve">FLB BEEF STEW  24-7.0 OZ. </t>
  </si>
  <si>
    <t>MFG0375195</t>
  </si>
  <si>
    <t>PPHM</t>
  </si>
  <si>
    <t>MFG0375908</t>
  </si>
  <si>
    <t>Zee Zees No Nut Butter, Creamy, 1oz 200ct</t>
  </si>
  <si>
    <t>STK TERIYAKI CHKN12-2.6 OZ.</t>
  </si>
  <si>
    <t>MFG0375395</t>
  </si>
  <si>
    <t>MFG0376134</t>
  </si>
  <si>
    <t>REDNA2ZC84</t>
  </si>
  <si>
    <t>RED GOLD MARINARA 84-2.5 OZ CUP</t>
  </si>
  <si>
    <t>MFG0375920</t>
  </si>
  <si>
    <t>MFG0376143</t>
  </si>
  <si>
    <t>REDNAHZC264CD</t>
  </si>
  <si>
    <t>RED GOLD MARINARA 264-1.25 OZ CUP WW</t>
  </si>
  <si>
    <t>MFG0375127</t>
  </si>
  <si>
    <t>MFG0375540</t>
  </si>
  <si>
    <t>MFG0377016</t>
  </si>
  <si>
    <t>JHS CH FUDG 96-1.5 OZ</t>
  </si>
  <si>
    <t>MFG0376142</t>
  </si>
  <si>
    <t>REDNAHZC264</t>
  </si>
  <si>
    <t>RED GOLD MARINARA 264-1.25 OZ CUP</t>
  </si>
  <si>
    <t>UGRAPERI</t>
  </si>
  <si>
    <t>MFG0376722</t>
  </si>
  <si>
    <t>MFG0376556</t>
  </si>
  <si>
    <t>MRE FAT FREE MAYO 400-1 OZ</t>
  </si>
  <si>
    <t>MFG0376328</t>
  </si>
  <si>
    <t>INT SWT POT GRP SMOTH 100-6 OZ</t>
  </si>
  <si>
    <t>WALDNER</t>
  </si>
  <si>
    <t>MFG0372009</t>
  </si>
  <si>
    <t>JHS CARAMEL 96 -1.5 OZ</t>
  </si>
  <si>
    <t>MFG0375541</t>
  </si>
  <si>
    <t>MFG0375285</t>
  </si>
  <si>
    <t>MFG0377010</t>
  </si>
  <si>
    <t>MFG0375157</t>
  </si>
  <si>
    <t>SP02</t>
  </si>
  <si>
    <t>SER CHIX W/PEA &amp; CAR 12-3.5 OZ</t>
  </si>
  <si>
    <t>MFG0375396</t>
  </si>
  <si>
    <t>MFG0376141</t>
  </si>
  <si>
    <t>REDNA2ZC84CD</t>
  </si>
  <si>
    <t>RED GOLD MARINARA 84-2.5 OZ CUP WW</t>
  </si>
  <si>
    <t>MFG0376800</t>
  </si>
  <si>
    <t>MFG0376797</t>
  </si>
  <si>
    <t>MFG0376792</t>
  </si>
  <si>
    <t>MFG0376795</t>
  </si>
  <si>
    <t>MFG0376796</t>
  </si>
  <si>
    <t>MFG0376793</t>
  </si>
  <si>
    <t>MFG0376802</t>
  </si>
  <si>
    <t>MFG0376794</t>
  </si>
  <si>
    <t>MFG0376798</t>
  </si>
  <si>
    <t>W19</t>
  </si>
  <si>
    <t>MFG0373734</t>
  </si>
  <si>
    <t>MRE CHUN PNB 300-1 OZ</t>
  </si>
  <si>
    <t>MFG0377320</t>
  </si>
  <si>
    <t>MFG0373693</t>
  </si>
  <si>
    <t>MRE BBQ SCE 400-1 OZ</t>
  </si>
  <si>
    <t>MFG0376329</t>
  </si>
  <si>
    <t>MFG0376786</t>
  </si>
  <si>
    <t>MFG0376789</t>
  </si>
  <si>
    <t>MFG0377018</t>
  </si>
  <si>
    <t>MFG0373570</t>
  </si>
  <si>
    <t>JJ 5-BAND BUTTER 1020-0.141 OZ</t>
  </si>
  <si>
    <t>MFG0375212</t>
  </si>
  <si>
    <t>MFG0376650</t>
  </si>
  <si>
    <t>REDSC2ZC168</t>
  </si>
  <si>
    <t>RED GOLD SALSA 168-3 OZ CUP</t>
  </si>
  <si>
    <t>MFG0376138</t>
  </si>
  <si>
    <t>MFG0377029</t>
  </si>
  <si>
    <t>MFG0375302</t>
  </si>
  <si>
    <t>MFG0375397</t>
  </si>
  <si>
    <t>BEEF STEW 24-24 OZ.</t>
  </si>
  <si>
    <t>MFG0376788</t>
  </si>
  <si>
    <t>MFG0376787</t>
  </si>
  <si>
    <t>SER BEEF W/KALE SPOT 12-3.5 OZ</t>
  </si>
  <si>
    <t>MFG0375872</t>
  </si>
  <si>
    <t>MFG0375929</t>
  </si>
  <si>
    <t>SMU GRAPE 400-.5 OZ</t>
  </si>
  <si>
    <t>MFG0376330</t>
  </si>
  <si>
    <t>MFG0375371</t>
  </si>
  <si>
    <t>SER BISON W/KABCHA SQ 12-3.5 OZ</t>
  </si>
  <si>
    <t>MFG0377338</t>
  </si>
  <si>
    <t>MFG0376139</t>
  </si>
  <si>
    <t>MFG0376643</t>
  </si>
  <si>
    <t>REDNA2ZC168</t>
  </si>
  <si>
    <t>RED GOLD MARINARA 168-2.5 OZ CUP</t>
  </si>
  <si>
    <t>MFG0375128</t>
  </si>
  <si>
    <t>MFG0375543</t>
  </si>
  <si>
    <t>MFG0376599</t>
  </si>
  <si>
    <t>MFG0376803</t>
  </si>
  <si>
    <t>MFG0376997</t>
  </si>
  <si>
    <t>MFG0376804</t>
  </si>
  <si>
    <t>MFG0377020</t>
  </si>
  <si>
    <t>MFG0376785</t>
  </si>
  <si>
    <t>MFG0376791</t>
  </si>
  <si>
    <t>MFG0375927</t>
  </si>
  <si>
    <t>MFG0376790</t>
  </si>
  <si>
    <t>MFG0375623</t>
  </si>
  <si>
    <t>MFG0376600</t>
  </si>
  <si>
    <t>ACCESORY</t>
  </si>
  <si>
    <t>MFG0377336</t>
  </si>
  <si>
    <t xml:space="preserve">1.5 oz SYRUP ASSEMBLED </t>
  </si>
  <si>
    <t>MFG0375542</t>
  </si>
  <si>
    <t>MFG0377426</t>
  </si>
  <si>
    <t>8OZMV3</t>
  </si>
  <si>
    <t>MFG0376990</t>
  </si>
  <si>
    <t>MFG0377339</t>
  </si>
  <si>
    <t>PT2</t>
  </si>
  <si>
    <t>MFG0375158</t>
  </si>
  <si>
    <t>MFG0376332</t>
  </si>
  <si>
    <t>INT BAN APL SMOOTHIE 100-6 OZ</t>
  </si>
  <si>
    <t>MFG0376976</t>
  </si>
  <si>
    <t>MRE PNB 300-1 OZ</t>
  </si>
  <si>
    <t>MFG0376439</t>
  </si>
  <si>
    <t>MRE APL JEL 400-1 OZ</t>
  </si>
  <si>
    <t>MFG0375931</t>
  </si>
  <si>
    <t>MFG0375346</t>
  </si>
  <si>
    <t>MFG0373716</t>
  </si>
  <si>
    <t>MFG0373736</t>
  </si>
  <si>
    <t>MFG0375213</t>
  </si>
  <si>
    <t>MFG0377322</t>
  </si>
  <si>
    <t>MFG0377365</t>
  </si>
  <si>
    <t>MFG0376086</t>
  </si>
  <si>
    <t>ANIMAL SUGAR COOKIE, PKG</t>
  </si>
  <si>
    <t>MFG0375456</t>
  </si>
  <si>
    <t>MFG0376601</t>
  </si>
  <si>
    <t>MFG0376152</t>
  </si>
  <si>
    <t>REDSC2ZC84CD</t>
  </si>
  <si>
    <t>RED GOLD SALSA 84- 3 OZ CUP WHT WOOD</t>
  </si>
  <si>
    <t>MFG0377460</t>
  </si>
  <si>
    <t>MFG0377445</t>
  </si>
  <si>
    <t>MFG0376333</t>
  </si>
  <si>
    <t>MFG0376153</t>
  </si>
  <si>
    <t>MFG0375347</t>
  </si>
  <si>
    <t>MFG0376981</t>
  </si>
  <si>
    <t>MFG0375457</t>
  </si>
  <si>
    <t>MFG0376087</t>
  </si>
  <si>
    <t>MFG0376154</t>
  </si>
  <si>
    <t>MFG0377519</t>
  </si>
  <si>
    <t>MFG0377334</t>
  </si>
  <si>
    <t>MFG0373717</t>
  </si>
  <si>
    <t>MFG0373737</t>
  </si>
  <si>
    <t xml:space="preserve">SER CHIX TIKKA MASL 12-3.5 OZ. </t>
  </si>
  <si>
    <t>SER CHIX TIKKA MASAL 50-3.5 OZ</t>
  </si>
  <si>
    <t>MFG0376829</t>
  </si>
  <si>
    <t>MFG0376832</t>
  </si>
  <si>
    <t>MFG0376837</t>
  </si>
  <si>
    <t>MFG0376845</t>
  </si>
  <si>
    <t>MFG0376835</t>
  </si>
  <si>
    <t>MFG0376838</t>
  </si>
  <si>
    <t>MFG0376334</t>
  </si>
  <si>
    <t>MFG0376844</t>
  </si>
  <si>
    <t>MFG0376839</t>
  </si>
  <si>
    <t>MFG0375932</t>
  </si>
  <si>
    <t>MFG0377452</t>
  </si>
  <si>
    <t>MFG0377461</t>
  </si>
  <si>
    <t>MFG0376840</t>
  </si>
  <si>
    <t>MFG0376841</t>
  </si>
  <si>
    <t>MFG0376836</t>
  </si>
  <si>
    <t>MFG0376846</t>
  </si>
  <si>
    <t>MFG0375458</t>
  </si>
  <si>
    <t>MFG0376085</t>
  </si>
  <si>
    <t>MFG0377008</t>
  </si>
  <si>
    <t>MFG0376685</t>
  </si>
  <si>
    <t>REDSC2ZC168CD</t>
  </si>
  <si>
    <t>RED GOLD SALSA 168-3 OZ CUP WHT WOOD</t>
  </si>
  <si>
    <t>MFG0375159</t>
  </si>
  <si>
    <t>MFG0376983</t>
  </si>
  <si>
    <t>SER SAL BNUT SQ BEET 12-3.5 OZ</t>
  </si>
  <si>
    <t>MFG0375358</t>
  </si>
  <si>
    <t xml:space="preserve">SER SAL BNT SQ BEET 50-3.5 OZ. </t>
  </si>
  <si>
    <t>MFG0377453</t>
  </si>
  <si>
    <t>MFG0375928</t>
  </si>
  <si>
    <t>MFG0377467</t>
  </si>
  <si>
    <t>MFG0376335</t>
  </si>
  <si>
    <t>MFG0376830</t>
  </si>
  <si>
    <t>MFG0376834</t>
  </si>
  <si>
    <t>MFG0376833</t>
  </si>
  <si>
    <t>MFG0376602</t>
  </si>
  <si>
    <t>MFG0375459</t>
  </si>
  <si>
    <t>MFG0377321</t>
  </si>
  <si>
    <t>MFG0377019</t>
  </si>
  <si>
    <t>MFG0375336</t>
  </si>
  <si>
    <t>MFG0376831</t>
  </si>
  <si>
    <t>MFG0376828</t>
  </si>
  <si>
    <t>SER SWEET POT W/SPIN 12-3.5 OZ</t>
  </si>
  <si>
    <t>MFG0377534</t>
  </si>
  <si>
    <t>MFG0377535</t>
  </si>
  <si>
    <t>MFG0376480</t>
  </si>
  <si>
    <t>MFG0376495</t>
  </si>
  <si>
    <t>MFG0377527</t>
  </si>
  <si>
    <t>MFG0376498</t>
  </si>
  <si>
    <t>MFG0376488</t>
  </si>
  <si>
    <t>2236O</t>
  </si>
  <si>
    <t>OCONUS LUNCH/DINNER MENU 4, SE</t>
  </si>
  <si>
    <t>MFG0376478</t>
  </si>
  <si>
    <t>MFG0376494</t>
  </si>
  <si>
    <t>MFG0377442</t>
  </si>
  <si>
    <t>MRE GRP JEL 400-1 OZ</t>
  </si>
  <si>
    <t>MFG0377530</t>
  </si>
  <si>
    <t>MFG0376497</t>
  </si>
  <si>
    <t>2254O</t>
  </si>
  <si>
    <t>OCONUS LUNCH/DINNER MENU 13, S</t>
  </si>
  <si>
    <t>MFG0373379</t>
  </si>
  <si>
    <t>MFG0377441</t>
  </si>
  <si>
    <t>MFG0377454</t>
  </si>
  <si>
    <t>MFG0377468</t>
  </si>
  <si>
    <t>MFG0377564</t>
  </si>
  <si>
    <t>MFG0377531</t>
  </si>
  <si>
    <t>MFG0376490</t>
  </si>
  <si>
    <t>MFG0376491</t>
  </si>
  <si>
    <t>MFG0376487</t>
  </si>
  <si>
    <t>MFG0376603</t>
  </si>
  <si>
    <t>MFG0376493</t>
  </si>
  <si>
    <t>MFG0377037</t>
  </si>
  <si>
    <t>MFG0377366</t>
  </si>
  <si>
    <t>SER BNT SQ W/SPINACH 12-3.5 OZ</t>
  </si>
  <si>
    <t>SER BNUT SQ W/SPINACH 50-3.5</t>
  </si>
  <si>
    <t>MFG0376496</t>
  </si>
  <si>
    <t>MFG0376485</t>
  </si>
  <si>
    <t>MFG0376492</t>
  </si>
  <si>
    <t>2244O</t>
  </si>
  <si>
    <t>OCONUS LUNCH/DINNER MENU 8, SE</t>
  </si>
  <si>
    <t>MFG0377525</t>
  </si>
  <si>
    <t>MFG0377528</t>
  </si>
  <si>
    <t>MFG0377536</t>
  </si>
  <si>
    <t>MFG0377532</t>
  </si>
  <si>
    <t>MFG0376477</t>
  </si>
  <si>
    <t>MFG0376483</t>
  </si>
  <si>
    <t>MFG0376502</t>
  </si>
  <si>
    <t>MFG0377526</t>
  </si>
  <si>
    <t>MFG0377529</t>
  </si>
  <si>
    <t>MFG0375930</t>
  </si>
  <si>
    <t>MFG0377430</t>
  </si>
  <si>
    <t>CCAR MOCHA ENERGY GEL 400-34g CT</t>
  </si>
  <si>
    <t>MFG0376486</t>
  </si>
  <si>
    <t>MFG0376484</t>
  </si>
  <si>
    <t>MFG0376481</t>
  </si>
  <si>
    <t>MFG0376641</t>
  </si>
  <si>
    <t>MFG0375876</t>
  </si>
  <si>
    <t>MFG0375544</t>
  </si>
  <si>
    <t>AUTOPROD</t>
  </si>
  <si>
    <t>MFG0377306</t>
  </si>
  <si>
    <t>NESTLE BENECALORIE 24-1.5 OZ</t>
  </si>
  <si>
    <t>MFG0377744</t>
  </si>
  <si>
    <t>MFG0372697</t>
  </si>
  <si>
    <t>MFG0376998</t>
  </si>
  <si>
    <t>MFG0375320</t>
  </si>
  <si>
    <t>MFG0375398</t>
  </si>
  <si>
    <t>MFG0376499</t>
  </si>
  <si>
    <t>MFG0376501</t>
  </si>
  <si>
    <t>MFG0376489</t>
  </si>
  <si>
    <t>MFG0376500</t>
  </si>
  <si>
    <t>MFG0377510</t>
  </si>
  <si>
    <t>MFG0377449</t>
  </si>
  <si>
    <t>MRE BLK BER 400-1 OZ</t>
  </si>
  <si>
    <t>MFG0377487</t>
  </si>
  <si>
    <t>MRE CHOC PEANUT 300-1 OZ</t>
  </si>
  <si>
    <t>MFG0377563</t>
  </si>
  <si>
    <t>MFG0376327</t>
  </si>
  <si>
    <t>MFG0377286</t>
  </si>
  <si>
    <t>MFG0375877</t>
  </si>
  <si>
    <t>MFG0375545</t>
  </si>
  <si>
    <t>MFG0375251</t>
  </si>
  <si>
    <t>MFG0372691</t>
  </si>
  <si>
    <t>MFG0376128</t>
  </si>
  <si>
    <t>MFG0373718</t>
  </si>
  <si>
    <t>MFG0377700</t>
  </si>
  <si>
    <t>MFG0373738</t>
  </si>
  <si>
    <t>MFG0375399</t>
  </si>
  <si>
    <t>MFG0377511</t>
  </si>
  <si>
    <t>MFG0377495</t>
  </si>
  <si>
    <t>MRE BAC CHED 300-1.OZ</t>
  </si>
  <si>
    <t>MFG0377488</t>
  </si>
  <si>
    <t>MFG0377777</t>
  </si>
  <si>
    <t>MFG0375878</t>
  </si>
  <si>
    <t>MFG0375546</t>
  </si>
  <si>
    <t>MFG0375286</t>
  </si>
  <si>
    <t>MFG0376952</t>
  </si>
  <si>
    <t>MFG0376986</t>
  </si>
  <si>
    <t>MFG0376130</t>
  </si>
  <si>
    <t>REDNA2ZC168CD</t>
  </si>
  <si>
    <t>RED GOLD MARINARA 168-2.5 OZ CUP WW</t>
  </si>
  <si>
    <t>MFG0373719</t>
  </si>
  <si>
    <t>MFG0373740</t>
  </si>
  <si>
    <t>MFG0375160</t>
  </si>
  <si>
    <t>MFG0377288</t>
  </si>
  <si>
    <t>SER CHIX MEX STEW 12-3.5 OZ.</t>
  </si>
  <si>
    <t>SER TUR SPOT PUMP 12-3.5 OZ</t>
  </si>
  <si>
    <t>MFG0375400</t>
  </si>
  <si>
    <t>MFG0377490</t>
  </si>
  <si>
    <t>MFG0377524</t>
  </si>
  <si>
    <t>MFG0375372</t>
  </si>
  <si>
    <t>SER BEEF W/KALE SPOT 50-3.5 OZ.</t>
  </si>
  <si>
    <t>MFG0377736</t>
  </si>
  <si>
    <t>MFG0376131</t>
  </si>
  <si>
    <t>MFG0377287</t>
  </si>
  <si>
    <t>MFG0375129</t>
  </si>
  <si>
    <t>MFG0377571</t>
  </si>
  <si>
    <t>MFG0375547</t>
  </si>
  <si>
    <t>MFG0375879</t>
  </si>
  <si>
    <t>MFG0377559</t>
  </si>
  <si>
    <t>MFG0377558</t>
  </si>
  <si>
    <t>MFG0377562</t>
  </si>
  <si>
    <t>MFG0375880</t>
  </si>
  <si>
    <t>SER CARROT SPIN BASIL 50-3.5 OZ</t>
  </si>
  <si>
    <t>MFG0377283</t>
  </si>
  <si>
    <t>MFG0376657</t>
  </si>
  <si>
    <t>JOY250003</t>
  </si>
  <si>
    <t>JOY2 Yo2Go MIXED BERRY 3.5 OZ-48CT</t>
  </si>
  <si>
    <t>TRITP</t>
  </si>
  <si>
    <t>MFG0377831</t>
  </si>
  <si>
    <t>FLB CHILI W/BEANS  24-7 OZ</t>
  </si>
  <si>
    <t>MFG0377727</t>
  </si>
  <si>
    <t>MFG0377748</t>
  </si>
  <si>
    <t>MFG0376656</t>
  </si>
  <si>
    <t>JOY2 PNB 200-1.1OZ</t>
  </si>
  <si>
    <t>MFG0377832</t>
  </si>
  <si>
    <t>MFG0375401</t>
  </si>
  <si>
    <t>MFG0373742</t>
  </si>
  <si>
    <t>MFG0373720</t>
  </si>
  <si>
    <t>MFG0375321</t>
  </si>
  <si>
    <t>MFG0375460</t>
  </si>
  <si>
    <t>SER CARROT SPIN BASIL 12-3.5 OZ</t>
  </si>
  <si>
    <t>MFG0377036</t>
  </si>
  <si>
    <t>MFG0377747</t>
  </si>
  <si>
    <t>MFG0377775</t>
  </si>
  <si>
    <t>MFG0375461</t>
  </si>
  <si>
    <t>MFG0375303</t>
  </si>
  <si>
    <t>MFG0375214</t>
  </si>
  <si>
    <t>MFG0375886</t>
  </si>
  <si>
    <t>JJ 4-BAND BUTTER 1020-0.141 OZ</t>
  </si>
  <si>
    <t>MFG0376137</t>
  </si>
  <si>
    <t>MFG0377284</t>
  </si>
  <si>
    <t>SER TURK SPOT PUMP 50-3.5 OZ</t>
  </si>
  <si>
    <t>MFG0375402</t>
  </si>
  <si>
    <t>MFG0377858</t>
  </si>
  <si>
    <t>MFG0376707</t>
  </si>
  <si>
    <t>MFG0376705</t>
  </si>
  <si>
    <t>MFG0377791</t>
  </si>
  <si>
    <t>MFG0376702</t>
  </si>
  <si>
    <t>MFG0377811</t>
  </si>
  <si>
    <t>MFG0376700</t>
  </si>
  <si>
    <t>MFG0377797</t>
  </si>
  <si>
    <t>MFG0377818</t>
  </si>
  <si>
    <t>MFG0376701</t>
  </si>
  <si>
    <t>MFG0376699</t>
  </si>
  <si>
    <t>MFG0376710</t>
  </si>
  <si>
    <t>MFG0377793</t>
  </si>
  <si>
    <t>MFG0377867</t>
  </si>
  <si>
    <t>MFG0377496</t>
  </si>
  <si>
    <t>MFG0377889</t>
  </si>
  <si>
    <t>MFG0376703</t>
  </si>
  <si>
    <t>MFG0377795</t>
  </si>
  <si>
    <t>MFG0376708</t>
  </si>
  <si>
    <t>MFG0376706</t>
  </si>
  <si>
    <t>MFG0376711</t>
  </si>
  <si>
    <t>MFG0375462</t>
  </si>
  <si>
    <t>MFG0375130</t>
  </si>
  <si>
    <t>MFG0375215</t>
  </si>
  <si>
    <t>MFG0376640</t>
  </si>
  <si>
    <t>MFG0377888</t>
  </si>
  <si>
    <t>MFG0373721</t>
  </si>
  <si>
    <t>MFG0373744</t>
  </si>
  <si>
    <t>BCH BEEF PMP SPOT 12-3.5 OZ.</t>
  </si>
  <si>
    <t>MFG0375885</t>
  </si>
  <si>
    <t>MFG0377816</t>
  </si>
  <si>
    <t>MFG0376709</t>
  </si>
  <si>
    <t>MFG0377827</t>
  </si>
  <si>
    <t>FLB CHKN NDLE SOUP 24-10 Oz.</t>
  </si>
  <si>
    <t>MFG0375403</t>
  </si>
  <si>
    <t>MFG0377799</t>
  </si>
  <si>
    <t>MFG0377809</t>
  </si>
  <si>
    <t>MFG0377874</t>
  </si>
  <si>
    <t>MFG0377497</t>
  </si>
  <si>
    <t>MFG0377813</t>
  </si>
  <si>
    <t>MFG0377820</t>
  </si>
  <si>
    <t>MFG0377807</t>
  </si>
  <si>
    <t>MFG0377857</t>
  </si>
  <si>
    <t>MFG0377801</t>
  </si>
  <si>
    <t>MFG0377803</t>
  </si>
  <si>
    <t>MFG0375887</t>
  </si>
  <si>
    <t>MFG0376984</t>
  </si>
  <si>
    <t>MFG0375252</t>
  </si>
  <si>
    <t>MFG0376661</t>
  </si>
  <si>
    <t>MFG0377296</t>
  </si>
  <si>
    <t>MFG0377556</t>
  </si>
  <si>
    <t>MFG0377331</t>
  </si>
  <si>
    <t>MFG0377285</t>
  </si>
  <si>
    <t>MFG0375463</t>
  </si>
  <si>
    <t>MFG0377881</t>
  </si>
  <si>
    <t>MFG0375373</t>
  </si>
  <si>
    <t>MFG0377835</t>
  </si>
  <si>
    <t>MFG0377972</t>
  </si>
  <si>
    <t>MFG0377970</t>
  </si>
  <si>
    <t>MFG0377965</t>
  </si>
  <si>
    <t>MFG0377961</t>
  </si>
  <si>
    <t>MFG0377973</t>
  </si>
  <si>
    <t>MFG0377968</t>
  </si>
  <si>
    <t>MFG0377482</t>
  </si>
  <si>
    <t>MRE APPLE PIE DESSERT 200-2 OZ</t>
  </si>
  <si>
    <t>MFG0377958</t>
  </si>
  <si>
    <t>MFG0377971</t>
  </si>
  <si>
    <t>MFG0377967</t>
  </si>
  <si>
    <t>MFG0377473</t>
  </si>
  <si>
    <t>MFG0377438</t>
  </si>
  <si>
    <t>MFG0377955</t>
  </si>
  <si>
    <t>MFG0377962</t>
  </si>
  <si>
    <t>MFG0377966</t>
  </si>
  <si>
    <t>MFG0377969</t>
  </si>
  <si>
    <t>MFG0377963</t>
  </si>
  <si>
    <t>MFG0375800</t>
  </si>
  <si>
    <t>STERLIN WHT ICE 75-6 OZ MRE</t>
  </si>
  <si>
    <t>MFG0378023</t>
  </si>
  <si>
    <t>MFG0376090</t>
  </si>
  <si>
    <t>MFG0373232</t>
  </si>
  <si>
    <t>S.S. HNZ SALSA 60-2.0 OZ</t>
  </si>
  <si>
    <t>MFG0377281</t>
  </si>
  <si>
    <t>MFG0377332</t>
  </si>
  <si>
    <t>MFG0375548</t>
  </si>
  <si>
    <t>MFG0375196</t>
  </si>
  <si>
    <t>MFG0377853</t>
  </si>
  <si>
    <t>MFG0378081</t>
  </si>
  <si>
    <t>FLB WHITE CHIX CHILI  24 CT REPACK</t>
  </si>
  <si>
    <t>MFG0377964</t>
  </si>
  <si>
    <t>MFG0375405</t>
  </si>
  <si>
    <t>MFG0377436</t>
  </si>
  <si>
    <t>CHEDDAR CHEESE SAUCE 140-4.06OZ</t>
  </si>
  <si>
    <t>MFG0377865</t>
  </si>
  <si>
    <t>MFG0377732</t>
  </si>
  <si>
    <t>MFG0377956</t>
  </si>
  <si>
    <t>MFG0377960</t>
  </si>
  <si>
    <t>MFG0377959</t>
  </si>
  <si>
    <t>MFG0377954</t>
  </si>
  <si>
    <t>MFG0377957</t>
  </si>
  <si>
    <t>MFG0377854</t>
  </si>
  <si>
    <t>MFG0377439</t>
  </si>
  <si>
    <t>MFG0375406</t>
  </si>
  <si>
    <t>MFG0378089</t>
  </si>
  <si>
    <t>MFG0378123</t>
  </si>
  <si>
    <t>MFG0375549</t>
  </si>
  <si>
    <t>MFG0376448</t>
  </si>
  <si>
    <t>MFG0372702</t>
  </si>
  <si>
    <t>MFG0377282</t>
  </si>
  <si>
    <t>REDSCHZC264CD</t>
  </si>
  <si>
    <t>RED GOLD SALSA 264- 1.5 OZ CUP WHT WOOD</t>
  </si>
  <si>
    <t>MFG0378028</t>
  </si>
  <si>
    <t>MFG0376089</t>
  </si>
  <si>
    <t>MFG0377916</t>
  </si>
  <si>
    <t>MFG0378080</t>
  </si>
  <si>
    <t>MFG0377934</t>
  </si>
  <si>
    <t>MFG0377975</t>
  </si>
  <si>
    <t>MFG0378025</t>
  </si>
  <si>
    <t>MFG0377930</t>
  </si>
  <si>
    <t>MFG0377922</t>
  </si>
  <si>
    <t>MFG0377501</t>
  </si>
  <si>
    <t>IMP RASPBERRY JAM 400-20 G</t>
  </si>
  <si>
    <t>MFG0377974</t>
  </si>
  <si>
    <t>MFG0377937</t>
  </si>
  <si>
    <t>MFG0376724</t>
  </si>
  <si>
    <t>MFG0377437</t>
  </si>
  <si>
    <t>MFG0377932</t>
  </si>
  <si>
    <t>MFG0377979</t>
  </si>
  <si>
    <t>MFG0377978</t>
  </si>
  <si>
    <t>MFG0377926</t>
  </si>
  <si>
    <t>MFG0377941</t>
  </si>
  <si>
    <t>MFG0376446</t>
  </si>
  <si>
    <t>MFG0375550</t>
  </si>
  <si>
    <t>MFG0375131</t>
  </si>
  <si>
    <t>MFG0378031</t>
  </si>
  <si>
    <t>MFG0378030</t>
  </si>
  <si>
    <t>MFG0373747</t>
  </si>
  <si>
    <t>MFG0373752</t>
  </si>
  <si>
    <t>MFG0372701</t>
  </si>
  <si>
    <t>MFG0375404</t>
  </si>
  <si>
    <t>MFG0377977</t>
  </si>
  <si>
    <t>MFG0377886</t>
  </si>
  <si>
    <t>MOM UN-STUFFED PEPPER 6-10 OZ.</t>
  </si>
  <si>
    <t>MFG0377918</t>
  </si>
  <si>
    <t>MFG0377939</t>
  </si>
  <si>
    <t>MFG0377928</t>
  </si>
  <si>
    <t>MFG0377887</t>
  </si>
  <si>
    <t>MFG0375374</t>
  </si>
  <si>
    <t>MFG0375161</t>
  </si>
  <si>
    <t>MFG0372700</t>
  </si>
  <si>
    <t>MFG0375132</t>
  </si>
  <si>
    <t>MFG0375551</t>
  </si>
  <si>
    <t>MFG0378141</t>
  </si>
  <si>
    <t>MFG0378186</t>
  </si>
  <si>
    <t>MFG0376725</t>
  </si>
  <si>
    <t>MFG0377500</t>
  </si>
  <si>
    <t>IMP BLACKBERRY JAM 400-20 G</t>
  </si>
  <si>
    <t>MFG0376727</t>
  </si>
  <si>
    <t>MFG0378173</t>
  </si>
  <si>
    <t>MFG0377502</t>
  </si>
  <si>
    <t>MFG0378172</t>
  </si>
  <si>
    <t>MFG0376728</t>
  </si>
  <si>
    <t>MFG0377333</t>
  </si>
  <si>
    <t>MFG0376473</t>
  </si>
  <si>
    <t>STERLING CHOC ICING 75/6 OZ</t>
  </si>
  <si>
    <t>MFG0377996</t>
  </si>
  <si>
    <t>MFG0378175</t>
  </si>
  <si>
    <t>MFG0376283</t>
  </si>
  <si>
    <t>MFG0377523</t>
  </si>
  <si>
    <t>MFG0376479</t>
  </si>
  <si>
    <t>STERLING MAPLE SYRUP 75/6OZ</t>
  </si>
  <si>
    <t>MFG0377876</t>
  </si>
  <si>
    <t>MFG0377774</t>
  </si>
  <si>
    <t>STK LEMON PEPPR CHKN 12-2.6 OZ</t>
  </si>
  <si>
    <t>MFG0375907</t>
  </si>
  <si>
    <t>MFG0376729</t>
  </si>
  <si>
    <t>MFG0378029</t>
  </si>
  <si>
    <t>MFG0377440</t>
  </si>
  <si>
    <t>QUESO CHEESE SAUCE 140-4.06OZ</t>
  </si>
  <si>
    <t>MFG0377891</t>
  </si>
  <si>
    <t>MFG0377880</t>
  </si>
  <si>
    <t>CHILI W/ MACARONI</t>
  </si>
  <si>
    <t>MFG0375359</t>
  </si>
  <si>
    <t>MFG0375197</t>
  </si>
  <si>
    <t>MFG0377022</t>
  </si>
  <si>
    <t>MFG0378087</t>
  </si>
  <si>
    <t>MFG0376413</t>
  </si>
  <si>
    <t>MFG0375287</t>
  </si>
  <si>
    <t>MFG0375464</t>
  </si>
  <si>
    <t>MFG0376476</t>
  </si>
  <si>
    <t>STERLING CHERRY TOP 50-10 OZ</t>
  </si>
  <si>
    <t>MFG0377892</t>
  </si>
  <si>
    <t>MFG0378040</t>
  </si>
  <si>
    <t>MFG0378038</t>
  </si>
  <si>
    <t>MFG0378120</t>
  </si>
  <si>
    <t>MFG0375906</t>
  </si>
  <si>
    <t>MFG0378301</t>
  </si>
  <si>
    <t>MFG0375360</t>
  </si>
  <si>
    <t>MFG0378041</t>
  </si>
  <si>
    <t>MFG0378262</t>
  </si>
  <si>
    <t>MFG0375304</t>
  </si>
  <si>
    <t>MFG0375216</t>
  </si>
  <si>
    <t>MFG0377030</t>
  </si>
  <si>
    <t>MFG0375465</t>
  </si>
  <si>
    <t>MFG0373753</t>
  </si>
  <si>
    <t>MFG0373748</t>
  </si>
  <si>
    <t>MFG0375162</t>
  </si>
  <si>
    <t>MFG0377899</t>
  </si>
  <si>
    <t>MFG0378046</t>
  </si>
  <si>
    <t>MFG0377848</t>
  </si>
  <si>
    <t>MFG0376726</t>
  </si>
  <si>
    <t>MFG0378047</t>
  </si>
  <si>
    <t>MFG0378045</t>
  </si>
  <si>
    <t>MFG0378044</t>
  </si>
  <si>
    <t>MFG0378039</t>
  </si>
  <si>
    <t>MFG0378130</t>
  </si>
  <si>
    <t>MFG0378050</t>
  </si>
  <si>
    <t>MFG0378192</t>
  </si>
  <si>
    <t>MFG0375466</t>
  </si>
  <si>
    <t>MFG0377893</t>
  </si>
  <si>
    <t>MFG0375881</t>
  </si>
  <si>
    <t>MFG0375944</t>
  </si>
  <si>
    <t>MFG0377031</t>
  </si>
  <si>
    <t>MFG0375133</t>
  </si>
  <si>
    <t>MFG0376660</t>
  </si>
  <si>
    <t>JOY250001</t>
  </si>
  <si>
    <t>JOY2 Yo2Go VANILLA 3.5 OZ-48CT</t>
  </si>
  <si>
    <t>MFG0377289</t>
  </si>
  <si>
    <t>MFG0375348</t>
  </si>
  <si>
    <t>MFG0376659</t>
  </si>
  <si>
    <t>JOY250002</t>
  </si>
  <si>
    <t>JOY2 Yo2Go STRAWBERRY 3.5 OZ-48 CT</t>
  </si>
  <si>
    <t>MFG0378043</t>
  </si>
  <si>
    <t>MFG0378196</t>
  </si>
  <si>
    <t>MFG0377849</t>
  </si>
  <si>
    <t>MFG0378042</t>
  </si>
  <si>
    <t>MFG0377518</t>
  </si>
  <si>
    <t>MFG0375467</t>
  </si>
  <si>
    <t>MFG0375288</t>
  </si>
  <si>
    <t>MFG0372698</t>
  </si>
  <si>
    <t>MFG0376658</t>
  </si>
  <si>
    <t>MFG0377324</t>
  </si>
  <si>
    <t>MFG0377032</t>
  </si>
  <si>
    <t>SER TURKEY W/CAR ZUC 12-3.5 OZ.</t>
  </si>
  <si>
    <t>MFG0375337</t>
  </si>
  <si>
    <t>MFG0377894</t>
  </si>
  <si>
    <t>MFG0378272</t>
  </si>
  <si>
    <t>MFG0378125</t>
  </si>
  <si>
    <t>MFG0376731</t>
  </si>
  <si>
    <t>MFG0376732</t>
  </si>
  <si>
    <t>MFG0378409</t>
  </si>
  <si>
    <t>MFG0377431</t>
  </si>
  <si>
    <t>MFG0377480</t>
  </si>
  <si>
    <t>MFG0378427</t>
  </si>
  <si>
    <t>MFG0377834</t>
  </si>
  <si>
    <t>MFG0378034</t>
  </si>
  <si>
    <t>MFG0377713</t>
  </si>
  <si>
    <t>MFG0378488</t>
  </si>
  <si>
    <t>MFG0377935</t>
  </si>
  <si>
    <t>MFG0377323</t>
  </si>
  <si>
    <t>MFG0378174</t>
  </si>
  <si>
    <t>MFG0377295</t>
  </si>
  <si>
    <t>MFG0378303</t>
  </si>
  <si>
    <t>MFG0377895</t>
  </si>
  <si>
    <t>MFG0377896</t>
  </si>
  <si>
    <t>MFG0376002</t>
  </si>
  <si>
    <t>MFG0376740</t>
  </si>
  <si>
    <t>MFG0378055</t>
  </si>
  <si>
    <t>MFG0378053</t>
  </si>
  <si>
    <t>MFG0378048</t>
  </si>
  <si>
    <t>MFG0378049</t>
  </si>
  <si>
    <t>MFG0378145</t>
  </si>
  <si>
    <t>MFG0376733</t>
  </si>
  <si>
    <t>MFG0378480</t>
  </si>
  <si>
    <t>MFG0375552</t>
  </si>
  <si>
    <t>MFG0378422</t>
  </si>
  <si>
    <t>MFG0378311</t>
  </si>
  <si>
    <t>MFG0375253</t>
  </si>
  <si>
    <t>MFG0377884</t>
  </si>
  <si>
    <t>MFG0377035</t>
  </si>
  <si>
    <t>MFG0377034</t>
  </si>
  <si>
    <t>MFG0378394</t>
  </si>
  <si>
    <t>MFG0378004</t>
  </si>
  <si>
    <t>MFG0373754</t>
  </si>
  <si>
    <t>MFG0373749</t>
  </si>
  <si>
    <t>MFG0377355</t>
  </si>
  <si>
    <t>MFG0378051</t>
  </si>
  <si>
    <t>MFG0378078</t>
  </si>
  <si>
    <t>MFG0378073</t>
  </si>
  <si>
    <t>MFG0378063</t>
  </si>
  <si>
    <t>MFG0378067</t>
  </si>
  <si>
    <t>MFG0378076</t>
  </si>
  <si>
    <t>MFG0378052</t>
  </si>
  <si>
    <t>MFG0378057</t>
  </si>
  <si>
    <t>MFG0378425</t>
  </si>
  <si>
    <t>MFG0378056</t>
  </si>
  <si>
    <t>MFG0378149</t>
  </si>
  <si>
    <t>MFG0378068</t>
  </si>
  <si>
    <t>MFG0378168</t>
  </si>
  <si>
    <t>MFG0377491</t>
  </si>
  <si>
    <t>MFG0378381</t>
  </si>
  <si>
    <t>MFG0378383</t>
  </si>
  <si>
    <t>MFG0378065</t>
  </si>
  <si>
    <t>MFG0376734</t>
  </si>
  <si>
    <t>MFG0377432</t>
  </si>
  <si>
    <t>CCAR CHOCOLATE ENERGY GEL 400-34g CT</t>
  </si>
  <si>
    <t>MFG0378188</t>
  </si>
  <si>
    <t>MFG0378070</t>
  </si>
  <si>
    <t>MFG0378385</t>
  </si>
  <si>
    <t>MFG0378423</t>
  </si>
  <si>
    <t>MFG0378072</t>
  </si>
  <si>
    <t>MFG0377344</t>
  </si>
  <si>
    <t>MFG0377890</t>
  </si>
  <si>
    <t>MFG0375553</t>
  </si>
  <si>
    <t>MFG0375322</t>
  </si>
  <si>
    <t>MFG0375236</t>
  </si>
  <si>
    <t>MFG0378199</t>
  </si>
  <si>
    <t>MFG0378062</t>
  </si>
  <si>
    <t>MFG0377329</t>
  </si>
  <si>
    <t>MFG0378312</t>
  </si>
  <si>
    <t>MFG0377745</t>
  </si>
  <si>
    <t>MFG0378071</t>
  </si>
  <si>
    <t>MFG0378146</t>
  </si>
  <si>
    <t>MFG0378575</t>
  </si>
  <si>
    <t>MFG0378061</t>
  </si>
  <si>
    <t>MFG0378384</t>
  </si>
  <si>
    <t>MFG0378266</t>
  </si>
  <si>
    <t>MFG0378302</t>
  </si>
  <si>
    <t>MFG0378064</t>
  </si>
  <si>
    <t>MFG0378059</t>
  </si>
  <si>
    <t>MFG0378075</t>
  </si>
  <si>
    <t>MFG0378054</t>
  </si>
  <si>
    <t>MFG0378265</t>
  </si>
  <si>
    <t>MFG0377476</t>
  </si>
  <si>
    <t>MFG0378424</t>
  </si>
  <si>
    <t xml:space="preserve">SER CHIX W/PEA &amp; CAR 50-3.5 OZ. </t>
  </si>
  <si>
    <t>MFG0375163</t>
  </si>
  <si>
    <t>MFG0377291</t>
  </si>
  <si>
    <t>MFG0378300</t>
  </si>
  <si>
    <t>MFG0378509</t>
  </si>
  <si>
    <t>MFG0375554</t>
  </si>
  <si>
    <t>MFG0377951</t>
  </si>
  <si>
    <t>MFG0375407</t>
  </si>
  <si>
    <t>MFG0378507</t>
  </si>
  <si>
    <t>MFG0378504</t>
  </si>
  <si>
    <t>MFG0376735</t>
  </si>
  <si>
    <t>MFG0376024</t>
  </si>
  <si>
    <t>MFG0378539</t>
  </si>
  <si>
    <t>MFG0375408</t>
  </si>
  <si>
    <t>MFG0378088</t>
  </si>
  <si>
    <t>MFG0375217</t>
  </si>
  <si>
    <t>MFG0375268</t>
  </si>
  <si>
    <t>MFG0375555</t>
  </si>
  <si>
    <t>MFG0378033</t>
  </si>
  <si>
    <t>MFG0377293</t>
  </si>
  <si>
    <t>MFG0378358</t>
  </si>
  <si>
    <t>MFG0377522</t>
  </si>
  <si>
    <t>MFG0378350</t>
  </si>
  <si>
    <t>MFG0376736</t>
  </si>
  <si>
    <t>MFG0378619</t>
  </si>
  <si>
    <t>MFG0378348</t>
  </si>
  <si>
    <t>MFG0378603</t>
  </si>
  <si>
    <t>MFG0377299</t>
  </si>
  <si>
    <t>MFG0378006</t>
  </si>
  <si>
    <t>MFG0377300</t>
  </si>
  <si>
    <t>MFG0378001</t>
  </si>
  <si>
    <t>MFG0377349</t>
  </si>
  <si>
    <t>MFG0377839</t>
  </si>
  <si>
    <t>SER CHIX MEX STEW 50-3.5 OZ.</t>
  </si>
  <si>
    <t>MFG0378604</t>
  </si>
  <si>
    <t>MFG0378140</t>
  </si>
  <si>
    <t>MFG0378354</t>
  </si>
  <si>
    <t>MFG0376737</t>
  </si>
  <si>
    <t>MFG0377433</t>
  </si>
  <si>
    <t>MFG0378139</t>
  </si>
  <si>
    <t>MFG0378238</t>
  </si>
  <si>
    <t>770103-6</t>
  </si>
  <si>
    <t xml:space="preserve">YPK CHICKEN SHREDS 9 OZ. </t>
  </si>
  <si>
    <t>MFG0378176</t>
  </si>
  <si>
    <t>MFG0375468</t>
  </si>
  <si>
    <t>MFG0375269</t>
  </si>
  <si>
    <t>MFG0378229</t>
  </si>
  <si>
    <t>MFG0378000</t>
  </si>
  <si>
    <t>MFG0373750</t>
  </si>
  <si>
    <t>MFG0373756</t>
  </si>
  <si>
    <t>SER BEEF CHIMICHURRI 50-3.5 OZ.</t>
  </si>
  <si>
    <t>SER SALMON TERIYAKI 12-3.5 OZ.</t>
  </si>
  <si>
    <t>SER SALMON TERIYAKI 50-3.5 OZ</t>
  </si>
  <si>
    <t>SER BEEF CHIMICHURRI 12-3.5 OZ</t>
  </si>
  <si>
    <t xml:space="preserve">SER SWEET POT &amp; PAR 12-3.5 OZ </t>
  </si>
  <si>
    <t>SER SWEET POT &amp; PAR 50-3.5 OZ</t>
  </si>
  <si>
    <t>MFG0378345</t>
  </si>
  <si>
    <t>MFG0378144</t>
  </si>
  <si>
    <t>MFG0377851</t>
  </si>
  <si>
    <t>MFG0375338</t>
  </si>
  <si>
    <t>MFG0377483</t>
  </si>
  <si>
    <t>MFG0378533</t>
  </si>
  <si>
    <t>MFG0377843</t>
  </si>
  <si>
    <t>MFG0377844</t>
  </si>
  <si>
    <t>MFG0376430</t>
  </si>
  <si>
    <t>MFG0378235</t>
  </si>
  <si>
    <t>MFG0378380</t>
  </si>
  <si>
    <t>MFG0378510</t>
  </si>
  <si>
    <t>MFG0375469</t>
  </si>
  <si>
    <t>MFG0375198</t>
  </si>
  <si>
    <t>MFG0377485</t>
  </si>
  <si>
    <t>MFG0378607</t>
  </si>
  <si>
    <t>MFG0373755</t>
  </si>
  <si>
    <t>MFG0373751</t>
  </si>
  <si>
    <t>MFG0378236</t>
  </si>
  <si>
    <t>MFG0375134</t>
  </si>
  <si>
    <t>MFG0375470</t>
  </si>
  <si>
    <t>MFG0378178</t>
  </si>
  <si>
    <t>MFG0378014</t>
  </si>
  <si>
    <t>MFG0375349</t>
  </si>
  <si>
    <t>MFG0378710</t>
  </si>
  <si>
    <t>MFG0377493</t>
  </si>
  <si>
    <t>MFG0377842</t>
  </si>
  <si>
    <t>MFG0377877</t>
  </si>
  <si>
    <t>MFG0378608</t>
  </si>
  <si>
    <t>MFG0378282</t>
  </si>
  <si>
    <t>MFG0375164</t>
  </si>
  <si>
    <t>MFG0377023</t>
  </si>
  <si>
    <t>MFG0378016</t>
  </si>
  <si>
    <t>MFG0375271</t>
  </si>
  <si>
    <t>MFG0378511</t>
  </si>
  <si>
    <t xml:space="preserve">BCH CHIX PEA, CAR SQ 12-3.5 OZ. </t>
  </si>
  <si>
    <t>MFG0375471</t>
  </si>
  <si>
    <t>MFG0378476</t>
  </si>
  <si>
    <t>MFG0377981</t>
  </si>
  <si>
    <t>MFG0378540</t>
  </si>
  <si>
    <t>MFG0378805</t>
  </si>
  <si>
    <t>MFG0378357</t>
  </si>
  <si>
    <t>MFG0378353</t>
  </si>
  <si>
    <t>MFG0378352</t>
  </si>
  <si>
    <t>MFG0378541</t>
  </si>
  <si>
    <t>MFG0378716</t>
  </si>
  <si>
    <t>MFG0378283</t>
  </si>
  <si>
    <t>MFG0378284</t>
  </si>
  <si>
    <t>MFG0378285</t>
  </si>
  <si>
    <t>MFG0377478</t>
  </si>
  <si>
    <t>MFG0377498</t>
  </si>
  <si>
    <t>MFG0378538</t>
  </si>
  <si>
    <t>MFG0378695</t>
  </si>
  <si>
    <t>MFG0378605</t>
  </si>
  <si>
    <t>MFG0378520</t>
  </si>
  <si>
    <t>MFG0378477</t>
  </si>
  <si>
    <t>MFG0378718</t>
  </si>
  <si>
    <t>MFG0377878</t>
  </si>
  <si>
    <t>MFG0378532</t>
  </si>
  <si>
    <t>MFG0378531</t>
  </si>
  <si>
    <t>MFG0377026</t>
  </si>
  <si>
    <t>MFG0378754</t>
  </si>
  <si>
    <t>MFG0377024</t>
  </si>
  <si>
    <t>MFG0378512</t>
  </si>
  <si>
    <t>MFG0378606</t>
  </si>
  <si>
    <t>MFG0378731</t>
  </si>
  <si>
    <t>MFG0378696</t>
  </si>
  <si>
    <t>MFG0377025</t>
  </si>
  <si>
    <t>MFG0375409</t>
  </si>
  <si>
    <t>MFG0377464</t>
  </si>
  <si>
    <t>MFG0378118</t>
  </si>
  <si>
    <t>MFG0378286</t>
  </si>
  <si>
    <t>MFG0377733</t>
  </si>
  <si>
    <t>MFG0378827</t>
  </si>
  <si>
    <t>MFG0378486</t>
  </si>
  <si>
    <t>SER BISON W/KABOCHA SQ 50-3.5 OZ</t>
  </si>
  <si>
    <t>MFG0375165</t>
  </si>
  <si>
    <t>MFG0378689</t>
  </si>
  <si>
    <t>MFG0375254</t>
  </si>
  <si>
    <t>MFG0375556</t>
  </si>
  <si>
    <t>MFG0375884</t>
  </si>
  <si>
    <t>MFG0377841</t>
  </si>
  <si>
    <t>MFG0377734</t>
  </si>
  <si>
    <t>MFG0378287</t>
  </si>
  <si>
    <t>MFG0377479</t>
  </si>
  <si>
    <t>MFG0377462</t>
  </si>
  <si>
    <t>MFG0378585</t>
  </si>
  <si>
    <t>MFG0378919</t>
  </si>
  <si>
    <t>MFG0377499</t>
  </si>
  <si>
    <t>MFG0375376</t>
  </si>
  <si>
    <t>MFG0378586</t>
  </si>
  <si>
    <t>MFG0377410</t>
  </si>
  <si>
    <t>SKSQU001</t>
  </si>
  <si>
    <t>SER SQUASHES 12-3.5 OZ.</t>
  </si>
  <si>
    <t>MFG0378861</t>
  </si>
  <si>
    <t>MFG0378863</t>
  </si>
  <si>
    <t>MFG0375237</t>
  </si>
  <si>
    <t>MFG0375323</t>
  </si>
  <si>
    <t>MFG0375557</t>
  </si>
  <si>
    <t>MFG0375883</t>
  </si>
  <si>
    <t>MFG0377411</t>
  </si>
  <si>
    <t>SKSQU001-B</t>
  </si>
  <si>
    <t xml:space="preserve">SER SQUASHES 50-3.5 OZ. </t>
  </si>
  <si>
    <t>MFG0378165</t>
  </si>
  <si>
    <t>MFG0378920</t>
  </si>
  <si>
    <t>MFG0378376</t>
  </si>
  <si>
    <t>MFG0378377</t>
  </si>
  <si>
    <t>MFG0378870</t>
  </si>
  <si>
    <t>MFG0378819</t>
  </si>
  <si>
    <t>MFG0378244</t>
  </si>
  <si>
    <t>MFG0378155</t>
  </si>
  <si>
    <t>MFG0378315</t>
  </si>
  <si>
    <t>MFG0378288</t>
  </si>
  <si>
    <t>MFG0377469</t>
  </si>
  <si>
    <t>MFG0378818</t>
  </si>
  <si>
    <t>MFG0378375</t>
  </si>
  <si>
    <t>MFG0378370</t>
  </si>
  <si>
    <t>MFG0377027</t>
  </si>
  <si>
    <t>MFG0378150</t>
  </si>
  <si>
    <t>MFG0378373</t>
  </si>
  <si>
    <t>MFG0375558</t>
  </si>
  <si>
    <t>MFG0375135</t>
  </si>
  <si>
    <t>MFG0373762</t>
  </si>
  <si>
    <t>MFG0373757</t>
  </si>
  <si>
    <t>MFG0377392</t>
  </si>
  <si>
    <t>MFG0375882</t>
  </si>
  <si>
    <t>MFG0377403</t>
  </si>
  <si>
    <t>MFG0377393</t>
  </si>
  <si>
    <t>MFG0376628</t>
  </si>
  <si>
    <t>MFG0377990</t>
  </si>
  <si>
    <t>MFG0377735</t>
  </si>
  <si>
    <t>MFG0377402</t>
  </si>
  <si>
    <t>MFG0378378</t>
  </si>
  <si>
    <t>MFG0378379</t>
  </si>
  <si>
    <t>MFG0378157</t>
  </si>
  <si>
    <t>MFG0378147</t>
  </si>
  <si>
    <t>MFG0378152</t>
  </si>
  <si>
    <t>MFG0378372</t>
  </si>
  <si>
    <t>MFG0378289</t>
  </si>
  <si>
    <t>MFG0378316</t>
  </si>
  <si>
    <t>MFG0378374</t>
  </si>
  <si>
    <t>MFG0378709</t>
  </si>
  <si>
    <t>MFG0378813</t>
  </si>
  <si>
    <t>MFG0378249</t>
  </si>
  <si>
    <t>MFG0377983</t>
  </si>
  <si>
    <t>MFG0375559</t>
  </si>
  <si>
    <t>MFG0376091</t>
  </si>
  <si>
    <t>MFG0378487</t>
  </si>
  <si>
    <t>MFG0378481</t>
  </si>
  <si>
    <t>MFG0378693</t>
  </si>
  <si>
    <t>MFG0376629</t>
  </si>
  <si>
    <t>MFG0377739</t>
  </si>
  <si>
    <t>MFG0375375</t>
  </si>
  <si>
    <t>MFG0377989</t>
  </si>
  <si>
    <t>MFG0378907</t>
  </si>
  <si>
    <t>MFG0378360</t>
  </si>
  <si>
    <t>MFG0378181</t>
  </si>
  <si>
    <t>MFG0377443</t>
  </si>
  <si>
    <t>MFG0379076</t>
  </si>
  <si>
    <t>MFG0378290</t>
  </si>
  <si>
    <t>MFG0378291</t>
  </si>
  <si>
    <t>MFG0378578</t>
  </si>
  <si>
    <t>MFG0378581</t>
  </si>
  <si>
    <t>MFG0378580</t>
  </si>
  <si>
    <t>MFG0378577</t>
  </si>
  <si>
    <t>MFG0378250</t>
  </si>
  <si>
    <t>MFG0378362</t>
  </si>
  <si>
    <t>MFG0377738</t>
  </si>
  <si>
    <t>MFG0377737</t>
  </si>
  <si>
    <t>MFG0378975</t>
  </si>
  <si>
    <t>MFG0377746</t>
  </si>
  <si>
    <t>MFG0378179</t>
  </si>
  <si>
    <t>MFG0377984</t>
  </si>
  <si>
    <t>MFG0378713</t>
  </si>
  <si>
    <t>MFG0378003</t>
  </si>
  <si>
    <t>MFG0378002</t>
  </si>
  <si>
    <t>MFG0378519</t>
  </si>
  <si>
    <t>MFG0373585</t>
  </si>
  <si>
    <t>MFG0378579</t>
  </si>
  <si>
    <t>MFG0378364</t>
  </si>
  <si>
    <t>MFG0379099</t>
  </si>
  <si>
    <t>MFG0378368</t>
  </si>
  <si>
    <t>MFG0378182</t>
  </si>
  <si>
    <t>MFG0378363</t>
  </si>
  <si>
    <t>MFG0378365</t>
  </si>
  <si>
    <t>MFG0379100</t>
  </si>
  <si>
    <t>MFG0378293</t>
  </si>
  <si>
    <t>MFG0378317</t>
  </si>
  <si>
    <t>MFG0378583</t>
  </si>
  <si>
    <t>MFG0378582</t>
  </si>
  <si>
    <t>MFG0378536</t>
  </si>
  <si>
    <t>MFG0377743</t>
  </si>
  <si>
    <t>MFG0378275</t>
  </si>
  <si>
    <t>MFG0375472</t>
  </si>
  <si>
    <t>MFG0375289</t>
  </si>
  <si>
    <t>MFG0375218</t>
  </si>
  <si>
    <t>MFG0378085</t>
  </si>
  <si>
    <t>SKROO001</t>
  </si>
  <si>
    <t>SER ROOTS 12-3.5 OZ</t>
  </si>
  <si>
    <t>MFG0378084</t>
  </si>
  <si>
    <t>MFG0378094</t>
  </si>
  <si>
    <t>MFG0378086</t>
  </si>
  <si>
    <t>SKROO001-B</t>
  </si>
  <si>
    <t xml:space="preserve">SER ROOTS 50-3.5 OZ.  </t>
  </si>
  <si>
    <t>MFG0378005</t>
  </si>
  <si>
    <t>MFG0377985</t>
  </si>
  <si>
    <t>MFG0379074</t>
  </si>
  <si>
    <t>RDT1595</t>
  </si>
  <si>
    <t>Bacon Cheddar Cheese 1oz pouch</t>
  </si>
  <si>
    <t>MFG0378294</t>
  </si>
  <si>
    <t>MFG0377740</t>
  </si>
  <si>
    <t>MFG0377148</t>
  </si>
  <si>
    <t>16816-30011</t>
  </si>
  <si>
    <t>MOM MY KIND OF CHKN 6-10 OZ</t>
  </si>
  <si>
    <t>MFG0378806</t>
  </si>
  <si>
    <t>MFG0379063</t>
  </si>
  <si>
    <t>MFG0375410</t>
  </si>
  <si>
    <t>MFG0377342</t>
  </si>
  <si>
    <t>PT295</t>
  </si>
  <si>
    <t>BLUEBERRY CREAM OATMEAL</t>
  </si>
  <si>
    <t>MFG0375166</t>
  </si>
  <si>
    <t>MFG0373758</t>
  </si>
  <si>
    <t>MFG0373763</t>
  </si>
  <si>
    <t>MFG0378032</t>
  </si>
  <si>
    <t>MFG0375136</t>
  </si>
  <si>
    <t>MFG0375473</t>
  </si>
  <si>
    <t>MFG0378534</t>
  </si>
  <si>
    <t>MFG0377520</t>
  </si>
  <si>
    <t>PT190</t>
  </si>
  <si>
    <t>POL CHICKEN BREAST/GRAVY</t>
  </si>
  <si>
    <t>MFG0378090</t>
  </si>
  <si>
    <t>MFG0378295</t>
  </si>
  <si>
    <t>MFG0377149</t>
  </si>
  <si>
    <t>16816-30020</t>
  </si>
  <si>
    <t>MOM CHKN &amp; NOODLES 6-10 OZ.</t>
  </si>
  <si>
    <t>MFG0377741</t>
  </si>
  <si>
    <t>MFG0378736</t>
  </si>
  <si>
    <t>MFG0375412</t>
  </si>
  <si>
    <t>MFG0378529</t>
  </si>
  <si>
    <t>RD697</t>
  </si>
  <si>
    <t>SER BEEF SWT POT &amp; KALE 3.5 OZ</t>
  </si>
  <si>
    <t>MFG0378010</t>
  </si>
  <si>
    <t>MFG0378454</t>
  </si>
  <si>
    <t>USDA PASTA, PLAIN ELBOWS 20/1LB</t>
  </si>
  <si>
    <t>MFG0375306</t>
  </si>
  <si>
    <t>MFG0375474</t>
  </si>
  <si>
    <t>MFG0378278</t>
  </si>
  <si>
    <t>MFG0379082</t>
  </si>
  <si>
    <t>MFG0378864</t>
  </si>
  <si>
    <t>RDT1594</t>
  </si>
  <si>
    <t>APPLE JELLY-400 1OZ</t>
  </si>
  <si>
    <t>MFG0378296</t>
  </si>
  <si>
    <t>MFG0377150</t>
  </si>
  <si>
    <t>MFG0377742</t>
  </si>
  <si>
    <t>MFG0379236</t>
  </si>
  <si>
    <t>FLB CHICKEN 24-4.5 OZ</t>
  </si>
  <si>
    <t>MFG0378091</t>
  </si>
  <si>
    <t>MFG0378430</t>
  </si>
  <si>
    <t>MFG0375199</t>
  </si>
  <si>
    <t>MFG0378011</t>
  </si>
  <si>
    <t>MFG0378988</t>
  </si>
  <si>
    <t>MFG0379212</t>
  </si>
  <si>
    <t>MFG0375324</t>
  </si>
  <si>
    <t>MFG0375475</t>
  </si>
  <si>
    <t>MFG0378237</t>
  </si>
  <si>
    <t>MFG0378344</t>
  </si>
  <si>
    <t>MFG0379179</t>
  </si>
  <si>
    <t>MFG0378297</t>
  </si>
  <si>
    <t>MFG0378298</t>
  </si>
  <si>
    <t>MFG0379102</t>
  </si>
  <si>
    <t>FLB BUFFALO CHICKEN 12-2.6 OZ</t>
  </si>
  <si>
    <t>MFG0377672</t>
  </si>
  <si>
    <t>FLB BBQ  CHICKEN 12-2.6 OZ</t>
  </si>
  <si>
    <t>MFG0379062</t>
  </si>
  <si>
    <t>MFG0379065</t>
  </si>
  <si>
    <t>MFG0378093</t>
  </si>
  <si>
    <t>SKBFV001-B</t>
  </si>
  <si>
    <t>SER BEEF W/PEA &amp; BROC 50-3.5 OZ</t>
  </si>
  <si>
    <t>MFG0378008</t>
  </si>
  <si>
    <t>MFG0378009</t>
  </si>
  <si>
    <t>MFG0379009</t>
  </si>
  <si>
    <t>MFG0379103</t>
  </si>
  <si>
    <t>MFG0378734</t>
  </si>
  <si>
    <t>MFG0378092</t>
  </si>
  <si>
    <t>SKBFV001</t>
  </si>
  <si>
    <t xml:space="preserve">SER BEEF W/PEA &amp; BROC 12-3.5 OZ </t>
  </si>
  <si>
    <t>MFG0375411</t>
  </si>
  <si>
    <t>MFG0379241</t>
  </si>
  <si>
    <t>MFG0378299</t>
  </si>
  <si>
    <t>MFG0379064</t>
  </si>
  <si>
    <t>MFG0377313</t>
  </si>
  <si>
    <t>85207-24</t>
  </si>
  <si>
    <t>FLB BBQ CHICKEN 24-4.5 OZ</t>
  </si>
  <si>
    <t>MFG0379213</t>
  </si>
  <si>
    <t>MFG0373765</t>
  </si>
  <si>
    <t>MFG0377489</t>
  </si>
  <si>
    <t>MFG0378012</t>
  </si>
  <si>
    <t>MFG0379012</t>
  </si>
  <si>
    <t>MFG0378450</t>
  </si>
  <si>
    <t>MFG0375238</t>
  </si>
  <si>
    <t>MFG0376092</t>
  </si>
  <si>
    <t>MFG0375560</t>
  </si>
  <si>
    <t>MFG0378304</t>
  </si>
  <si>
    <t>MFG0373759</t>
  </si>
  <si>
    <t>MFG0377504</t>
  </si>
  <si>
    <t>MFG0378882</t>
  </si>
  <si>
    <t>MFG0377691</t>
  </si>
  <si>
    <t>MFG0377980</t>
  </si>
  <si>
    <t>MFG0377999</t>
  </si>
  <si>
    <t>UGR APPLE CIN OATMEAL 24OZ</t>
  </si>
  <si>
    <t>MFG0377314</t>
  </si>
  <si>
    <t>MFG0375414</t>
  </si>
  <si>
    <t>MFG0379061</t>
  </si>
  <si>
    <t>MFG0377986</t>
  </si>
  <si>
    <t>MFG0378688</t>
  </si>
  <si>
    <t>RD698</t>
  </si>
  <si>
    <t>SER BISON SQ SPINACH 3.5</t>
  </si>
  <si>
    <t>MFG0378020</t>
  </si>
  <si>
    <t>MFG0379017</t>
  </si>
  <si>
    <t>MFG0378453</t>
  </si>
  <si>
    <t>MFG0375239</t>
  </si>
  <si>
    <t>MFG0375272</t>
  </si>
  <si>
    <t>MFG0375561</t>
  </si>
  <si>
    <t>MFG0378305</t>
  </si>
  <si>
    <t>MFG0378106</t>
  </si>
  <si>
    <t>SKPOR001</t>
  </si>
  <si>
    <t>SER PORK GB &amp; SWP 12-3.5 OZ.</t>
  </si>
  <si>
    <t>MFG0379336</t>
  </si>
  <si>
    <t>MFG0379066</t>
  </si>
  <si>
    <t>MFG0379324</t>
  </si>
  <si>
    <t>MFG0379049</t>
  </si>
  <si>
    <t>MFG0379308</t>
  </si>
  <si>
    <t>MFG0379277</t>
  </si>
  <si>
    <t>MFG0379031</t>
  </si>
  <si>
    <t>MFG0379268</t>
  </si>
  <si>
    <t>MFG0379337</t>
  </si>
  <si>
    <t>MFG0379274</t>
  </si>
  <si>
    <t>MFG0379045</t>
  </si>
  <si>
    <t>MFG0379312</t>
  </si>
  <si>
    <t>MFG0378292</t>
  </si>
  <si>
    <t>MFG0379171</t>
  </si>
  <si>
    <t>MFG0379266</t>
  </si>
  <si>
    <t>MFG0379054</t>
  </si>
  <si>
    <t>MFG0379267</t>
  </si>
  <si>
    <t>MFG0379052</t>
  </si>
  <si>
    <t>MFG0379335</t>
  </si>
  <si>
    <t>MFG0379265</t>
  </si>
  <si>
    <t>MFG0378306</t>
  </si>
  <si>
    <t>MFG0375562</t>
  </si>
  <si>
    <t>MFG0375255</t>
  </si>
  <si>
    <t>MFG0378455</t>
  </si>
  <si>
    <t>MFG0378240</t>
  </si>
  <si>
    <t>MFG0373766</t>
  </si>
  <si>
    <t>MFG0373760</t>
  </si>
  <si>
    <t>MFG0375219</t>
  </si>
  <si>
    <t>MFG0378097</t>
  </si>
  <si>
    <t>MFG0378096</t>
  </si>
  <si>
    <t>MFG0375415</t>
  </si>
  <si>
    <t>MFG0378697</t>
  </si>
  <si>
    <t>MFG0377553</t>
  </si>
  <si>
    <t>RD686</t>
  </si>
  <si>
    <t xml:space="preserve">MRE BUFFALO CHICKEN 8 OZ. </t>
  </si>
  <si>
    <t>MFG0377866</t>
  </si>
  <si>
    <t>MFG0378102</t>
  </si>
  <si>
    <t>MFG0379040</t>
  </si>
  <si>
    <t>MFG0379172</t>
  </si>
  <si>
    <t>MFG0379035</t>
  </si>
  <si>
    <t>MFG0379059</t>
  </si>
  <si>
    <t>MFG0379056</t>
  </si>
  <si>
    <t>MFG0379042</t>
  </si>
  <si>
    <t>MFG0379067</t>
  </si>
  <si>
    <t>MFG0377137</t>
  </si>
  <si>
    <t>USU CHILI W/BN 24-11.25OZ.</t>
  </si>
  <si>
    <t>MFG0379058</t>
  </si>
  <si>
    <t>MFG0378698</t>
  </si>
  <si>
    <t>MFG0378103</t>
  </si>
  <si>
    <t>MFG0378112</t>
  </si>
  <si>
    <t>MFG0379075</t>
  </si>
  <si>
    <t>MFG0378862</t>
  </si>
  <si>
    <t>MFG0378021</t>
  </si>
  <si>
    <t>MFG0378448</t>
  </si>
  <si>
    <t>MFG0376088</t>
  </si>
  <si>
    <t>MFG0379197</t>
  </si>
  <si>
    <t>MFG0375563</t>
  </si>
  <si>
    <t>MFG0375413</t>
  </si>
  <si>
    <t>MFG0378100</t>
  </si>
  <si>
    <t>MFG0378099</t>
  </si>
  <si>
    <t>MFG0378725</t>
  </si>
  <si>
    <t>FLB SPAG IN TOM SAUCE 24-7 OZ.</t>
  </si>
  <si>
    <t>MFG0378699</t>
  </si>
  <si>
    <t>MFG0379173</t>
  </si>
  <si>
    <t>MFG0377694</t>
  </si>
  <si>
    <t>MFG0377082</t>
  </si>
  <si>
    <t>USU HOT CHILI W/BN 24-11.25 OZ.</t>
  </si>
  <si>
    <t>MFG0379196</t>
  </si>
  <si>
    <t>MFG0378700</t>
  </si>
  <si>
    <t>MFG0378101</t>
  </si>
  <si>
    <t>MFG0378276</t>
  </si>
  <si>
    <t>MFG0378018</t>
  </si>
  <si>
    <t>MFG0378838</t>
  </si>
  <si>
    <t>MFG0378837</t>
  </si>
  <si>
    <t>MFG0379018</t>
  </si>
  <si>
    <t>MFG0379195</t>
  </si>
  <si>
    <t>MFG0378843</t>
  </si>
  <si>
    <t>MFG0379199</t>
  </si>
  <si>
    <t>MFG0379198</t>
  </si>
  <si>
    <t>MFG0378308</t>
  </si>
  <si>
    <t>MFG0378098</t>
  </si>
  <si>
    <t>MFG0379475</t>
  </si>
  <si>
    <t>FLB BUFFALO CHICKEN 4.5 OZ REPACK</t>
  </si>
  <si>
    <t>MFG0377696</t>
  </si>
  <si>
    <t>MFG0379486</t>
  </si>
  <si>
    <t>FLB POLLO ASADO 4.5 OZ 48 to 24 REPACK</t>
  </si>
  <si>
    <t>MFG0379408</t>
  </si>
  <si>
    <t>MFG0379450</t>
  </si>
  <si>
    <t>FLB CHEESY MAC 24-7.OZ</t>
  </si>
  <si>
    <t>MFG0378732</t>
  </si>
  <si>
    <t>MFG0377987</t>
  </si>
  <si>
    <t>MFG0379458</t>
  </si>
  <si>
    <t>MFG0375362</t>
  </si>
  <si>
    <t>MFG0379407</t>
  </si>
  <si>
    <t>MFG0375361</t>
  </si>
  <si>
    <t>MFG0377903</t>
  </si>
  <si>
    <t>MFG0378277</t>
  </si>
  <si>
    <t>MFG0375476</t>
  </si>
  <si>
    <t>MFG0378113</t>
  </si>
  <si>
    <t>MFG0378449</t>
  </si>
  <si>
    <t>MFG0378918</t>
  </si>
  <si>
    <t>MFG0375137</t>
  </si>
  <si>
    <t>MFG0378243</t>
  </si>
  <si>
    <t>REDSCHZC264</t>
  </si>
  <si>
    <t>RED GOLD SALSA 264- 1.5 OZ CUP</t>
  </si>
  <si>
    <t>MFG0378185</t>
  </si>
  <si>
    <t>PT385</t>
  </si>
  <si>
    <t>CHARRO BEANS POLY TRAY</t>
  </si>
  <si>
    <t>MFG0378110</t>
  </si>
  <si>
    <t>MFG0378835</t>
  </si>
  <si>
    <t>MFG0379201</t>
  </si>
  <si>
    <t>MFG0377988</t>
  </si>
  <si>
    <t>MFG0377846</t>
  </si>
  <si>
    <t>MFG0379409</t>
  </si>
  <si>
    <t>MFG0377695</t>
  </si>
  <si>
    <t>MFG0375339</t>
  </si>
  <si>
    <t>MFG0379237</t>
  </si>
  <si>
    <t>PT514</t>
  </si>
  <si>
    <t>POL BEEF STEW</t>
  </si>
  <si>
    <t>MFG0375477</t>
  </si>
  <si>
    <t>MFG0379217</t>
  </si>
  <si>
    <t>910526A</t>
  </si>
  <si>
    <t>MRE 46 NON PORK FINISHED CASE B ALT</t>
  </si>
  <si>
    <t>MFG0378451</t>
  </si>
  <si>
    <t>MFG0378456</t>
  </si>
  <si>
    <t>MFG0375290</t>
  </si>
  <si>
    <t>MFG0375307</t>
  </si>
  <si>
    <t>MFG0375478</t>
  </si>
  <si>
    <t>MFG0379216</t>
  </si>
  <si>
    <t>910326A</t>
  </si>
  <si>
    <t>MRE 46 NON PORK FINISHED CASE</t>
  </si>
  <si>
    <t>MFG0378328</t>
  </si>
  <si>
    <t>MFG0378508</t>
  </si>
  <si>
    <t>MFG0378905</t>
  </si>
  <si>
    <t>MFG0377994</t>
  </si>
  <si>
    <t>MFG0379410</t>
  </si>
  <si>
    <t>MFG0379366</t>
  </si>
  <si>
    <t>FLB SPAGHETTI W/MEAT 24-8 OZ.</t>
  </si>
  <si>
    <t>MFG0375350</t>
  </si>
  <si>
    <t>MFG0379202</t>
  </si>
  <si>
    <t>MFG0379208</t>
  </si>
  <si>
    <t>MFG0378834</t>
  </si>
  <si>
    <t>MFG0378844</t>
  </si>
  <si>
    <t>MFG0378452</t>
  </si>
  <si>
    <t>MFG0376093</t>
  </si>
  <si>
    <t>MFG0375479</t>
  </si>
  <si>
    <t>MFG0378986</t>
  </si>
  <si>
    <t>MFG0377901</t>
  </si>
  <si>
    <t>C53305</t>
  </si>
  <si>
    <t>HCL SQ MANGO SWT PEA 12-3.5 OZ</t>
  </si>
  <si>
    <t>MFG0377879</t>
  </si>
  <si>
    <t>MFG0378327</t>
  </si>
  <si>
    <t>MFG0378897</t>
  </si>
  <si>
    <t>MFG0377995</t>
  </si>
  <si>
    <t>MFG0379411</t>
  </si>
  <si>
    <t>MFG0379204</t>
  </si>
  <si>
    <t>MFG0379203</t>
  </si>
  <si>
    <t>MFG0379207</t>
  </si>
  <si>
    <t>PT318</t>
  </si>
  <si>
    <t>CHICKEN BREAST STRIPS IN BROTH</t>
  </si>
  <si>
    <t>MFG0379200</t>
  </si>
  <si>
    <t>MFG0378878</t>
  </si>
  <si>
    <t>MFG0378987</t>
  </si>
  <si>
    <t>MFG0378737</t>
  </si>
  <si>
    <t>MFG0378335</t>
  </si>
  <si>
    <t>MFG0379011</t>
  </si>
  <si>
    <t>MFG0378727</t>
  </si>
  <si>
    <t>MFG0379435</t>
  </si>
  <si>
    <t>85218-24</t>
  </si>
  <si>
    <t>FLB POLLO ASADO 24-4.5 OZ</t>
  </si>
  <si>
    <t>MFG0378898</t>
  </si>
  <si>
    <t>MFG0378326</t>
  </si>
  <si>
    <t>MFG0378899</t>
  </si>
  <si>
    <t>MFG0378832</t>
  </si>
  <si>
    <t>MFG0378523</t>
  </si>
  <si>
    <t>MFG0378845</t>
  </si>
  <si>
    <t>MFG0377993</t>
  </si>
  <si>
    <t>MFG0379176</t>
  </si>
  <si>
    <t>MFG0378900</t>
  </si>
  <si>
    <t>MFG0379023</t>
  </si>
  <si>
    <t>MFG0379351</t>
  </si>
  <si>
    <t>MFG0379019</t>
  </si>
  <si>
    <t>MFG0378367</t>
  </si>
  <si>
    <t>MFG0378958</t>
  </si>
  <si>
    <t>MFG0378369</t>
  </si>
  <si>
    <t>MFG0378954</t>
  </si>
  <si>
    <t>MFG0378952</t>
  </si>
  <si>
    <t>MFG0378956</t>
  </si>
  <si>
    <t>MFG0378674</t>
  </si>
  <si>
    <t>MFG0378108</t>
  </si>
  <si>
    <t>SKBKB001</t>
  </si>
  <si>
    <t>SER BEEF KEBAB 12-3.5 OZ.</t>
  </si>
  <si>
    <t>MFG0375377</t>
  </si>
  <si>
    <t>MFG0379112</t>
  </si>
  <si>
    <t>MFG0377222</t>
  </si>
  <si>
    <t>MFG0375138</t>
  </si>
  <si>
    <t>MFG0378458</t>
  </si>
  <si>
    <t>MFG0378017</t>
  </si>
  <si>
    <t>MFG0378846</t>
  </si>
  <si>
    <t>MFG0378524</t>
  </si>
  <si>
    <t>MFG0378109</t>
  </si>
  <si>
    <t>SKBKB001-B</t>
  </si>
  <si>
    <t>SER BEEF KEBAB 50-3.5 OZ.</t>
  </si>
  <si>
    <t>MFG0378111</t>
  </si>
  <si>
    <t>MFG0378739</t>
  </si>
  <si>
    <t>RD689</t>
  </si>
  <si>
    <t xml:space="preserve">FLB BREAKFAST POT HASH 14 OZ. </t>
  </si>
  <si>
    <t>MFG0378738</t>
  </si>
  <si>
    <t>RD687</t>
  </si>
  <si>
    <t xml:space="preserve">FLB CHIX SAUSAGE QUINOA 14 OZ. </t>
  </si>
  <si>
    <t>MFG0378762</t>
  </si>
  <si>
    <t>MFG0379113</t>
  </si>
  <si>
    <t>MFG0378121</t>
  </si>
  <si>
    <t>MFG0378961</t>
  </si>
  <si>
    <t>MFG0378970</t>
  </si>
  <si>
    <t>MFG0378963</t>
  </si>
  <si>
    <t>MFG0378962</t>
  </si>
  <si>
    <t>MFG0378964</t>
  </si>
  <si>
    <t>MFG0378904</t>
  </si>
  <si>
    <t>MFG0379177</t>
  </si>
  <si>
    <t>MFG0378675</t>
  </si>
  <si>
    <t>MFG0378972</t>
  </si>
  <si>
    <t>MFG0378728</t>
  </si>
  <si>
    <t>MFG0378983</t>
  </si>
  <si>
    <t>MFG0378107</t>
  </si>
  <si>
    <t>SKPKV001</t>
  </si>
  <si>
    <t>SER PORK APPLE PAR 12-3.5 OZ.</t>
  </si>
  <si>
    <t>MFG0378740</t>
  </si>
  <si>
    <t>RD688</t>
  </si>
  <si>
    <t>FLB BEEF STEW 14 OZ.</t>
  </si>
  <si>
    <t>MFG0375564</t>
  </si>
  <si>
    <t>MFG0375220</t>
  </si>
  <si>
    <t>MFG0378457</t>
  </si>
  <si>
    <t>MFG0375325</t>
  </si>
  <si>
    <t>MFG0379004</t>
  </si>
  <si>
    <t>MFG0379218</t>
  </si>
  <si>
    <t>MFG0379219</t>
  </si>
  <si>
    <t>MFG0379434</t>
  </si>
  <si>
    <t>RD690</t>
  </si>
  <si>
    <t xml:space="preserve">FLB CHIX ORZO W/MUSH 14 OZ </t>
  </si>
  <si>
    <t>MFG0378839</t>
  </si>
  <si>
    <t>MFG0379447</t>
  </si>
  <si>
    <t>MFG0379178</t>
  </si>
  <si>
    <t>MFG0378901</t>
  </si>
  <si>
    <t>MFG0378751</t>
  </si>
  <si>
    <t>MFG0378676</t>
  </si>
  <si>
    <t>MFG0379206</t>
  </si>
  <si>
    <t>C53311</t>
  </si>
  <si>
    <t xml:space="preserve">MAC &amp; CHEESE W/VEGETABLES 4.0 OZ 12 CT. </t>
  </si>
  <si>
    <t>MFG0379013</t>
  </si>
  <si>
    <t>MFG0379005</t>
  </si>
  <si>
    <t>MFG0378459</t>
  </si>
  <si>
    <t>MFG0375273</t>
  </si>
  <si>
    <t>MFG0375565</t>
  </si>
  <si>
    <t>MFG0378984</t>
  </si>
  <si>
    <t>MFG0378114</t>
  </si>
  <si>
    <t>MFG0379448</t>
  </si>
  <si>
    <t>MFG0379174</t>
  </si>
  <si>
    <t>MFG0378902</t>
  </si>
  <si>
    <t>MFG0378752</t>
  </si>
  <si>
    <t>MFG0378667</t>
  </si>
  <si>
    <t>MFG0378475</t>
  </si>
  <si>
    <t>SKCKV001</t>
  </si>
  <si>
    <t>SER CHIX W/PARS BEET 12-3.5 OZ</t>
  </si>
  <si>
    <t>MFG0378992</t>
  </si>
  <si>
    <t>MFG0379003</t>
  </si>
  <si>
    <t>MFG0379014</t>
  </si>
  <si>
    <t>MFG0378460</t>
  </si>
  <si>
    <t>MFG0377221</t>
  </si>
  <si>
    <t>MFG0376006</t>
  </si>
  <si>
    <t>MFG0375167</t>
  </si>
  <si>
    <t>MFG0379175</t>
  </si>
  <si>
    <t>MFG0378903</t>
  </si>
  <si>
    <t>MFG0378753</t>
  </si>
  <si>
    <t>MFG0378122</t>
  </si>
  <si>
    <t>MFG0378668</t>
  </si>
  <si>
    <t>MFG0379449</t>
  </si>
  <si>
    <t>MFG0379205</t>
  </si>
  <si>
    <t>MFG0378241</t>
  </si>
  <si>
    <t>MFG0379015</t>
  </si>
  <si>
    <t>MFG0378993</t>
  </si>
  <si>
    <t>MFG0379403</t>
  </si>
  <si>
    <t>MFG0378860</t>
  </si>
  <si>
    <t>FLB BUFFALO CHICKEN 24-4.5 OZ</t>
  </si>
  <si>
    <t>MFG0378669</t>
  </si>
  <si>
    <t>MFG0375416</t>
  </si>
  <si>
    <t>MFG0377838</t>
  </si>
  <si>
    <t>MFG0377481</t>
  </si>
  <si>
    <t>MFG0378916</t>
  </si>
  <si>
    <t>MFG0378742</t>
  </si>
  <si>
    <t>ELBOW MAC IN TOM SAUCE</t>
  </si>
  <si>
    <t>MFG0378849</t>
  </si>
  <si>
    <t>MFG0378670</t>
  </si>
  <si>
    <t>MFG0378514</t>
  </si>
  <si>
    <t>MFG0375256</t>
  </si>
  <si>
    <t>MFG0375200</t>
  </si>
  <si>
    <t>MFG0379406</t>
  </si>
  <si>
    <t>MFG0379460</t>
  </si>
  <si>
    <t>MFG0378445</t>
  </si>
  <si>
    <t>MFG0375224</t>
  </si>
  <si>
    <t>MFG0377161</t>
  </si>
  <si>
    <t>MFG0378994</t>
  </si>
  <si>
    <t>MFG0378322</t>
  </si>
  <si>
    <t>PT300</t>
  </si>
  <si>
    <t>MASHED POTATOES POLY TRAY</t>
  </si>
  <si>
    <t>MFG0379242</t>
  </si>
  <si>
    <t>MFG0377859</t>
  </si>
  <si>
    <t>MFG0377465</t>
  </si>
  <si>
    <t>MFG0378912</t>
  </si>
  <si>
    <t>MFG0378850</t>
  </si>
  <si>
    <t>MFG0378671</t>
  </si>
  <si>
    <t>MFG0378743</t>
  </si>
  <si>
    <t>TUSCAN LENTILS</t>
  </si>
  <si>
    <t>MFG0378515</t>
  </si>
  <si>
    <t>MFG0377162</t>
  </si>
  <si>
    <t>MFG0375169</t>
  </si>
  <si>
    <t>MFG0379221</t>
  </si>
  <si>
    <t>MFG0379220</t>
  </si>
  <si>
    <t>MFG0378765</t>
  </si>
  <si>
    <t>MFG0378858</t>
  </si>
  <si>
    <t>MFG0378444</t>
  </si>
  <si>
    <t>MFG0378995</t>
  </si>
  <si>
    <t>MFG0378323</t>
  </si>
  <si>
    <t>MFG0378329</t>
  </si>
  <si>
    <t>MFG0377447</t>
  </si>
  <si>
    <t>MFG0378917</t>
  </si>
  <si>
    <t>MFG0378744</t>
  </si>
  <si>
    <t>WHITE CHILI 8 OZ</t>
  </si>
  <si>
    <t>MFG0378851</t>
  </si>
  <si>
    <t>MFG0378672</t>
  </si>
  <si>
    <t>MFG0379243</t>
  </si>
  <si>
    <t>MFG0378516</t>
  </si>
  <si>
    <t>MFG0379365</t>
  </si>
  <si>
    <t>MFG0378759</t>
  </si>
  <si>
    <t>MFG0378859</t>
  </si>
  <si>
    <t>MFG0378441</t>
  </si>
  <si>
    <t>MFG0376094</t>
  </si>
  <si>
    <t>MFG0377163</t>
  </si>
  <si>
    <t>MFG0378997</t>
  </si>
  <si>
    <t>MFG0378324</t>
  </si>
  <si>
    <t>MFG0378233</t>
  </si>
  <si>
    <t>B01142</t>
  </si>
  <si>
    <t>BCH TUR SP BNT SQ 12-3.5 OZ.</t>
  </si>
  <si>
    <t>MFG0378915</t>
  </si>
  <si>
    <t>MFG0379474</t>
  </si>
  <si>
    <t>MFG0378852</t>
  </si>
  <si>
    <t>MFG0378679</t>
  </si>
  <si>
    <t>MFG0379246</t>
  </si>
  <si>
    <t>MFG0378719</t>
  </si>
  <si>
    <t>MFG0378330</t>
  </si>
  <si>
    <t>MFG0379459</t>
  </si>
  <si>
    <t>MFG0378831</t>
  </si>
  <si>
    <t>MFG0378343</t>
  </si>
  <si>
    <t>MFG0378442</t>
  </si>
  <si>
    <t>MFG0379254</t>
  </si>
  <si>
    <t>MFG0377164</t>
  </si>
  <si>
    <t>MFG0378998</t>
  </si>
  <si>
    <t>MFG0378325</t>
  </si>
  <si>
    <t>MFG0378906</t>
  </si>
  <si>
    <t>MFG0378853</t>
  </si>
  <si>
    <t>MFG0378680</t>
  </si>
  <si>
    <t>MFG0378234</t>
  </si>
  <si>
    <t>MFG0378341</t>
  </si>
  <si>
    <t>MFG0378332</t>
  </si>
  <si>
    <t>MFG0378833</t>
  </si>
  <si>
    <t>MFG0378999</t>
  </si>
  <si>
    <t>MFG0378729</t>
  </si>
  <si>
    <t>MFG0378908</t>
  </si>
  <si>
    <t>MFG0378854</t>
  </si>
  <si>
    <t>MFG0378681</t>
  </si>
  <si>
    <t>MFG0378426</t>
  </si>
  <si>
    <t>MFG0379000</t>
  </si>
  <si>
    <t>MFG0378842</t>
  </si>
  <si>
    <t>MFG0379001</t>
  </si>
  <si>
    <t>MFG0378336</t>
  </si>
  <si>
    <t>MFG0378847</t>
  </si>
  <si>
    <t>MFG0378909</t>
  </si>
  <si>
    <t>MFG0379135</t>
  </si>
  <si>
    <t>MFG0379131</t>
  </si>
  <si>
    <t>MFG0379117</t>
  </si>
  <si>
    <t>MFG0379136</t>
  </si>
  <si>
    <t>MFG0379125</t>
  </si>
  <si>
    <t>MFG0379124</t>
  </si>
  <si>
    <t>MFG0379118</t>
  </si>
  <si>
    <t>MFG0379165</t>
  </si>
  <si>
    <t>MFG0379134</t>
  </si>
  <si>
    <t>MFG0379149</t>
  </si>
  <si>
    <t>MFG0379153</t>
  </si>
  <si>
    <t>MFG0379166</t>
  </si>
  <si>
    <t>MFG0379159</t>
  </si>
  <si>
    <t>MFG0379137</t>
  </si>
  <si>
    <t>MFG0379138</t>
  </si>
  <si>
    <t>MFG0379132</t>
  </si>
  <si>
    <t>MFG0379127</t>
  </si>
  <si>
    <t>MFG0377992</t>
  </si>
  <si>
    <t>NFG HUMMUS 240CT 2OZ</t>
  </si>
  <si>
    <t>MFG0378910</t>
  </si>
  <si>
    <t>MFG0379156</t>
  </si>
  <si>
    <t>MFG0379130</t>
  </si>
  <si>
    <t>MFG0379122</t>
  </si>
  <si>
    <t>MFG0379120</t>
  </si>
  <si>
    <t>MFG0379126</t>
  </si>
  <si>
    <t>MFG0379139</t>
  </si>
  <si>
    <t>MFG0379121</t>
  </si>
  <si>
    <t>MFG0379119</t>
  </si>
  <si>
    <t>MFG0379133</t>
  </si>
  <si>
    <t>MFG0379144</t>
  </si>
  <si>
    <t>MFG0379123</t>
  </si>
  <si>
    <t>MFG0379143</t>
  </si>
  <si>
    <t>MFG0379128</t>
  </si>
  <si>
    <t>MFG0379151</t>
  </si>
  <si>
    <t>MFG0379129</t>
  </si>
  <si>
    <t>MFG0379164</t>
  </si>
  <si>
    <t>MFG0378865</t>
  </si>
  <si>
    <t>MFG0377223</t>
  </si>
  <si>
    <t>MFG0375139</t>
  </si>
  <si>
    <t>MFG0378446</t>
  </si>
  <si>
    <t>MFG0379146</t>
  </si>
  <si>
    <t>MFG0378836</t>
  </si>
  <si>
    <t>MFG0379222</t>
  </si>
  <si>
    <t>MFG0379223</t>
  </si>
  <si>
    <t>MFG0378333</t>
  </si>
  <si>
    <t>MFG0378757</t>
  </si>
  <si>
    <t>MFG0378756</t>
  </si>
  <si>
    <t>MFG0379249</t>
  </si>
  <si>
    <t>MFG0379466</t>
  </si>
  <si>
    <t>MFG0378633</t>
  </si>
  <si>
    <t>MFG0378200</t>
  </si>
  <si>
    <t>MFG0378337</t>
  </si>
  <si>
    <t>MFG0379155</t>
  </si>
  <si>
    <t>MFG0379147</t>
  </si>
  <si>
    <t>MFG0379145</t>
  </si>
  <si>
    <t>MFG0379160</t>
  </si>
  <si>
    <t>MFG0379152</t>
  </si>
  <si>
    <t>MFG0379157</t>
  </si>
  <si>
    <t>MFG0379158</t>
  </si>
  <si>
    <t>MFG0379162</t>
  </si>
  <si>
    <t>MFG0379167</t>
  </si>
  <si>
    <t>MFG0379154</t>
  </si>
  <si>
    <t>MFG0379148</t>
  </si>
  <si>
    <t>MFG0379169</t>
  </si>
  <si>
    <t>MFG0379163</t>
  </si>
  <si>
    <t>MFG0379168</t>
  </si>
  <si>
    <t>MFG0379161</t>
  </si>
  <si>
    <t>MFG0379150</t>
  </si>
  <si>
    <t>MFG0378479</t>
  </si>
  <si>
    <t>MFG0378769</t>
  </si>
  <si>
    <t>MFG0378911</t>
  </si>
  <si>
    <t>MFG0378201</t>
  </si>
  <si>
    <t>MFG0379467</t>
  </si>
  <si>
    <t>MFG0377991</t>
  </si>
  <si>
    <t>MFG0379247</t>
  </si>
  <si>
    <t>MFG0378768</t>
  </si>
  <si>
    <t>MFG0379338</t>
  </si>
  <si>
    <t>MFG0378437</t>
  </si>
  <si>
    <t>MFG0378840</t>
  </si>
  <si>
    <t>MFG0378841</t>
  </si>
  <si>
    <t>MFG0378338</t>
  </si>
  <si>
    <t>MFG0375222</t>
  </si>
  <si>
    <t>MFG0375308</t>
  </si>
  <si>
    <t>MFG0377224</t>
  </si>
  <si>
    <t>MFG0378866</t>
  </si>
  <si>
    <t>MFG0375168</t>
  </si>
  <si>
    <t>MFG0378478</t>
  </si>
  <si>
    <t>MFG0379209</t>
  </si>
  <si>
    <t>MFG0378202</t>
  </si>
  <si>
    <t>MFG0378223</t>
  </si>
  <si>
    <t>MFG0379468</t>
  </si>
  <si>
    <t>MFG0379248</t>
  </si>
  <si>
    <t>MFG0379226</t>
  </si>
  <si>
    <t>RD699</t>
  </si>
  <si>
    <t>SER TURKEY CAR ZUC CEL 3.5 OZ</t>
  </si>
  <si>
    <t>MFG0378382</t>
  </si>
  <si>
    <t>MFG0379339</t>
  </si>
  <si>
    <t>MFG0378438</t>
  </si>
  <si>
    <t>MFG0375221</t>
  </si>
  <si>
    <t>MFG0379255</t>
  </si>
  <si>
    <t>MFG0377226</t>
  </si>
  <si>
    <t>MFG0378867</t>
  </si>
  <si>
    <t>MFG0378730</t>
  </si>
  <si>
    <t>MFG0378203</t>
  </si>
  <si>
    <t>MFG0378217</t>
  </si>
  <si>
    <t>MFG0379469</t>
  </si>
  <si>
    <t>MFG0379244</t>
  </si>
  <si>
    <t>MFG0379227</t>
  </si>
  <si>
    <t>RD710</t>
  </si>
  <si>
    <t>SER BEEF KEBAB 3.5 OZ.</t>
  </si>
  <si>
    <t>MFG0378773</t>
  </si>
  <si>
    <t>MFG0379340</t>
  </si>
  <si>
    <t>MFG0378197</t>
  </si>
  <si>
    <t>SIG CITY BBQ ORIGINAL SAUC 156CT-1.5 OZ CUP</t>
  </si>
  <si>
    <t>MFG0378440</t>
  </si>
  <si>
    <t>MFG0377225</t>
  </si>
  <si>
    <t>MFG0378868</t>
  </si>
  <si>
    <t>MFG0379104</t>
  </si>
  <si>
    <t>MFG0378198</t>
  </si>
  <si>
    <t>MFG0379341</t>
  </si>
  <si>
    <t>MFG0378766</t>
  </si>
  <si>
    <t>MFG0378767</t>
  </si>
  <si>
    <t>MFG0377714</t>
  </si>
  <si>
    <t>FLB CHICKEN SALAD 24-4.5 OZ</t>
  </si>
  <si>
    <t>MFG0378212</t>
  </si>
  <si>
    <t>MFG0379068</t>
  </si>
  <si>
    <t>MFG0378204</t>
  </si>
  <si>
    <t xml:space="preserve">STK CHIPOTLE CHKN 12-2.6 OZ </t>
  </si>
  <si>
    <t>MFG0378396</t>
  </si>
  <si>
    <t>85208-24</t>
  </si>
  <si>
    <t>FLB BBQ SAUCE W/BEEF 24-4.5 OZ</t>
  </si>
  <si>
    <t>MFG0379245</t>
  </si>
  <si>
    <t>MFG0379470</t>
  </si>
  <si>
    <t>MFG0377840</t>
  </si>
  <si>
    <t>STK SALSA VERDE 12-2.6 OZ</t>
  </si>
  <si>
    <t>MFG0378213</t>
  </si>
  <si>
    <t>MFG0378976</t>
  </si>
  <si>
    <t>MFG0379476</t>
  </si>
  <si>
    <t>MFG0378720</t>
  </si>
  <si>
    <t>MFG0375201</t>
  </si>
  <si>
    <t>MFG0379228</t>
  </si>
  <si>
    <t>MFG0379224</t>
  </si>
  <si>
    <t>MFG0378874</t>
  </si>
  <si>
    <t>MFG0378339</t>
  </si>
  <si>
    <t>MFG0378439</t>
  </si>
  <si>
    <t>MFG0375291</t>
  </si>
  <si>
    <t>MFG0377165</t>
  </si>
  <si>
    <t>MFG0379106</t>
  </si>
  <si>
    <t>MFG0379225</t>
  </si>
  <si>
    <t>MFG0379026</t>
  </si>
  <si>
    <t>MFG0379471</t>
  </si>
  <si>
    <t>MFG0379024</t>
  </si>
  <si>
    <t>MFG0379027</t>
  </si>
  <si>
    <t>MFG0378205</t>
  </si>
  <si>
    <t>MFG0379352</t>
  </si>
  <si>
    <t>MFG0379465</t>
  </si>
  <si>
    <t>MFG0379028</t>
  </si>
  <si>
    <t>MFG0379025</t>
  </si>
  <si>
    <t>MFG0378775</t>
  </si>
  <si>
    <t>MFG0375418</t>
  </si>
  <si>
    <t>MFG0379477</t>
  </si>
  <si>
    <t>MFG0379229</t>
  </si>
  <si>
    <t>MFG0375170</t>
  </si>
  <si>
    <t>MFG0378340</t>
  </si>
  <si>
    <t>MFG0378443</t>
  </si>
  <si>
    <t>MFG0375140</t>
  </si>
  <si>
    <t>MFG0377166</t>
  </si>
  <si>
    <t>MFG0379485</t>
  </si>
  <si>
    <t>MFG0378978</t>
  </si>
  <si>
    <t>MFG0378968</t>
  </si>
  <si>
    <t>MFG0378966</t>
  </si>
  <si>
    <t>MFG0379030</t>
  </si>
  <si>
    <t>MFG0378971</t>
  </si>
  <si>
    <t>MFG0378959</t>
  </si>
  <si>
    <t>MFG0378974</t>
  </si>
  <si>
    <t>SHORT LUN DIN #1 PERISH</t>
  </si>
  <si>
    <t>MFG0378960</t>
  </si>
  <si>
    <t>MFG0378967</t>
  </si>
  <si>
    <t>MFG0378973</t>
  </si>
  <si>
    <t>MFG0379464</t>
  </si>
  <si>
    <t>Zee Zees No Nut Butter, Cinn Toast, 1.1oz 200ct</t>
  </si>
  <si>
    <t>MFG0378708</t>
  </si>
  <si>
    <t>MFG0378969</t>
  </si>
  <si>
    <t>MFG0377138</t>
  </si>
  <si>
    <t>MFG0378206</t>
  </si>
  <si>
    <t>MFG0379211</t>
  </si>
  <si>
    <t>MFG0377167</t>
  </si>
  <si>
    <t>MFG0379256</t>
  </si>
  <si>
    <t>MFG0379029</t>
  </si>
  <si>
    <t>MFG0378342</t>
  </si>
  <si>
    <t>MFG0378447</t>
  </si>
  <si>
    <t>MFG0379478</t>
  </si>
  <si>
    <t>MFG0378794</t>
  </si>
  <si>
    <t>MFG0375417</t>
  </si>
  <si>
    <t>MFG0378979</t>
  </si>
  <si>
    <t>MFG0379230</t>
  </si>
  <si>
    <t>MFG0375378</t>
  </si>
  <si>
    <t>MFG0379463</t>
  </si>
  <si>
    <t>MFG0379069</t>
  </si>
  <si>
    <t>MFG0377141</t>
  </si>
  <si>
    <t>MFG0378980</t>
  </si>
  <si>
    <t>MFG0378800</t>
  </si>
  <si>
    <t>MFG0375223</t>
  </si>
  <si>
    <t>MFG0379238</t>
  </si>
  <si>
    <t>MFG0379231</t>
  </si>
  <si>
    <t>MFG0378795</t>
  </si>
  <si>
    <t>MFG0377168</t>
  </si>
  <si>
    <t>MFG0379479</t>
  </si>
  <si>
    <t>MFG0378208</t>
  </si>
  <si>
    <t>MFG0378981</t>
  </si>
  <si>
    <t>MFG0378796</t>
  </si>
  <si>
    <t>MFG0377142</t>
  </si>
  <si>
    <t xml:space="preserve">TACO FILLING </t>
  </si>
  <si>
    <t>MFG0379232</t>
  </si>
  <si>
    <t>PT503</t>
  </si>
  <si>
    <t>SWEET POTATO CASSEROLE</t>
  </si>
  <si>
    <t>MFG0379253</t>
  </si>
  <si>
    <t>MFG0378793</t>
  </si>
  <si>
    <t>MFG0378982</t>
  </si>
  <si>
    <t>MFG0378209</t>
  </si>
  <si>
    <t>MFG0378801</t>
  </si>
  <si>
    <t>MFG0378215</t>
  </si>
  <si>
    <t>MFG0378401</t>
  </si>
  <si>
    <t>MFG0375340</t>
  </si>
  <si>
    <t>MFG0378210</t>
  </si>
  <si>
    <t>MFG0378797</t>
  </si>
  <si>
    <t>MFG0379233</t>
  </si>
  <si>
    <t>MFG0375240</t>
  </si>
  <si>
    <t>MFG0378414</t>
  </si>
  <si>
    <t>MFG0378817</t>
  </si>
  <si>
    <t>MFG0375293</t>
  </si>
  <si>
    <t>MFG0377227</t>
  </si>
  <si>
    <t>MFG0379417</t>
  </si>
  <si>
    <t>MFG0378871</t>
  </si>
  <si>
    <t>MFG0379234</t>
  </si>
  <si>
    <t>MFG0378855</t>
  </si>
  <si>
    <t>MFG0378402</t>
  </si>
  <si>
    <t>MFG0375352</t>
  </si>
  <si>
    <t>MFG0378798</t>
  </si>
  <si>
    <t>MFG0378799</t>
  </si>
  <si>
    <t>SKPOR001-B</t>
  </si>
  <si>
    <t>SER PORK G BN &amp; SWP 50-3.5 OZ</t>
  </si>
  <si>
    <t>MFG0375171</t>
  </si>
  <si>
    <t>MFG0378221</t>
  </si>
  <si>
    <t>MFG0373778</t>
  </si>
  <si>
    <t>MFG0378872</t>
  </si>
  <si>
    <t>MFG0378412</t>
  </si>
  <si>
    <t>MFG0375326</t>
  </si>
  <si>
    <t>MFG0377228</t>
  </si>
  <si>
    <t>MFG0379418</t>
  </si>
  <si>
    <t>MFG0373783</t>
  </si>
  <si>
    <t>MFG0378220</t>
  </si>
  <si>
    <t>MFG0378403</t>
  </si>
  <si>
    <t>MFG0375351</t>
  </si>
  <si>
    <t>MFG0378104</t>
  </si>
  <si>
    <t>MFG0378105</t>
  </si>
  <si>
    <t>MFG0379070</t>
  </si>
  <si>
    <t>MFG0378873</t>
  </si>
  <si>
    <t>MFG0378410</t>
  </si>
  <si>
    <t>MFG0379257</t>
  </si>
  <si>
    <t>MFG0377229</t>
  </si>
  <si>
    <t>MFG0379419</t>
  </si>
  <si>
    <t>MFG0379235</t>
  </si>
  <si>
    <t>MFG0379330</t>
  </si>
  <si>
    <t>MFG0379315</t>
  </si>
  <si>
    <t>MFG0379304</t>
  </si>
  <si>
    <t>MFG0379328</t>
  </si>
  <si>
    <t>MFG0379333</t>
  </si>
  <si>
    <t>MFG0379305</t>
  </si>
  <si>
    <t>MFG0379311</t>
  </si>
  <si>
    <t>MFG0379309</t>
  </si>
  <si>
    <t>MFG0379323</t>
  </si>
  <si>
    <t>MFG0379319</t>
  </si>
  <si>
    <t>MFG0379327</t>
  </si>
  <si>
    <t>MFG0379317</t>
  </si>
  <si>
    <t>MFG0379322</t>
  </si>
  <si>
    <t>MFG0379326</t>
  </si>
  <si>
    <t>MFG0379329</t>
  </si>
  <si>
    <t>MFG0379316</t>
  </si>
  <si>
    <t>MFG0379334</t>
  </si>
  <si>
    <t>MFG0379325</t>
  </si>
  <si>
    <t>MFG0379332</t>
  </si>
  <si>
    <t>MFG0379313</t>
  </si>
  <si>
    <t>MFG0379321</t>
  </si>
  <si>
    <t>MFG0379420</t>
  </si>
  <si>
    <t>MFG0377230</t>
  </si>
  <si>
    <t>MFG0378420</t>
  </si>
  <si>
    <t>MFG0379006</t>
  </si>
  <si>
    <t>MFG0379353</t>
  </si>
  <si>
    <t>MFG0378877</t>
  </si>
  <si>
    <t>MFG0375363</t>
  </si>
  <si>
    <t>MFG0378804</t>
  </si>
  <si>
    <t>MFG0378222</t>
  </si>
  <si>
    <t>MFG0378211</t>
  </si>
  <si>
    <t>MFG0379331</t>
  </si>
  <si>
    <t>MFG0379314</t>
  </si>
  <si>
    <t>MFG0379318</t>
  </si>
  <si>
    <t>MFG0379320</t>
  </si>
  <si>
    <t>MFG0379307</t>
  </si>
  <si>
    <t>MFG0379306</t>
  </si>
  <si>
    <t>MFG0378856</t>
  </si>
  <si>
    <t>MFG0378770</t>
  </si>
  <si>
    <t>MFG0378207</t>
  </si>
  <si>
    <t>MFG0378407</t>
  </si>
  <si>
    <t>770104-12</t>
  </si>
  <si>
    <t xml:space="preserve">YPK CHICKEN SHREDS 2.6 OZ. </t>
  </si>
  <si>
    <t>MFG0378802</t>
  </si>
  <si>
    <t>MFG0378404</t>
  </si>
  <si>
    <t>MFG0379007</t>
  </si>
  <si>
    <t>MFG0378416</t>
  </si>
  <si>
    <t>MFG0379421</t>
  </si>
  <si>
    <t>MFG0379354</t>
  </si>
  <si>
    <t>MFG0379355</t>
  </si>
  <si>
    <t>MFG0378750</t>
  </si>
  <si>
    <t>MFG0379071</t>
  </si>
  <si>
    <t>MFG0377466</t>
  </si>
  <si>
    <t>MFG0378884</t>
  </si>
  <si>
    <t>16816-31000</t>
  </si>
  <si>
    <t>MOM CHKN MEDITERRANEAN 6-10 OZ.</t>
  </si>
  <si>
    <t>MFG0378807</t>
  </si>
  <si>
    <t>MFG0378687</t>
  </si>
  <si>
    <t>MFG0379250</t>
  </si>
  <si>
    <t>MFG0378771</t>
  </si>
  <si>
    <t>MFG0378772</t>
  </si>
  <si>
    <t>MFG0379356</t>
  </si>
  <si>
    <t>MFG0379261</t>
  </si>
  <si>
    <t>MFG0378419</t>
  </si>
  <si>
    <t>MFG0375274</t>
  </si>
  <si>
    <t>MFG0377169</t>
  </si>
  <si>
    <t>MFG0379480</t>
  </si>
  <si>
    <t>MFG0378875</t>
  </si>
  <si>
    <t>MFG0378692</t>
  </si>
  <si>
    <t>MFG0378885</t>
  </si>
  <si>
    <t>MFG0378677</t>
  </si>
  <si>
    <t>MFG0379451</t>
  </si>
  <si>
    <t>MFG0375420</t>
  </si>
  <si>
    <t>MFG0378791</t>
  </si>
  <si>
    <t>MFG0379357</t>
  </si>
  <si>
    <t>MFG0378792</t>
  </si>
  <si>
    <t>MFG0373784</t>
  </si>
  <si>
    <t>MFG0378876</t>
  </si>
  <si>
    <t>MFG0379262</t>
  </si>
  <si>
    <t>MFG0378418</t>
  </si>
  <si>
    <t>MFG0375141</t>
  </si>
  <si>
    <t>MFG0377170</t>
  </si>
  <si>
    <t>MFG0379481</t>
  </si>
  <si>
    <t>MFG0373789</t>
  </si>
  <si>
    <t>MFG0378435</t>
  </si>
  <si>
    <t>MFG0378886</t>
  </si>
  <si>
    <t>16816-32000</t>
  </si>
  <si>
    <t>MOM BEEF STEW 6-10 OZ</t>
  </si>
  <si>
    <t>MFG0378977</t>
  </si>
  <si>
    <t>MFG0379251</t>
  </si>
  <si>
    <t>MFG0378776</t>
  </si>
  <si>
    <t>MFG0378755</t>
  </si>
  <si>
    <t>MFG0379358</t>
  </si>
  <si>
    <t>MFG0378809</t>
  </si>
  <si>
    <t>MFG0379008</t>
  </si>
  <si>
    <t>MFG0379263</t>
  </si>
  <si>
    <t>MFG0378816</t>
  </si>
  <si>
    <t>MFG0378417</t>
  </si>
  <si>
    <t>MFG0376095</t>
  </si>
  <si>
    <t>MFG0377171</t>
  </si>
  <si>
    <t>MFG0379482</t>
  </si>
  <si>
    <t>MFG0375172</t>
  </si>
  <si>
    <t>MFG0377470</t>
  </si>
  <si>
    <t>MFG0378887</t>
  </si>
  <si>
    <t>MFG0378400</t>
  </si>
  <si>
    <t>MFG0378810</t>
  </si>
  <si>
    <t>MFG0375419</t>
  </si>
  <si>
    <t>MFG0379239</t>
  </si>
  <si>
    <t>MFG0378789</t>
  </si>
  <si>
    <t>MFG0379264</t>
  </si>
  <si>
    <t>MFG0379140</t>
  </si>
  <si>
    <t>MFG0378415</t>
  </si>
  <si>
    <t>MFG0379258</t>
  </si>
  <si>
    <t>MFG0377172</t>
  </si>
  <si>
    <t>MFG0379483</t>
  </si>
  <si>
    <t>MFG0379374</t>
  </si>
  <si>
    <t>MFG0378811</t>
  </si>
  <si>
    <t>MFG0378888</t>
  </si>
  <si>
    <t>16816-42000</t>
  </si>
  <si>
    <t xml:space="preserve">J&amp;M BEEF STEW 6-10 OZ. </t>
  </si>
  <si>
    <t>MFG0378790</t>
  </si>
  <si>
    <t>MFG0379240</t>
  </si>
  <si>
    <t>MFG0379142</t>
  </si>
  <si>
    <t>MFG0378413</t>
  </si>
  <si>
    <t>MFG0379484</t>
  </si>
  <si>
    <t>MFG0379360</t>
  </si>
  <si>
    <t>MFG0379361</t>
  </si>
  <si>
    <t>MFG0378812</t>
  </si>
  <si>
    <t>MFG0378889</t>
  </si>
  <si>
    <t>MFG0378490</t>
  </si>
  <si>
    <t>MFG0378682</t>
  </si>
  <si>
    <t>MFG0378758</t>
  </si>
  <si>
    <t>SKTCC001</t>
  </si>
  <si>
    <t>SER COC CURRY W/CHIX 12-3.5 OZ</t>
  </si>
  <si>
    <t>MFG0378760</t>
  </si>
  <si>
    <t>SKTCC001-B</t>
  </si>
  <si>
    <t xml:space="preserve">SER COC CURRY W/CHIX 50-3.5 OZ </t>
  </si>
  <si>
    <t>MFG0379363</t>
  </si>
  <si>
    <t>MFG0373790</t>
  </si>
  <si>
    <t>MFG0373785</t>
  </si>
  <si>
    <t>MFG0378461</t>
  </si>
  <si>
    <t>MFG0375257</t>
  </si>
  <si>
    <t>MFG0377231</t>
  </si>
  <si>
    <t>MFG0379095</t>
  </si>
  <si>
    <t>MFG0375202</t>
  </si>
  <si>
    <t>MFG0378491</t>
  </si>
  <si>
    <t>MFG0378890</t>
  </si>
  <si>
    <t>MFG0378683</t>
  </si>
  <si>
    <t>MFG0379252</t>
  </si>
  <si>
    <t>MFG0378115</t>
  </si>
  <si>
    <t>MFG0378462</t>
  </si>
  <si>
    <t>MFG0375309</t>
  </si>
  <si>
    <t>MFG0377232</t>
  </si>
  <si>
    <t>MFG0379096</t>
  </si>
  <si>
    <t>MFG0379364</t>
  </si>
  <si>
    <t>MFG0378498</t>
  </si>
  <si>
    <t>MFG0378891</t>
  </si>
  <si>
    <t>16816-32011</t>
  </si>
  <si>
    <t>MOM OLD WORLD STEW 6-10 OZ</t>
  </si>
  <si>
    <t>MFG0378684</t>
  </si>
  <si>
    <t>MFG0375421</t>
  </si>
  <si>
    <t>MFG0378116</t>
  </si>
  <si>
    <t>MFG0378119</t>
  </si>
  <si>
    <t>MFG0378463</t>
  </si>
  <si>
    <t>MFG0379259</t>
  </si>
  <si>
    <t>MFG0377233</t>
  </si>
  <si>
    <t>MFG0379002</t>
  </si>
  <si>
    <t>MFG0379367</t>
  </si>
  <si>
    <t>MFG0375379</t>
  </si>
  <si>
    <t>MFG0378892</t>
  </si>
  <si>
    <t>MFG0378492</t>
  </si>
  <si>
    <t>MFG0378879</t>
  </si>
  <si>
    <t>MFG0379415</t>
  </si>
  <si>
    <t>MFG0373791</t>
  </si>
  <si>
    <t>MFG0373786</t>
  </si>
  <si>
    <t>MFG0378464</t>
  </si>
  <si>
    <t>MFG0377234</t>
  </si>
  <si>
    <t>MFG0379077</t>
  </si>
  <si>
    <t>MFG0379368</t>
  </si>
  <si>
    <t>MFG0379369</t>
  </si>
  <si>
    <t>MFG0378495</t>
  </si>
  <si>
    <t>MFG0378219</t>
  </si>
  <si>
    <t>MFG0378880</t>
  </si>
  <si>
    <t>MFG0379416</t>
  </si>
  <si>
    <t>MFG0376297</t>
  </si>
  <si>
    <t>MFG0376295</t>
  </si>
  <si>
    <t>MFG0376290</t>
  </si>
  <si>
    <t>MFG0376298</t>
  </si>
  <si>
    <t>MFG0376296</t>
  </si>
  <si>
    <t>MFG0376292</t>
  </si>
  <si>
    <t>MFG0376299</t>
  </si>
  <si>
    <t>MFG0376289</t>
  </si>
  <si>
    <t>MFG0376288</t>
  </si>
  <si>
    <t>MFG0376291</t>
  </si>
  <si>
    <t>MFG0376293</t>
  </si>
  <si>
    <t>MFG0379078</t>
  </si>
  <si>
    <t>MFG0376294</t>
  </si>
  <si>
    <t>MFG0379107</t>
  </si>
  <si>
    <t>MFG0378881</t>
  </si>
  <si>
    <t>MFG0379375</t>
  </si>
  <si>
    <t>MFG0377143</t>
  </si>
  <si>
    <t>MFG0379079</t>
  </si>
  <si>
    <t>MFG0377173</t>
  </si>
  <si>
    <t>MFG0375292</t>
  </si>
  <si>
    <t>MFG0375241</t>
  </si>
  <si>
    <t>MFG0378465</t>
  </si>
  <si>
    <t>MFG0379344</t>
  </si>
  <si>
    <t>MFG0379438</t>
  </si>
  <si>
    <t>MFG0379108</t>
  </si>
  <si>
    <t>MFG0379183</t>
  </si>
  <si>
    <t>MFG0377144</t>
  </si>
  <si>
    <t>MFG0379342</t>
  </si>
  <si>
    <t>MFG0379442</t>
  </si>
  <si>
    <t>MFG0375142</t>
  </si>
  <si>
    <t>MFG0378466</t>
  </si>
  <si>
    <t>MFG0377174</t>
  </si>
  <si>
    <t>MFG0379080</t>
  </si>
  <si>
    <t>MFG0379109</t>
  </si>
  <si>
    <t>MFG0377145</t>
  </si>
  <si>
    <t>MFG0379443</t>
  </si>
  <si>
    <t>MFG0379343</t>
  </si>
  <si>
    <t>MFG0375173</t>
  </si>
  <si>
    <t>MFG0378467</t>
  </si>
  <si>
    <t>MFG0376096</t>
  </si>
  <si>
    <t>MFG0377175</t>
  </si>
  <si>
    <t>MFG0379081</t>
  </si>
  <si>
    <t>MFG0379180</t>
  </si>
  <si>
    <t>MFG0379444</t>
  </si>
  <si>
    <t>MFG0379373</t>
  </si>
  <si>
    <t>MFG0373787</t>
  </si>
  <si>
    <t>MFG0378216</t>
  </si>
  <si>
    <t>MFG0378469</t>
  </si>
  <si>
    <t>MFG0377176</t>
  </si>
  <si>
    <t>MFG0379084</t>
  </si>
  <si>
    <t>MFG0373793</t>
  </si>
  <si>
    <t>MFG0379083</t>
  </si>
  <si>
    <t>MFG0379370</t>
  </si>
  <si>
    <t>MFG0379445</t>
  </si>
  <si>
    <t>MFG0378218</t>
  </si>
  <si>
    <t>MFG0379181</t>
  </si>
  <si>
    <t>MFG0378269</t>
  </si>
  <si>
    <t>MFG0377693</t>
  </si>
  <si>
    <t>MFG0379085</t>
  </si>
  <si>
    <t>MFG0377337</t>
  </si>
  <si>
    <t>PT312</t>
  </si>
  <si>
    <t>POL BEEF FAJITA</t>
  </si>
  <si>
    <t>MFG0379086</t>
  </si>
  <si>
    <t>MFG0377235</t>
  </si>
  <si>
    <t>MFG0378468</t>
  </si>
  <si>
    <t>MFG0379371</t>
  </si>
  <si>
    <t>MFG0375422</t>
  </si>
  <si>
    <t>MFG0378721</t>
  </si>
  <si>
    <t>85228-12</t>
  </si>
  <si>
    <t>FLB PASTA RINGS TOM SAUCE 15 OZ</t>
  </si>
  <si>
    <t>MFG0378493</t>
  </si>
  <si>
    <t>MFG0378318</t>
  </si>
  <si>
    <t>MFG0378268</t>
  </si>
  <si>
    <t>MFG0378722</t>
  </si>
  <si>
    <t>MFG0378319</t>
  </si>
  <si>
    <t>MFG0379372</t>
  </si>
  <si>
    <t>MFG0377448</t>
  </si>
  <si>
    <t>MFG0379182</t>
  </si>
  <si>
    <t>MFG0375203</t>
  </si>
  <si>
    <t>MFG0378470</t>
  </si>
  <si>
    <t>MFG0373788</t>
  </si>
  <si>
    <t>MFG0373792</t>
  </si>
  <si>
    <t>MFG0375258</t>
  </si>
  <si>
    <t>MFG0377236</t>
  </si>
  <si>
    <t>MFG0379087</t>
  </si>
  <si>
    <t>MFG0378432</t>
  </si>
  <si>
    <t>MFG0378320</t>
  </si>
  <si>
    <t>MFG0378496</t>
  </si>
  <si>
    <t>MFG0378592</t>
  </si>
  <si>
    <t>85222-12</t>
  </si>
  <si>
    <t xml:space="preserve">FLB SW CHICKEN W/BEANS 15 OZ </t>
  </si>
  <si>
    <t>MFG0375423</t>
  </si>
  <si>
    <t>MFG0378471</t>
  </si>
  <si>
    <t>MFG0375327</t>
  </si>
  <si>
    <t>MFG0377237</t>
  </si>
  <si>
    <t>MFG0379088</t>
  </si>
  <si>
    <t>MFG0379376</t>
  </si>
  <si>
    <t>MFG0378399</t>
  </si>
  <si>
    <t>MFG0377864</t>
  </si>
  <si>
    <t>MFG0378895</t>
  </si>
  <si>
    <t>MFG0378228</t>
  </si>
  <si>
    <t>MFG0378989</t>
  </si>
  <si>
    <t>MFG0377238</t>
  </si>
  <si>
    <t>MFG0379423</t>
  </si>
  <si>
    <t>MFG0379377</t>
  </si>
  <si>
    <t>MFG0379472</t>
  </si>
  <si>
    <t>MFG0379473</t>
  </si>
  <si>
    <t>MFG0379405</t>
  </si>
  <si>
    <t>MFG0378593</t>
  </si>
  <si>
    <t>85221-12</t>
  </si>
  <si>
    <t xml:space="preserve">FLB WHITE CHIX CHILI 15 OZ. </t>
  </si>
  <si>
    <t>MFG0378398</t>
  </si>
  <si>
    <t>FLB CHICKEN SALAD 12-2.6 OZ</t>
  </si>
  <si>
    <t>MFG0378990</t>
  </si>
  <si>
    <t>MFG0379345</t>
  </si>
  <si>
    <t xml:space="preserve">HML SPAMMY 60-4.0 OZ </t>
  </si>
  <si>
    <t>MFG0378896</t>
  </si>
  <si>
    <t>MFG0379404</t>
  </si>
  <si>
    <t>MFG0375174</t>
  </si>
  <si>
    <t>MFG0376017</t>
  </si>
  <si>
    <t>MFG0375275</t>
  </si>
  <si>
    <t>MFG0377177</t>
  </si>
  <si>
    <t>MFG0379424</t>
  </si>
  <si>
    <t>MFG0378472</t>
  </si>
  <si>
    <t>MFG0378584</t>
  </si>
  <si>
    <t>85226-12</t>
  </si>
  <si>
    <t xml:space="preserve">FLB HOT CHILI W/BEANS 15 OZ. </t>
  </si>
  <si>
    <t>MFG0379346</t>
  </si>
  <si>
    <t>MFG0378227</t>
  </si>
  <si>
    <t>MFG0375424</t>
  </si>
  <si>
    <t>MFG0378473</t>
  </si>
  <si>
    <t>MFG0375242</t>
  </si>
  <si>
    <t>MFG0375143</t>
  </si>
  <si>
    <t>MFG0377178</t>
  </si>
  <si>
    <t>MFG0379433</t>
  </si>
  <si>
    <t>MFG0379347</t>
  </si>
  <si>
    <t>MFG0378654</t>
  </si>
  <si>
    <t>MFG0375425</t>
  </si>
  <si>
    <t>MFG0373794</t>
  </si>
  <si>
    <t>MFG0378893</t>
  </si>
  <si>
    <t>MFG0378474</t>
  </si>
  <si>
    <t>MFG0379260</t>
  </si>
  <si>
    <t>MFG0377179</t>
  </si>
  <si>
    <t>MFG0379425</t>
  </si>
  <si>
    <t>MFG0373799</t>
  </si>
  <si>
    <t>MFG0379426</t>
  </si>
  <si>
    <t>MFG0377180</t>
  </si>
  <si>
    <t>MFG0375380</t>
  </si>
  <si>
    <t>MFG0378587</t>
  </si>
  <si>
    <t>85223-12</t>
  </si>
  <si>
    <t xml:space="preserve">FLB PIZZA MAC 15 OZ </t>
  </si>
  <si>
    <t>MFG0377982</t>
  </si>
  <si>
    <t>MFG0379348</t>
  </si>
  <si>
    <t>MFG0379303</t>
  </si>
  <si>
    <t>SPP DOG BEEF STEW 6-10 OZ</t>
  </si>
  <si>
    <t>MFG0379349</t>
  </si>
  <si>
    <t>MFG0378624</t>
  </si>
  <si>
    <t>MFG0378543</t>
  </si>
  <si>
    <t>MFG0379427</t>
  </si>
  <si>
    <t>MFG0378894</t>
  </si>
  <si>
    <t>MFG0379350</t>
  </si>
  <si>
    <t>MFG0379412</t>
  </si>
  <si>
    <t>MFG0378824</t>
  </si>
  <si>
    <t>RD696</t>
  </si>
  <si>
    <t>FLB BEEF W/NOODLES 7.0 TRAY</t>
  </si>
  <si>
    <t>MFG0378820</t>
  </si>
  <si>
    <t>RD691</t>
  </si>
  <si>
    <t>FLB JAMBALAYA 7.0 TRAY</t>
  </si>
  <si>
    <t>MFG0378848</t>
  </si>
  <si>
    <t>RD711</t>
  </si>
  <si>
    <t>FLB CHANA MASALA 7.0 TRAY</t>
  </si>
  <si>
    <t>MFG0378829</t>
  </si>
  <si>
    <t>RD692</t>
  </si>
  <si>
    <t>FLB CHIX PESTO PASTA 7.0 TRAY</t>
  </si>
  <si>
    <t>MFG0378823</t>
  </si>
  <si>
    <t>RD695</t>
  </si>
  <si>
    <t>FLB HOMESTYLE CHIX 7.0 TRAY</t>
  </si>
  <si>
    <t>MFG0378828</t>
  </si>
  <si>
    <t>RD694</t>
  </si>
  <si>
    <t>FLB CHIX WILD RICE 7.0 TRAY</t>
  </si>
  <si>
    <t>MFG0379428</t>
  </si>
  <si>
    <t>MFG0377239</t>
  </si>
  <si>
    <t>MFG0375310</t>
  </si>
  <si>
    <t>MFG0375353</t>
  </si>
  <si>
    <t>MFG0378226</t>
  </si>
  <si>
    <t>MFG0377861</t>
  </si>
  <si>
    <t>MFG0378225</t>
  </si>
  <si>
    <t>MFG0377506</t>
  </si>
  <si>
    <t>MFG0375364</t>
  </si>
  <si>
    <t>MFG0379429</t>
  </si>
  <si>
    <t>MFG0375328</t>
  </si>
  <si>
    <t>MFG0377240</t>
  </si>
  <si>
    <t>MFG0375225</t>
  </si>
  <si>
    <t>MFG0377503</t>
  </si>
  <si>
    <t>MFG0378620</t>
  </si>
  <si>
    <t>MFG0375175</t>
  </si>
  <si>
    <t>MFG0373795</t>
  </si>
  <si>
    <t>MFG0378565</t>
  </si>
  <si>
    <t>MFG0378551</t>
  </si>
  <si>
    <t>MFG0378549</t>
  </si>
  <si>
    <t>MFG0378561</t>
  </si>
  <si>
    <t>MFG0378548</t>
  </si>
  <si>
    <t>MFG0373800</t>
  </si>
  <si>
    <t>MFG0378563</t>
  </si>
  <si>
    <t>MFG0378547</t>
  </si>
  <si>
    <t>MFG0378567</t>
  </si>
  <si>
    <t>MFG0378545</t>
  </si>
  <si>
    <t>MFG0378571</t>
  </si>
  <si>
    <t>MFG0378569</t>
  </si>
  <si>
    <t>MFG0376097</t>
  </si>
  <si>
    <t>MFG0377241</t>
  </si>
  <si>
    <t>MFG0379090</t>
  </si>
  <si>
    <t>MFG0378573</t>
  </si>
  <si>
    <t>MFG0378627</t>
  </si>
  <si>
    <t>MFG0375341</t>
  </si>
  <si>
    <t>MFG0379431</t>
  </si>
  <si>
    <t>MFG0377242</t>
  </si>
  <si>
    <t>MFG0379093</t>
  </si>
  <si>
    <t>MFG0378647</t>
  </si>
  <si>
    <t>MFG0377515</t>
  </si>
  <si>
    <t>PT533</t>
  </si>
  <si>
    <t>CAJUN CHIX W/ANDOUILLE SAUSAGE</t>
  </si>
  <si>
    <t>MFG0379091</t>
  </si>
  <si>
    <t>MFG0377181</t>
  </si>
  <si>
    <t>MFG0373801</t>
  </si>
  <si>
    <t>MFG0373796</t>
  </si>
  <si>
    <t>MFG0375426</t>
  </si>
  <si>
    <t>MFG0377146</t>
  </si>
  <si>
    <t>USU CHILI W/NO BEAN 24-11.25OZ</t>
  </si>
  <si>
    <t>MFG0375381</t>
  </si>
  <si>
    <t>MFG0375144</t>
  </si>
  <si>
    <t>MFG0379436</t>
  </si>
  <si>
    <t>MFG0379092</t>
  </si>
  <si>
    <t>MFG0377182</t>
  </si>
  <si>
    <t>MFG0379432</t>
  </si>
  <si>
    <t>MFG0377185</t>
  </si>
  <si>
    <t>MFG0375276</t>
  </si>
  <si>
    <t>MFG0375176</t>
  </si>
  <si>
    <t>MFG0375427</t>
  </si>
  <si>
    <t>MFG0373802</t>
  </si>
  <si>
    <t>MFG0377183</t>
  </si>
  <si>
    <t>MFG0373797</t>
  </si>
  <si>
    <t>MFG0377243</t>
  </si>
  <si>
    <t>MFG0375259</t>
  </si>
  <si>
    <t>MFG0375204</t>
  </si>
  <si>
    <t>MFG0378331</t>
  </si>
  <si>
    <t>MFG0378270</t>
  </si>
  <si>
    <t>MFG0378636</t>
  </si>
  <si>
    <t>MFG0375428</t>
  </si>
  <si>
    <t>MFG0378267</t>
  </si>
  <si>
    <t>MFG0375311</t>
  </si>
  <si>
    <t>MFG0377244</t>
  </si>
  <si>
    <t>MFG0375243</t>
  </si>
  <si>
    <t>MFG0377245</t>
  </si>
  <si>
    <t>MFG0376098</t>
  </si>
  <si>
    <t>MFG0375429</t>
  </si>
  <si>
    <t>MFG0377246</t>
  </si>
  <si>
    <t>MFG0373803</t>
  </si>
  <si>
    <t>MFG0373798</t>
  </si>
  <si>
    <t>MFG0375382</t>
  </si>
  <si>
    <t>MFG0375177</t>
  </si>
  <si>
    <t>MFG0377184</t>
  </si>
  <si>
    <t>MFG0377186</t>
  </si>
  <si>
    <t>MFG0375145</t>
  </si>
  <si>
    <t>MFG0378650</t>
  </si>
  <si>
    <t>MFG0377187</t>
  </si>
  <si>
    <t>MFG0375146</t>
  </si>
  <si>
    <t>MFG0375226</t>
  </si>
  <si>
    <t>MFG0375431</t>
  </si>
  <si>
    <t>MFG0377188</t>
  </si>
  <si>
    <t>MFG0375430</t>
  </si>
  <si>
    <t>MFG0378723</t>
  </si>
  <si>
    <t>MFG0378397</t>
  </si>
  <si>
    <t>MFG0378724</t>
  </si>
  <si>
    <t>MFG0378595</t>
  </si>
  <si>
    <t>85224-12</t>
  </si>
  <si>
    <t xml:space="preserve">FBL PASTA W/MEAT SAUCE 15 OZ. </t>
  </si>
  <si>
    <t>MFG0378594</t>
  </si>
  <si>
    <t>85227-12</t>
  </si>
  <si>
    <t xml:space="preserve">FLB BEEF STEW 15 OZ </t>
  </si>
  <si>
    <t>MFG0378596</t>
  </si>
  <si>
    <t>85225-12</t>
  </si>
  <si>
    <t>FLB PASTA TOMATO SAUCE 15 OZ</t>
  </si>
  <si>
    <t>MFG0379414</t>
  </si>
  <si>
    <t>MFG0379413</t>
  </si>
  <si>
    <t>MFG0379452</t>
  </si>
  <si>
    <t>MFG0375178</t>
  </si>
  <si>
    <t>MFG0377860</t>
  </si>
  <si>
    <t>MFG0373804</t>
  </si>
  <si>
    <t>MFG0375329</t>
  </si>
  <si>
    <t>MFG0377248</t>
  </si>
  <si>
    <t>MFG0373809</t>
  </si>
  <si>
    <t>MFG0378616</t>
  </si>
  <si>
    <t>MFG0377247</t>
  </si>
  <si>
    <t>MFG0375294</t>
  </si>
  <si>
    <t>MFG0375227</t>
  </si>
  <si>
    <t>MFG0375205</t>
  </si>
  <si>
    <t>MFG0379453</t>
  </si>
  <si>
    <t>MFG0375365</t>
  </si>
  <si>
    <t>MFG0379454</t>
  </si>
  <si>
    <t>MFG0377249</t>
  </si>
  <si>
    <t>MFG0376099</t>
  </si>
  <si>
    <t>MFG0377250</t>
  </si>
  <si>
    <t>MFG0375342</t>
  </si>
  <si>
    <t>MFG0379455</t>
  </si>
  <si>
    <t>MFG0379456</t>
  </si>
  <si>
    <t>MFG0378552</t>
  </si>
  <si>
    <t>MFG0378544</t>
  </si>
  <si>
    <t>MFG0378546</t>
  </si>
  <si>
    <t>MFG0378566</t>
  </si>
  <si>
    <t>MFG0378572</t>
  </si>
  <si>
    <t>MFG0378562</t>
  </si>
  <si>
    <t>MFG0378574</t>
  </si>
  <si>
    <t>MFG0378568</t>
  </si>
  <si>
    <t>MFG0378564</t>
  </si>
  <si>
    <t>MFG0378570</t>
  </si>
  <si>
    <t>MFG0378550</t>
  </si>
  <si>
    <t>MFG0379457</t>
  </si>
  <si>
    <t>MFG0378497</t>
  </si>
  <si>
    <t>MFG0378500</t>
  </si>
  <si>
    <t>MFG0379184</t>
  </si>
  <si>
    <t>MFG0377471</t>
  </si>
  <si>
    <t>MFG0373812</t>
  </si>
  <si>
    <t>MFG0375277</t>
  </si>
  <si>
    <t>MFG0373805</t>
  </si>
  <si>
    <t>MFG0377189</t>
  </si>
  <si>
    <t>MFG0377192</t>
  </si>
  <si>
    <t>MFG0375260</t>
  </si>
  <si>
    <t>MFG0375179</t>
  </si>
  <si>
    <t>MFG0378660</t>
  </si>
  <si>
    <t>MFG0377836</t>
  </si>
  <si>
    <t>MFG0375432</t>
  </si>
  <si>
    <t>MFG0378644</t>
  </si>
  <si>
    <t>MFG0377193</t>
  </si>
  <si>
    <t>MFG0375244</t>
  </si>
  <si>
    <t>MFG0377194</t>
  </si>
  <si>
    <t>MFG0373806</t>
  </si>
  <si>
    <t>MFG0373811</t>
  </si>
  <si>
    <t>MFG0375383</t>
  </si>
  <si>
    <t>MFG0379185</t>
  </si>
  <si>
    <t>MFG0378499</t>
  </si>
  <si>
    <t>MFG0378501</t>
  </si>
  <si>
    <t>MFG0379187</t>
  </si>
  <si>
    <t>MFG0375147</t>
  </si>
  <si>
    <t>MFG0377251</t>
  </si>
  <si>
    <t>MFG0378611</t>
  </si>
  <si>
    <t>MFG0377252</t>
  </si>
  <si>
    <t>MFG0375312</t>
  </si>
  <si>
    <t>MFG0375180</t>
  </si>
  <si>
    <t>MFG0378651</t>
  </si>
  <si>
    <t>MFG0377253</t>
  </si>
  <si>
    <t>MFG0376100</t>
  </si>
  <si>
    <t>MFG0373813</t>
  </si>
  <si>
    <t>MFG0373807</t>
  </si>
  <si>
    <t>MFG0377254</t>
  </si>
  <si>
    <t>MFG0377190</t>
  </si>
  <si>
    <t>MFG0378630</t>
  </si>
  <si>
    <t>MFG0375206</t>
  </si>
  <si>
    <t>MFG0377191</t>
  </si>
  <si>
    <t>MFG0375148</t>
  </si>
  <si>
    <t>MFG0373814</t>
  </si>
  <si>
    <t>MFG0373808</t>
  </si>
  <si>
    <t>MFG0378661</t>
  </si>
  <si>
    <t>MFG0377195</t>
  </si>
  <si>
    <t>MFG0375295</t>
  </si>
  <si>
    <t>MFG0377196</t>
  </si>
  <si>
    <t>MFG0377255</t>
  </si>
  <si>
    <t>MFG0375330</t>
  </si>
  <si>
    <t>MFG0375181</t>
  </si>
  <si>
    <t>MFG0377830</t>
  </si>
  <si>
    <t>MFG0377256</t>
  </si>
  <si>
    <t>MFG0375278</t>
  </si>
  <si>
    <t>MFG0375435</t>
  </si>
  <si>
    <t>MFG0378621</t>
  </si>
  <si>
    <t>MFG0378657</t>
  </si>
  <si>
    <t>MFG0378637</t>
  </si>
  <si>
    <t>MFG0378640</t>
  </si>
  <si>
    <t>MFG0375433</t>
  </si>
  <si>
    <t>MFG0373819</t>
  </si>
  <si>
    <t>MFG0377257</t>
  </si>
  <si>
    <t>MFG0373815</t>
  </si>
  <si>
    <t>MFG0377258</t>
  </si>
  <si>
    <t>MFG0375384</t>
  </si>
  <si>
    <t>MFG0378634</t>
  </si>
  <si>
    <t>MFG0377197</t>
  </si>
  <si>
    <t>MFG0375354</t>
  </si>
  <si>
    <t>MFG0375228</t>
  </si>
  <si>
    <t>MFG0375261</t>
  </si>
  <si>
    <t>MFG0377198</t>
  </si>
  <si>
    <t>MFG0377199</t>
  </si>
  <si>
    <t>MFG0375149</t>
  </si>
  <si>
    <t>MFG0375366</t>
  </si>
  <si>
    <t>MFG0378662</t>
  </si>
  <si>
    <t>MFG0373816</t>
  </si>
  <si>
    <t>MFG0373820</t>
  </si>
  <si>
    <t>MFG0375343</t>
  </si>
  <si>
    <t>MFG0375355</t>
  </si>
  <si>
    <t>MFG0379191</t>
  </si>
  <si>
    <t>MFG0379192</t>
  </si>
  <si>
    <t>MFG0379190</t>
  </si>
  <si>
    <t>MFG0379189</t>
  </si>
  <si>
    <t>MFG0379188</t>
  </si>
  <si>
    <t>MFG0377505</t>
  </si>
  <si>
    <t>MFG0377259</t>
  </si>
  <si>
    <t>MFG0375313</t>
  </si>
  <si>
    <t>MFG0375245</t>
  </si>
  <si>
    <t>MFG0375434</t>
  </si>
  <si>
    <t>MFG0377484</t>
  </si>
  <si>
    <t>MFG0377260</t>
  </si>
  <si>
    <t>MFG0375331</t>
  </si>
  <si>
    <t>MFG0377261</t>
  </si>
  <si>
    <t>MFG0376101</t>
  </si>
  <si>
    <t>MFG0373817</t>
  </si>
  <si>
    <t>MFG0373821</t>
  </si>
  <si>
    <t>MFG0378648</t>
  </si>
  <si>
    <t>MFG0379193</t>
  </si>
  <si>
    <t>MFG0379194</t>
  </si>
  <si>
    <t>MFG0375182</t>
  </si>
  <si>
    <t>MFG0375436</t>
  </si>
  <si>
    <t>MFG0379394</t>
  </si>
  <si>
    <t>MFG0379398</t>
  </si>
  <si>
    <t>MFG0379386</t>
  </si>
  <si>
    <t>MFG0379380</t>
  </si>
  <si>
    <t>MFG0379392</t>
  </si>
  <si>
    <t>MFG0379396</t>
  </si>
  <si>
    <t>MFG0379400</t>
  </si>
  <si>
    <t>MFG0379384</t>
  </si>
  <si>
    <t>MFG0379382</t>
  </si>
  <si>
    <t>MFG0379388</t>
  </si>
  <si>
    <t>MFG0379378</t>
  </si>
  <si>
    <t>MFG0379390</t>
  </si>
  <si>
    <t>MFG0377200</t>
  </si>
  <si>
    <t>MFG0375150</t>
  </si>
  <si>
    <t>MFG0377201</t>
  </si>
  <si>
    <t>MFG0375279</t>
  </si>
  <si>
    <t>MFG0373822</t>
  </si>
  <si>
    <t>MFG0377202</t>
  </si>
  <si>
    <t>MFG0373818</t>
  </si>
  <si>
    <t>MFG0378655</t>
  </si>
  <si>
    <t>MFG0378617</t>
  </si>
  <si>
    <t>MFG0377262</t>
  </si>
  <si>
    <t>MFG0375296</t>
  </si>
  <si>
    <t>MFG0375207</t>
  </si>
  <si>
    <t>MFG0378663</t>
  </si>
  <si>
    <t>MFG0375229</t>
  </si>
  <si>
    <t>MFG0377263</t>
  </si>
  <si>
    <t>MFG0375314</t>
  </si>
  <si>
    <t>MFG0378434</t>
  </si>
  <si>
    <t>MFG0375438</t>
  </si>
  <si>
    <t>MFG0373824</t>
  </si>
  <si>
    <t>MFG0377264</t>
  </si>
  <si>
    <t>MFG0376102</t>
  </si>
  <si>
    <t>MFG0373828</t>
  </si>
  <si>
    <t>MFG0375437</t>
  </si>
  <si>
    <t>MFG0377203</t>
  </si>
  <si>
    <t>MFG0377204</t>
  </si>
  <si>
    <t>MFG0375151</t>
  </si>
  <si>
    <t>MFG0375439</t>
  </si>
  <si>
    <t>MFG0378631</t>
  </si>
  <si>
    <t>MFG0378628</t>
  </si>
  <si>
    <t>MFG0375183</t>
  </si>
  <si>
    <t>MFG0373829</t>
  </si>
  <si>
    <t>MFG0373825</t>
  </si>
  <si>
    <t>MFG0375262</t>
  </si>
  <si>
    <t>MFG0377205</t>
  </si>
  <si>
    <t>MFG0375246</t>
  </si>
  <si>
    <t>MFG0375385</t>
  </si>
  <si>
    <t>MFG0378436</t>
  </si>
  <si>
    <t>MFG0378664</t>
  </si>
  <si>
    <t>MFG0378645</t>
  </si>
  <si>
    <t>MFG0378635</t>
  </si>
  <si>
    <t>MFG0375208</t>
  </si>
  <si>
    <t>MFG0375332</t>
  </si>
  <si>
    <t>MFG0377265</t>
  </si>
  <si>
    <t>MFG0378612</t>
  </si>
  <si>
    <t>MFG0377266</t>
  </si>
  <si>
    <t>MFG0375152</t>
  </si>
  <si>
    <t>MFG0375230</t>
  </si>
  <si>
    <t>MFG0375441</t>
  </si>
  <si>
    <t>MFG0375184</t>
  </si>
  <si>
    <t>MFG0373826</t>
  </si>
  <si>
    <t>MFG0373830</t>
  </si>
  <si>
    <t>MFG0377267</t>
  </si>
  <si>
    <t>MFG0375440</t>
  </si>
  <si>
    <t>MFG0379402</t>
  </si>
  <si>
    <t>MFG0379395</t>
  </si>
  <si>
    <t>MFG0379385</t>
  </si>
  <si>
    <t>MFG0379387</t>
  </si>
  <si>
    <t>MFG0379393</t>
  </si>
  <si>
    <t>MFG0379399</t>
  </si>
  <si>
    <t>MFG0379397</t>
  </si>
  <si>
    <t>MFG0379391</t>
  </si>
  <si>
    <t>MFG0379383</t>
  </si>
  <si>
    <t>MFG0379389</t>
  </si>
  <si>
    <t>MFG0379401</t>
  </si>
  <si>
    <t>MFG0379379</t>
  </si>
  <si>
    <t>MFG0377206</t>
  </si>
  <si>
    <t>MFG0375297</t>
  </si>
  <si>
    <t>MFG0378625</t>
  </si>
  <si>
    <t>MFG0377207</t>
  </si>
  <si>
    <t>MFG0375280</t>
  </si>
  <si>
    <t>MFG0375344</t>
  </si>
  <si>
    <t>MFG0375185</t>
  </si>
  <si>
    <t>MFG0377208</t>
  </si>
  <si>
    <t>MFG0376103</t>
  </si>
  <si>
    <t>MFG0373831</t>
  </si>
  <si>
    <t>MFG0373827</t>
  </si>
  <si>
    <t>MFG0375367</t>
  </si>
  <si>
    <t>MFG0378652</t>
  </si>
  <si>
    <t>MFG0378622</t>
  </si>
  <si>
    <t>MFG0378641</t>
  </si>
  <si>
    <t>MFG0375186</t>
  </si>
  <si>
    <t>MFG0377268</t>
  </si>
  <si>
    <t>MFG0375356</t>
  </si>
  <si>
    <t>MFG0375247</t>
  </si>
  <si>
    <t>MFG0375153</t>
  </si>
  <si>
    <t>MFG0377269</t>
  </si>
  <si>
    <t>MFG0377270</t>
  </si>
  <si>
    <t>MFG0375315</t>
  </si>
  <si>
    <t>MFG0378638</t>
  </si>
  <si>
    <t>MFG0377209</t>
  </si>
  <si>
    <t>MFG0375263</t>
  </si>
  <si>
    <t>MFG0373836</t>
  </si>
  <si>
    <t>MFG0373832</t>
  </si>
  <si>
    <t>MFG0375442</t>
  </si>
  <si>
    <t>MFG0375231</t>
  </si>
  <si>
    <t>MFG0377210</t>
  </si>
  <si>
    <t>MFG0375154</t>
  </si>
  <si>
    <t>MFG0377211</t>
  </si>
  <si>
    <t>MFG0375209</t>
  </si>
  <si>
    <t>MFG0375443</t>
  </si>
  <si>
    <t>MFG0375386</t>
  </si>
  <si>
    <t>MFG0378618</t>
  </si>
  <si>
    <t>MFG0375445</t>
  </si>
  <si>
    <t>MFG0375333</t>
  </si>
  <si>
    <t>MFG0377271</t>
  </si>
  <si>
    <t>MFG0375232</t>
  </si>
  <si>
    <t>MFG0377272</t>
  </si>
  <si>
    <t>MFG0375281</t>
  </si>
  <si>
    <t>MFG0373833</t>
  </si>
  <si>
    <t>MFG0373837</t>
  </si>
  <si>
    <t>MFG0375187</t>
  </si>
  <si>
    <t>MFG0376104</t>
  </si>
  <si>
    <t>MFG0375444</t>
  </si>
  <si>
    <t>MFG0377273</t>
  </si>
  <si>
    <t>MFG0375387</t>
  </si>
  <si>
    <t>MFG0377212</t>
  </si>
  <si>
    <t>MFG0375298</t>
  </si>
  <si>
    <t>MFG0375248</t>
  </si>
  <si>
    <t>MFG0377213</t>
  </si>
  <si>
    <t>MFG0375155</t>
  </si>
  <si>
    <t>MFG0375345</t>
  </si>
  <si>
    <t>MFG0378653</t>
  </si>
  <si>
    <t>MFG0378649</t>
  </si>
  <si>
    <t>MFG0373834</t>
  </si>
  <si>
    <t>MFG0375188</t>
  </si>
  <si>
    <t>MFG0377214</t>
  </si>
  <si>
    <t>MFG0373838</t>
  </si>
  <si>
    <t>MFG0375357</t>
  </si>
  <si>
    <t>MFG0378665</t>
  </si>
  <si>
    <t>MFG0378656</t>
  </si>
  <si>
    <t>MFG0377274</t>
  </si>
  <si>
    <t>MFG0375264</t>
  </si>
  <si>
    <t>MFG0378659</t>
  </si>
  <si>
    <t>MFG0375233</t>
  </si>
  <si>
    <t>MFG0375368</t>
  </si>
  <si>
    <t>MFG0373835</t>
  </si>
  <si>
    <t>MFG0375316</t>
  </si>
  <si>
    <t>MFG0377275</t>
  </si>
  <si>
    <t>MFG0373839</t>
  </si>
  <si>
    <t>MFG0377276</t>
  </si>
  <si>
    <t>MFG0376105</t>
  </si>
  <si>
    <t>MFG0375210</t>
  </si>
  <si>
    <t>MFG0377215</t>
  </si>
  <si>
    <t>MFG0375189</t>
  </si>
  <si>
    <t>MFG0373844</t>
  </si>
  <si>
    <t>MFG0375446</t>
  </si>
  <si>
    <t>MFG0373840</t>
  </si>
  <si>
    <t>MFG0378613</t>
  </si>
  <si>
    <t>MFG0377216</t>
  </si>
  <si>
    <t>MFG0376106</t>
  </si>
  <si>
    <t>MFG0377217</t>
  </si>
  <si>
    <t>MFG0375447</t>
  </si>
  <si>
    <t>MFG0378646</t>
  </si>
  <si>
    <t>MFG0378666</t>
  </si>
  <si>
    <t>MFG0378629</t>
  </si>
  <si>
    <t>MFG0377277</t>
  </si>
  <si>
    <t>MFG0375388</t>
  </si>
  <si>
    <t>MFG0377278</t>
  </si>
  <si>
    <t>MFG0373845</t>
  </si>
  <si>
    <t>MFG0373841</t>
  </si>
  <si>
    <t>MFG0375448</t>
  </si>
  <si>
    <t>MFG0378626</t>
  </si>
  <si>
    <t>MFG0378632</t>
  </si>
  <si>
    <t>MFG0375211</t>
  </si>
  <si>
    <t>MFG0377279</t>
  </si>
  <si>
    <t>MFG0378642</t>
  </si>
  <si>
    <t>MFG0375190</t>
  </si>
  <si>
    <t>MFG0378639</t>
  </si>
  <si>
    <t>MFG0377218</t>
  </si>
  <si>
    <t>MFG0378623</t>
  </si>
  <si>
    <t>MFG0377219</t>
  </si>
  <si>
    <t>MFG0373846</t>
  </si>
  <si>
    <t>MFG0373842</t>
  </si>
  <si>
    <t>MFG0377220</t>
  </si>
  <si>
    <t>MFG0373843</t>
  </si>
  <si>
    <t>MFG0373847</t>
  </si>
  <si>
    <t>MFG0373522</t>
  </si>
  <si>
    <t>MFG0373852</t>
  </si>
  <si>
    <t>MFG0373848</t>
  </si>
  <si>
    <t>MFG0373849</t>
  </si>
  <si>
    <t>MFG0373853</t>
  </si>
  <si>
    <t>MFG0376061</t>
  </si>
  <si>
    <t>MFG0373850</t>
  </si>
  <si>
    <t>MFG0373854</t>
  </si>
  <si>
    <t>MFG0373851</t>
  </si>
  <si>
    <t>MFG0373855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</si>
</sst>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00_);_(* \(#,##0.000\);_(* &quot;-&quot;???_);_(@_)"/>
    <numFmt numFmtId="167" formatCode="#,##0_);\(#,##0\);\–_);&quot;–&quot;_)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6"/>
      <name val="Arial"/>
      <family val="2"/>
    </font>
    <font>
      <b/>
      <sz val="10"/>
      <name val="Arial"/>
      <family val="2"/>
    </font>
    <font>
      <b/>
      <sz val="16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5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FFFFF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i/>
      <sz val="1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0"/>
      <color theme="1"/>
      <name val="Arial"/>
      <family val="2"/>
    </font>
    <font>
      <i/>
      <sz val="10"/>
      <color rgb="FFFF0000"/>
      <name val="Aptos Narrow"/>
      <family val="2"/>
      <scheme val="minor"/>
    </font>
    <font>
      <sz val="10"/>
      <color rgb="FFFF0000"/>
      <name val="Arial"/>
      <family val="2"/>
    </font>
    <font>
      <i/>
      <sz val="11"/>
      <color theme="8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4092B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64">
    <xf numFmtId="0" fontId="0" fillId="0" borderId="0" xfId="0"/>
    <xf numFmtId="17" fontId="4" fillId="2" borderId="1" xfId="0" applyNumberFormat="1" applyFont="1" applyFill="1" applyBorder="1" applyAlignment="1">
      <alignment horizontal="centerContinuous" vertical="center"/>
    </xf>
    <xf numFmtId="17" fontId="4" fillId="2" borderId="2" xfId="0" applyNumberFormat="1" applyFont="1" applyFill="1" applyBorder="1" applyAlignment="1">
      <alignment horizontal="centerContinuous" vertical="center"/>
    </xf>
    <xf numFmtId="17" fontId="4" fillId="2" borderId="3" xfId="0" applyNumberFormat="1" applyFont="1" applyFill="1" applyBorder="1" applyAlignment="1">
      <alignment horizontal="centerContinuous" vertical="center"/>
    </xf>
    <xf numFmtId="164" fontId="6" fillId="3" borderId="4" xfId="1" applyNumberFormat="1" applyFont="1" applyFill="1" applyBorder="1"/>
    <xf numFmtId="164" fontId="6" fillId="3" borderId="0" xfId="1" applyNumberFormat="1" applyFont="1" applyFill="1" applyBorder="1"/>
    <xf numFmtId="164" fontId="6" fillId="3" borderId="8" xfId="1" applyNumberFormat="1" applyFont="1" applyFill="1" applyBorder="1"/>
    <xf numFmtId="0" fontId="7" fillId="0" borderId="4" xfId="0" applyFont="1" applyBorder="1"/>
    <xf numFmtId="164" fontId="7" fillId="0" borderId="4" xfId="1" applyNumberFormat="1" applyFont="1" applyBorder="1"/>
    <xf numFmtId="164" fontId="7" fillId="0" borderId="0" xfId="1" applyNumberFormat="1" applyFont="1" applyBorder="1"/>
    <xf numFmtId="164" fontId="7" fillId="0" borderId="8" xfId="1" applyNumberFormat="1" applyFont="1" applyBorder="1"/>
    <xf numFmtId="164" fontId="1" fillId="4" borderId="0" xfId="1" applyNumberFormat="1" applyFont="1" applyFill="1" applyBorder="1"/>
    <xf numFmtId="0" fontId="8" fillId="0" borderId="4" xfId="0" applyFont="1" applyBorder="1"/>
    <xf numFmtId="164" fontId="2" fillId="3" borderId="4" xfId="1" applyNumberFormat="1" applyFont="1" applyFill="1" applyBorder="1"/>
    <xf numFmtId="164" fontId="2" fillId="3" borderId="0" xfId="1" applyNumberFormat="1" applyFont="1" applyFill="1" applyBorder="1"/>
    <xf numFmtId="164" fontId="2" fillId="3" borderId="8" xfId="1" applyNumberFormat="1" applyFont="1" applyFill="1" applyBorder="1"/>
    <xf numFmtId="164" fontId="10" fillId="5" borderId="4" xfId="1" applyNumberFormat="1" applyFont="1" applyFill="1" applyBorder="1"/>
    <xf numFmtId="164" fontId="10" fillId="5" borderId="0" xfId="1" applyNumberFormat="1" applyFont="1" applyFill="1" applyBorder="1"/>
    <xf numFmtId="164" fontId="10" fillId="5" borderId="8" xfId="1" applyNumberFormat="1" applyFont="1" applyFill="1" applyBorder="1"/>
    <xf numFmtId="0" fontId="11" fillId="0" borderId="0" xfId="0" applyFont="1"/>
    <xf numFmtId="164" fontId="10" fillId="5" borderId="5" xfId="1" applyNumberFormat="1" applyFont="1" applyFill="1" applyBorder="1"/>
    <xf numFmtId="164" fontId="10" fillId="5" borderId="6" xfId="1" applyNumberFormat="1" applyFont="1" applyFill="1" applyBorder="1"/>
    <xf numFmtId="164" fontId="10" fillId="5" borderId="7" xfId="1" applyNumberFormat="1" applyFont="1" applyFill="1" applyBorder="1"/>
    <xf numFmtId="164" fontId="6" fillId="3" borderId="1" xfId="1" applyNumberFormat="1" applyFont="1" applyFill="1" applyBorder="1"/>
    <xf numFmtId="164" fontId="6" fillId="3" borderId="2" xfId="1" applyNumberFormat="1" applyFont="1" applyFill="1" applyBorder="1"/>
    <xf numFmtId="164" fontId="6" fillId="3" borderId="3" xfId="1" applyNumberFormat="1" applyFont="1" applyFill="1" applyBorder="1"/>
    <xf numFmtId="0" fontId="12" fillId="0" borderId="0" xfId="0" applyFont="1"/>
    <xf numFmtId="0" fontId="6" fillId="0" borderId="0" xfId="0" applyFont="1"/>
    <xf numFmtId="0" fontId="7" fillId="0" borderId="0" xfId="0" applyFont="1"/>
    <xf numFmtId="0" fontId="7" fillId="0" borderId="0" xfId="0" quotePrefix="1" applyFont="1"/>
    <xf numFmtId="0" fontId="7" fillId="0" borderId="0" xfId="0" applyFont="1" applyProtection="1">
      <protection locked="0"/>
    </xf>
    <xf numFmtId="0" fontId="7" fillId="0" borderId="0" xfId="0" applyFont="1" applyAlignment="1">
      <alignment horizontal="left" indent="1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17" fontId="4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17" fontId="4" fillId="2" borderId="0" xfId="0" applyNumberFormat="1" applyFont="1" applyFill="1" applyAlignment="1">
      <alignment horizontal="centerContinuous" vertical="center"/>
    </xf>
    <xf numFmtId="17" fontId="4" fillId="2" borderId="0" xfId="0" applyNumberFormat="1" applyFont="1" applyFill="1" applyAlignment="1">
      <alignment horizontal="center" vertical="center"/>
    </xf>
    <xf numFmtId="17" fontId="4" fillId="2" borderId="4" xfId="0" applyNumberFormat="1" applyFont="1" applyFill="1" applyBorder="1" applyAlignment="1">
      <alignment horizontal="center" vertical="center"/>
    </xf>
    <xf numFmtId="17" fontId="4" fillId="2" borderId="4" xfId="0" applyNumberFormat="1" applyFont="1" applyFill="1" applyBorder="1" applyAlignment="1">
      <alignment horizontal="centerContinuous" vertical="center"/>
    </xf>
    <xf numFmtId="17" fontId="4" fillId="2" borderId="8" xfId="0" applyNumberFormat="1" applyFont="1" applyFill="1" applyBorder="1" applyAlignment="1">
      <alignment horizontal="centerContinuous" vertical="center"/>
    </xf>
    <xf numFmtId="0" fontId="5" fillId="3" borderId="0" xfId="0" applyFont="1" applyFill="1"/>
    <xf numFmtId="0" fontId="7" fillId="4" borderId="0" xfId="0" applyFont="1" applyFill="1"/>
    <xf numFmtId="0" fontId="8" fillId="0" borderId="0" xfId="0" applyFont="1"/>
    <xf numFmtId="0" fontId="9" fillId="5" borderId="0" xfId="0" applyFont="1" applyFill="1"/>
    <xf numFmtId="0" fontId="0" fillId="0" borderId="4" xfId="0" applyBorder="1"/>
    <xf numFmtId="0" fontId="0" fillId="0" borderId="8" xfId="0" applyBorder="1"/>
    <xf numFmtId="0" fontId="2" fillId="0" borderId="4" xfId="0" applyFont="1" applyBorder="1"/>
    <xf numFmtId="0" fontId="2" fillId="0" borderId="0" xfId="0" applyFont="1"/>
    <xf numFmtId="164" fontId="0" fillId="0" borderId="0" xfId="1" applyNumberFormat="1" applyFont="1"/>
    <xf numFmtId="0" fontId="2" fillId="0" borderId="9" xfId="0" applyFont="1" applyBorder="1" applyAlignment="1">
      <alignment horizontal="center"/>
    </xf>
    <xf numFmtId="0" fontId="0" fillId="0" borderId="2" xfId="0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0" fillId="0" borderId="6" xfId="0" applyBorder="1"/>
    <xf numFmtId="164" fontId="0" fillId="0" borderId="6" xfId="1" applyNumberFormat="1" applyFont="1" applyBorder="1"/>
    <xf numFmtId="164" fontId="0" fillId="0" borderId="7" xfId="1" applyNumberFormat="1" applyFont="1" applyBorder="1"/>
    <xf numFmtId="0" fontId="0" fillId="0" borderId="9" xfId="0" applyBorder="1"/>
    <xf numFmtId="165" fontId="0" fillId="0" borderId="0" xfId="2" applyNumberFormat="1" applyFont="1"/>
    <xf numFmtId="164" fontId="0" fillId="0" borderId="0" xfId="0" applyNumberFormat="1"/>
    <xf numFmtId="9" fontId="0" fillId="0" borderId="0" xfId="2" applyFont="1"/>
    <xf numFmtId="17" fontId="4" fillId="2" borderId="5" xfId="0" applyNumberFormat="1" applyFont="1" applyFill="1" applyBorder="1" applyAlignment="1">
      <alignment horizontal="centerContinuous" vertical="center"/>
    </xf>
    <xf numFmtId="17" fontId="4" fillId="2" borderId="6" xfId="0" applyNumberFormat="1" applyFont="1" applyFill="1" applyBorder="1" applyAlignment="1">
      <alignment horizontal="centerContinuous" vertical="center"/>
    </xf>
    <xf numFmtId="17" fontId="4" fillId="2" borderId="7" xfId="0" applyNumberFormat="1" applyFont="1" applyFill="1" applyBorder="1" applyAlignment="1">
      <alignment horizontal="centerContinuous" vertical="center"/>
    </xf>
    <xf numFmtId="0" fontId="0" fillId="0" borderId="0" xfId="0" applyAlignment="1">
      <alignment horizontal="center" vertical="distributed"/>
    </xf>
    <xf numFmtId="164" fontId="0" fillId="0" borderId="0" xfId="1" applyNumberFormat="1" applyFont="1" applyBorder="1"/>
    <xf numFmtId="164" fontId="14" fillId="0" borderId="0" xfId="1" applyNumberFormat="1" applyFont="1" applyBorder="1"/>
    <xf numFmtId="164" fontId="7" fillId="0" borderId="0" xfId="1" applyNumberFormat="1" applyFont="1" applyFill="1" applyBorder="1"/>
    <xf numFmtId="164" fontId="2" fillId="3" borderId="13" xfId="1" applyNumberFormat="1" applyFont="1" applyFill="1" applyBorder="1"/>
    <xf numFmtId="164" fontId="2" fillId="3" borderId="14" xfId="1" applyNumberFormat="1" applyFont="1" applyFill="1" applyBorder="1"/>
    <xf numFmtId="164" fontId="2" fillId="3" borderId="15" xfId="1" applyNumberFormat="1" applyFont="1" applyFill="1" applyBorder="1"/>
    <xf numFmtId="43" fontId="0" fillId="0" borderId="0" xfId="0" applyNumberFormat="1"/>
    <xf numFmtId="164" fontId="7" fillId="0" borderId="4" xfId="1" applyNumberFormat="1" applyFont="1" applyFill="1" applyBorder="1"/>
    <xf numFmtId="14" fontId="15" fillId="7" borderId="0" xfId="0" applyNumberFormat="1" applyFont="1" applyFill="1" applyAlignment="1">
      <alignment horizontal="left" wrapText="1"/>
    </xf>
    <xf numFmtId="0" fontId="15" fillId="7" borderId="0" xfId="0" applyFont="1" applyFill="1" applyAlignment="1">
      <alignment horizontal="left" wrapText="1"/>
    </xf>
    <xf numFmtId="0" fontId="15" fillId="7" borderId="0" xfId="0" applyFont="1" applyFill="1" applyAlignment="1">
      <alignment horizontal="center" wrapText="1"/>
    </xf>
    <xf numFmtId="3" fontId="15" fillId="7" borderId="0" xfId="0" applyNumberFormat="1" applyFont="1" applyFill="1" applyAlignment="1">
      <alignment horizontal="center" wrapText="1"/>
    </xf>
    <xf numFmtId="3" fontId="15" fillId="7" borderId="0" xfId="0" applyNumberFormat="1" applyFont="1" applyFill="1" applyAlignment="1">
      <alignment horizontal="left" wrapText="1"/>
    </xf>
    <xf numFmtId="1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3" fontId="12" fillId="0" borderId="0" xfId="0" applyNumberFormat="1" applyFont="1"/>
    <xf numFmtId="3" fontId="1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1" applyNumberFormat="1" applyFont="1" applyProtection="1">
      <protection locked="0"/>
    </xf>
    <xf numFmtId="164" fontId="18" fillId="3" borderId="0" xfId="1" applyNumberFormat="1" applyFont="1" applyFill="1" applyBorder="1"/>
    <xf numFmtId="164" fontId="6" fillId="3" borderId="16" xfId="1" applyNumberFormat="1" applyFont="1" applyFill="1" applyBorder="1"/>
    <xf numFmtId="14" fontId="0" fillId="0" borderId="0" xfId="0" applyNumberFormat="1"/>
    <xf numFmtId="164" fontId="8" fillId="0" borderId="0" xfId="1" applyNumberFormat="1" applyFont="1" applyBorder="1"/>
    <xf numFmtId="0" fontId="19" fillId="0" borderId="0" xfId="0" applyFont="1"/>
    <xf numFmtId="164" fontId="8" fillId="0" borderId="4" xfId="1" applyNumberFormat="1" applyFont="1" applyBorder="1"/>
    <xf numFmtId="164" fontId="8" fillId="0" borderId="8" xfId="1" applyNumberFormat="1" applyFont="1" applyBorder="1"/>
    <xf numFmtId="9" fontId="20" fillId="0" borderId="0" xfId="2" applyFont="1"/>
    <xf numFmtId="0" fontId="0" fillId="0" borderId="0" xfId="0" quotePrefix="1"/>
    <xf numFmtId="164" fontId="21" fillId="0" borderId="0" xfId="1" applyNumberFormat="1" applyFont="1" applyBorder="1"/>
    <xf numFmtId="164" fontId="21" fillId="0" borderId="16" xfId="1" applyNumberFormat="1" applyFont="1" applyBorder="1"/>
    <xf numFmtId="0" fontId="22" fillId="0" borderId="0" xfId="0" applyFont="1"/>
    <xf numFmtId="0" fontId="21" fillId="0" borderId="4" xfId="0" applyFont="1" applyBorder="1" applyAlignment="1">
      <alignment horizontal="left" indent="1"/>
    </xf>
    <xf numFmtId="0" fontId="6" fillId="0" borderId="4" xfId="0" applyFont="1" applyBorder="1"/>
    <xf numFmtId="164" fontId="6" fillId="0" borderId="0" xfId="1" applyNumberFormat="1" applyFont="1" applyBorder="1"/>
    <xf numFmtId="164" fontId="6" fillId="0" borderId="16" xfId="1" applyNumberFormat="1" applyFont="1" applyBorder="1"/>
    <xf numFmtId="164" fontId="2" fillId="0" borderId="0" xfId="1" applyNumberFormat="1" applyFont="1"/>
    <xf numFmtId="164" fontId="18" fillId="0" borderId="0" xfId="1" applyNumberFormat="1" applyFont="1" applyBorder="1"/>
    <xf numFmtId="164" fontId="18" fillId="0" borderId="0" xfId="1" applyNumberFormat="1" applyFont="1"/>
    <xf numFmtId="0" fontId="14" fillId="0" borderId="0" xfId="0" applyFont="1"/>
    <xf numFmtId="164" fontId="14" fillId="0" borderId="4" xfId="1" applyNumberFormat="1" applyFont="1" applyBorder="1"/>
    <xf numFmtId="164" fontId="14" fillId="0" borderId="8" xfId="1" applyNumberFormat="1" applyFont="1" applyBorder="1"/>
    <xf numFmtId="164" fontId="2" fillId="3" borderId="17" xfId="1" applyNumberFormat="1" applyFont="1" applyFill="1" applyBorder="1"/>
    <xf numFmtId="164" fontId="10" fillId="5" borderId="17" xfId="1" applyNumberFormat="1" applyFont="1" applyFill="1" applyBorder="1"/>
    <xf numFmtId="17" fontId="4" fillId="2" borderId="2" xfId="0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164" fontId="0" fillId="0" borderId="5" xfId="1" applyNumberFormat="1" applyFont="1" applyBorder="1"/>
    <xf numFmtId="164" fontId="7" fillId="8" borderId="0" xfId="1" applyNumberFormat="1" applyFont="1" applyFill="1" applyBorder="1"/>
    <xf numFmtId="164" fontId="1" fillId="0" borderId="0" xfId="1" applyNumberFormat="1" applyFont="1" applyBorder="1"/>
    <xf numFmtId="0" fontId="0" fillId="0" borderId="17" xfId="0" applyBorder="1"/>
    <xf numFmtId="164" fontId="26" fillId="0" borderId="0" xfId="1" applyNumberFormat="1" applyFont="1" applyBorder="1"/>
    <xf numFmtId="0" fontId="2" fillId="0" borderId="0" xfId="0" applyFont="1" applyAlignment="1">
      <alignment horizontal="center"/>
    </xf>
    <xf numFmtId="164" fontId="0" fillId="9" borderId="0" xfId="1" applyNumberFormat="1" applyFont="1" applyFill="1"/>
    <xf numFmtId="164" fontId="6" fillId="3" borderId="17" xfId="1" applyNumberFormat="1" applyFont="1" applyFill="1" applyBorder="1"/>
    <xf numFmtId="14" fontId="12" fillId="0" borderId="0" xfId="0" applyNumberFormat="1" applyFont="1"/>
    <xf numFmtId="166" fontId="0" fillId="0" borderId="0" xfId="0" applyNumberFormat="1" applyProtection="1">
      <protection locked="0"/>
    </xf>
    <xf numFmtId="38" fontId="2" fillId="0" borderId="0" xfId="0" applyNumberFormat="1" applyFont="1" applyAlignment="1">
      <alignment horizontal="center"/>
    </xf>
    <xf numFmtId="38" fontId="19" fillId="0" borderId="18" xfId="1" applyNumberFormat="1" applyFont="1" applyBorder="1"/>
    <xf numFmtId="38" fontId="19" fillId="0" borderId="19" xfId="1" applyNumberFormat="1" applyFont="1" applyBorder="1"/>
    <xf numFmtId="38" fontId="19" fillId="0" borderId="20" xfId="1" applyNumberFormat="1" applyFont="1" applyBorder="1"/>
    <xf numFmtId="167" fontId="27" fillId="0" borderId="0" xfId="0" applyNumberFormat="1" applyFont="1"/>
    <xf numFmtId="9" fontId="0" fillId="10" borderId="0" xfId="2" applyFont="1" applyFill="1"/>
    <xf numFmtId="17" fontId="4" fillId="2" borderId="17" xfId="0" applyNumberFormat="1" applyFont="1" applyFill="1" applyBorder="1" applyAlignment="1">
      <alignment horizontal="centerContinuous" vertical="center"/>
    </xf>
    <xf numFmtId="17" fontId="25" fillId="2" borderId="17" xfId="0" applyNumberFormat="1" applyFont="1" applyFill="1" applyBorder="1" applyAlignment="1">
      <alignment horizontal="center" vertical="center"/>
    </xf>
    <xf numFmtId="164" fontId="7" fillId="0" borderId="17" xfId="1" applyNumberFormat="1" applyFont="1" applyBorder="1"/>
    <xf numFmtId="164" fontId="8" fillId="0" borderId="17" xfId="1" applyNumberFormat="1" applyFont="1" applyBorder="1"/>
    <xf numFmtId="164" fontId="1" fillId="0" borderId="17" xfId="1" applyNumberFormat="1" applyFont="1" applyBorder="1"/>
    <xf numFmtId="0" fontId="12" fillId="8" borderId="0" xfId="0" applyFont="1" applyFill="1" applyAlignment="1">
      <alignment horizontal="center"/>
    </xf>
    <xf numFmtId="17" fontId="4" fillId="2" borderId="17" xfId="0" applyNumberFormat="1" applyFont="1" applyFill="1" applyBorder="1" applyAlignment="1">
      <alignment horizontal="center" vertical="center"/>
    </xf>
    <xf numFmtId="164" fontId="0" fillId="0" borderId="17" xfId="0" applyNumberFormat="1" applyBorder="1"/>
    <xf numFmtId="17" fontId="4" fillId="2" borderId="19" xfId="0" applyNumberFormat="1" applyFont="1" applyFill="1" applyBorder="1" applyAlignment="1">
      <alignment horizontal="centerContinuous" vertical="center"/>
    </xf>
    <xf numFmtId="17" fontId="4" fillId="2" borderId="19" xfId="0" applyNumberFormat="1" applyFont="1" applyFill="1" applyBorder="1" applyAlignment="1">
      <alignment horizontal="center" vertical="center"/>
    </xf>
    <xf numFmtId="164" fontId="6" fillId="3" borderId="19" xfId="1" applyNumberFormat="1" applyFont="1" applyFill="1" applyBorder="1"/>
    <xf numFmtId="164" fontId="7" fillId="0" borderId="19" xfId="1" applyNumberFormat="1" applyFont="1" applyBorder="1"/>
    <xf numFmtId="164" fontId="8" fillId="0" borderId="19" xfId="1" applyNumberFormat="1" applyFont="1" applyBorder="1"/>
    <xf numFmtId="164" fontId="1" fillId="0" borderId="19" xfId="1" applyNumberFormat="1" applyFont="1" applyBorder="1"/>
    <xf numFmtId="164" fontId="2" fillId="3" borderId="19" xfId="1" applyNumberFormat="1" applyFont="1" applyFill="1" applyBorder="1"/>
    <xf numFmtId="164" fontId="10" fillId="5" borderId="19" xfId="1" applyNumberFormat="1" applyFont="1" applyFill="1" applyBorder="1"/>
    <xf numFmtId="0" fontId="0" fillId="0" borderId="19" xfId="0" applyBorder="1"/>
    <xf numFmtId="43" fontId="0" fillId="0" borderId="0" xfId="1" applyFont="1"/>
    <xf numFmtId="164" fontId="6" fillId="0" borderId="19" xfId="1" applyNumberFormat="1" applyFont="1" applyBorder="1"/>
    <xf numFmtId="164" fontId="21" fillId="0" borderId="19" xfId="1" applyNumberFormat="1" applyFont="1" applyBorder="1"/>
    <xf numFmtId="164" fontId="2" fillId="0" borderId="17" xfId="1" applyNumberFormat="1" applyFont="1" applyBorder="1"/>
    <xf numFmtId="164" fontId="21" fillId="0" borderId="17" xfId="1" applyNumberFormat="1" applyFont="1" applyBorder="1"/>
    <xf numFmtId="164" fontId="6" fillId="0" borderId="17" xfId="1" applyNumberFormat="1" applyFont="1" applyBorder="1"/>
    <xf numFmtId="0" fontId="0" fillId="0" borderId="0" xfId="0" applyAlignment="1">
      <alignment wrapText="1"/>
    </xf>
    <xf numFmtId="164" fontId="0" fillId="0" borderId="21" xfId="0" applyNumberFormat="1" applyBorder="1"/>
    <xf numFmtId="164" fontId="0" fillId="0" borderId="22" xfId="0" applyNumberFormat="1" applyBorder="1"/>
    <xf numFmtId="164" fontId="0" fillId="0" borderId="23" xfId="0" applyNumberFormat="1" applyBorder="1"/>
    <xf numFmtId="0" fontId="0" fillId="8" borderId="0" xfId="0" applyFill="1"/>
    <xf numFmtId="0" fontId="13" fillId="6" borderId="0" xfId="0" quotePrefix="1" applyFont="1" applyFill="1"/>
    <xf numFmtId="164" fontId="0" fillId="0" borderId="2" xfId="1" applyNumberFormat="1" applyFont="1" applyFill="1" applyBorder="1"/>
    <xf numFmtId="0" fontId="7" fillId="11" borderId="0" xfId="0" applyFont="1" applyFill="1"/>
    <xf numFmtId="0" fontId="0" fillId="11" borderId="0" xfId="0" applyFill="1"/>
    <xf numFmtId="164" fontId="7" fillId="11" borderId="0" xfId="1" applyNumberFormat="1" applyFont="1" applyFill="1" applyBorder="1"/>
    <xf numFmtId="3" fontId="12" fillId="11" borderId="0" xfId="0" applyNumberFormat="1" applyFont="1" applyFill="1" applyAlignment="1">
      <alignment horizontal="right"/>
    </xf>
    <xf numFmtId="164" fontId="8" fillId="0" borderId="0" xfId="1" applyNumberFormat="1" applyFont="1" applyFill="1" applyBorder="1"/>
    <xf numFmtId="164" fontId="7" fillId="0" borderId="17" xfId="1" applyNumberFormat="1" applyFont="1" applyFill="1" applyBorder="1"/>
    <xf numFmtId="164" fontId="7" fillId="0" borderId="19" xfId="1" applyNumberFormat="1" applyFont="1" applyFill="1" applyBorder="1"/>
    <xf numFmtId="164" fontId="14" fillId="0" borderId="0" xfId="1" applyNumberFormat="1" applyFont="1" applyFill="1" applyBorder="1"/>
    <xf numFmtId="164" fontId="7" fillId="0" borderId="8" xfId="1" applyNumberFormat="1" applyFont="1" applyFill="1" applyBorder="1"/>
    <xf numFmtId="164" fontId="24" fillId="0" borderId="0" xfId="1" applyNumberFormat="1" applyFont="1" applyFill="1" applyBorder="1"/>
    <xf numFmtId="164" fontId="2" fillId="0" borderId="19" xfId="1" applyNumberFormat="1" applyFont="1" applyBorder="1"/>
    <xf numFmtId="17" fontId="4" fillId="2" borderId="16" xfId="0" applyNumberFormat="1" applyFont="1" applyFill="1" applyBorder="1" applyAlignment="1">
      <alignment horizontal="centerContinuous" vertical="center"/>
    </xf>
    <xf numFmtId="17" fontId="4" fillId="2" borderId="16" xfId="0" applyNumberFormat="1" applyFont="1" applyFill="1" applyBorder="1" applyAlignment="1">
      <alignment horizontal="center" vertical="center"/>
    </xf>
    <xf numFmtId="164" fontId="2" fillId="0" borderId="16" xfId="1" applyNumberFormat="1" applyFont="1" applyBorder="1"/>
    <xf numFmtId="164" fontId="2" fillId="4" borderId="0" xfId="1" applyNumberFormat="1" applyFont="1" applyFill="1" applyBorder="1"/>
    <xf numFmtId="164" fontId="1" fillId="0" borderId="0" xfId="1" applyNumberFormat="1" applyFont="1" applyFill="1" applyBorder="1"/>
    <xf numFmtId="0" fontId="2" fillId="2" borderId="0" xfId="0" applyFont="1" applyFill="1" applyAlignment="1">
      <alignment horizontal="center"/>
    </xf>
    <xf numFmtId="164" fontId="6" fillId="0" borderId="0" xfId="1" applyNumberFormat="1" applyFont="1"/>
    <xf numFmtId="164" fontId="2" fillId="0" borderId="0" xfId="0" applyNumberFormat="1" applyFont="1"/>
    <xf numFmtId="0" fontId="12" fillId="0" borderId="4" xfId="0" applyFont="1" applyBorder="1" applyAlignment="1">
      <alignment horizontal="right"/>
    </xf>
    <xf numFmtId="0" fontId="7" fillId="8" borderId="0" xfId="0" applyFont="1" applyFill="1"/>
    <xf numFmtId="17" fontId="4" fillId="2" borderId="24" xfId="0" applyNumberFormat="1" applyFont="1" applyFill="1" applyBorder="1" applyAlignment="1">
      <alignment horizontal="centerContinuous" vertical="center"/>
    </xf>
    <xf numFmtId="17" fontId="4" fillId="2" borderId="25" xfId="0" applyNumberFormat="1" applyFont="1" applyFill="1" applyBorder="1" applyAlignment="1">
      <alignment horizontal="centerContinuous" vertical="center"/>
    </xf>
    <xf numFmtId="17" fontId="4" fillId="2" borderId="26" xfId="0" applyNumberFormat="1" applyFont="1" applyFill="1" applyBorder="1" applyAlignment="1">
      <alignment horizontal="centerContinuous" vertical="center"/>
    </xf>
    <xf numFmtId="17" fontId="4" fillId="2" borderId="9" xfId="0" applyNumberFormat="1" applyFont="1" applyFill="1" applyBorder="1" applyAlignment="1">
      <alignment horizontal="center" vertical="center"/>
    </xf>
    <xf numFmtId="164" fontId="7" fillId="0" borderId="16" xfId="1" applyNumberFormat="1" applyFont="1" applyBorder="1"/>
    <xf numFmtId="164" fontId="8" fillId="0" borderId="16" xfId="1" applyNumberFormat="1" applyFont="1" applyBorder="1"/>
    <xf numFmtId="0" fontId="0" fillId="0" borderId="16" xfId="0" applyBorder="1"/>
    <xf numFmtId="164" fontId="10" fillId="5" borderId="27" xfId="1" applyNumberFormat="1" applyFont="1" applyFill="1" applyBorder="1"/>
    <xf numFmtId="164" fontId="10" fillId="5" borderId="9" xfId="1" applyNumberFormat="1" applyFont="1" applyFill="1" applyBorder="1"/>
    <xf numFmtId="164" fontId="10" fillId="5" borderId="28" xfId="1" applyNumberFormat="1" applyFont="1" applyFill="1" applyBorder="1"/>
    <xf numFmtId="0" fontId="28" fillId="0" borderId="0" xfId="0" applyFont="1"/>
    <xf numFmtId="164" fontId="29" fillId="0" borderId="0" xfId="1" applyNumberFormat="1" applyFont="1" applyBorder="1"/>
    <xf numFmtId="164" fontId="14" fillId="0" borderId="10" xfId="1" applyNumberFormat="1" applyFont="1" applyBorder="1"/>
    <xf numFmtId="164" fontId="29" fillId="0" borderId="11" xfId="1" applyNumberFormat="1" applyFont="1" applyBorder="1"/>
    <xf numFmtId="164" fontId="14" fillId="0" borderId="11" xfId="1" applyNumberFormat="1" applyFont="1" applyBorder="1"/>
    <xf numFmtId="164" fontId="29" fillId="0" borderId="12" xfId="1" applyNumberFormat="1" applyFont="1" applyBorder="1"/>
    <xf numFmtId="164" fontId="0" fillId="0" borderId="1" xfId="0" applyNumberFormat="1" applyBorder="1"/>
    <xf numFmtId="0" fontId="0" fillId="0" borderId="3" xfId="0" applyBorder="1"/>
    <xf numFmtId="164" fontId="0" fillId="0" borderId="4" xfId="0" applyNumberFormat="1" applyBorder="1"/>
    <xf numFmtId="164" fontId="0" fillId="0" borderId="5" xfId="0" applyNumberFormat="1" applyBorder="1"/>
    <xf numFmtId="0" fontId="0" fillId="0" borderId="7" xfId="0" applyBorder="1"/>
    <xf numFmtId="164" fontId="29" fillId="0" borderId="0" xfId="1" applyNumberFormat="1" applyFont="1" applyFill="1" applyBorder="1"/>
    <xf numFmtId="0" fontId="0" fillId="0" borderId="1" xfId="0" applyBorder="1"/>
    <xf numFmtId="164" fontId="0" fillId="0" borderId="0" xfId="1" applyNumberFormat="1" applyFont="1" applyFill="1" applyBorder="1"/>
    <xf numFmtId="0" fontId="5" fillId="0" borderId="0" xfId="0" applyFont="1"/>
    <xf numFmtId="0" fontId="9" fillId="0" borderId="0" xfId="0" applyFont="1"/>
    <xf numFmtId="0" fontId="3" fillId="2" borderId="13" xfId="0" applyFont="1" applyFill="1" applyBorder="1" applyAlignment="1">
      <alignment horizontal="center"/>
    </xf>
    <xf numFmtId="17" fontId="4" fillId="2" borderId="29" xfId="0" applyNumberFormat="1" applyFont="1" applyFill="1" applyBorder="1" applyAlignment="1">
      <alignment horizontal="center" vertical="center"/>
    </xf>
    <xf numFmtId="164" fontId="6" fillId="3" borderId="11" xfId="1" applyNumberFormat="1" applyFont="1" applyFill="1" applyBorder="1"/>
    <xf numFmtId="164" fontId="6" fillId="0" borderId="11" xfId="1" applyNumberFormat="1" applyFont="1" applyFill="1" applyBorder="1"/>
    <xf numFmtId="164" fontId="10" fillId="5" borderId="11" xfId="1" applyNumberFormat="1" applyFont="1" applyFill="1" applyBorder="1"/>
    <xf numFmtId="164" fontId="10" fillId="0" borderId="11" xfId="1" applyNumberFormat="1" applyFont="1" applyFill="1" applyBorder="1"/>
    <xf numFmtId="164" fontId="6" fillId="3" borderId="12" xfId="1" applyNumberFormat="1" applyFont="1" applyFill="1" applyBorder="1"/>
    <xf numFmtId="17" fontId="4" fillId="2" borderId="29" xfId="0" applyNumberFormat="1" applyFont="1" applyFill="1" applyBorder="1" applyAlignment="1">
      <alignment horizontal="center" vertical="center" wrapText="1"/>
    </xf>
    <xf numFmtId="164" fontId="0" fillId="0" borderId="11" xfId="0" applyNumberFormat="1" applyBorder="1"/>
    <xf numFmtId="0" fontId="6" fillId="4" borderId="0" xfId="0" applyFont="1" applyFill="1"/>
    <xf numFmtId="164" fontId="2" fillId="4" borderId="17" xfId="1" applyNumberFormat="1" applyFont="1" applyFill="1" applyBorder="1"/>
    <xf numFmtId="164" fontId="2" fillId="4" borderId="16" xfId="1" applyNumberFormat="1" applyFont="1" applyFill="1" applyBorder="1"/>
    <xf numFmtId="164" fontId="2" fillId="12" borderId="0" xfId="1" applyNumberFormat="1" applyFont="1" applyFill="1" applyBorder="1"/>
    <xf numFmtId="164" fontId="2" fillId="4" borderId="4" xfId="1" applyNumberFormat="1" applyFont="1" applyFill="1" applyBorder="1"/>
    <xf numFmtId="164" fontId="2" fillId="4" borderId="8" xfId="1" applyNumberFormat="1" applyFont="1" applyFill="1" applyBorder="1"/>
    <xf numFmtId="164" fontId="6" fillId="4" borderId="0" xfId="1" applyNumberFormat="1" applyFont="1" applyFill="1" applyBorder="1"/>
    <xf numFmtId="164" fontId="2" fillId="4" borderId="19" xfId="1" applyNumberFormat="1" applyFont="1" applyFill="1" applyBorder="1"/>
    <xf numFmtId="164" fontId="6" fillId="4" borderId="17" xfId="1" applyNumberFormat="1" applyFont="1" applyFill="1" applyBorder="1"/>
    <xf numFmtId="164" fontId="6" fillId="4" borderId="19" xfId="1" applyNumberFormat="1" applyFont="1" applyFill="1" applyBorder="1"/>
    <xf numFmtId="164" fontId="6" fillId="4" borderId="16" xfId="1" applyNumberFormat="1" applyFont="1" applyFill="1" applyBorder="1"/>
    <xf numFmtId="0" fontId="3" fillId="2" borderId="1" xfId="0" applyFont="1" applyFill="1" applyBorder="1" applyAlignment="1">
      <alignment horizontal="center"/>
    </xf>
    <xf numFmtId="0" fontId="5" fillId="3" borderId="4" xfId="0" applyFont="1" applyFill="1" applyBorder="1"/>
    <xf numFmtId="0" fontId="5" fillId="0" borderId="4" xfId="0" applyFont="1" applyBorder="1"/>
    <xf numFmtId="0" fontId="9" fillId="5" borderId="4" xfId="0" applyFont="1" applyFill="1" applyBorder="1"/>
    <xf numFmtId="0" fontId="9" fillId="0" borderId="4" xfId="0" applyFont="1" applyBorder="1"/>
    <xf numFmtId="0" fontId="5" fillId="3" borderId="5" xfId="0" applyFont="1" applyFill="1" applyBorder="1"/>
    <xf numFmtId="9" fontId="6" fillId="3" borderId="11" xfId="2" applyFont="1" applyFill="1" applyBorder="1"/>
    <xf numFmtId="9" fontId="0" fillId="0" borderId="11" xfId="2" applyFont="1" applyBorder="1"/>
    <xf numFmtId="9" fontId="10" fillId="5" borderId="11" xfId="2" applyFont="1" applyFill="1" applyBorder="1"/>
    <xf numFmtId="9" fontId="10" fillId="0" borderId="11" xfId="2" applyFont="1" applyFill="1" applyBorder="1"/>
    <xf numFmtId="9" fontId="6" fillId="3" borderId="12" xfId="2" applyFont="1" applyFill="1" applyBorder="1"/>
    <xf numFmtId="17" fontId="4" fillId="2" borderId="30" xfId="0" applyNumberFormat="1" applyFont="1" applyFill="1" applyBorder="1" applyAlignment="1">
      <alignment horizontal="center" vertical="center"/>
    </xf>
    <xf numFmtId="17" fontId="4" fillId="2" borderId="31" xfId="0" applyNumberFormat="1" applyFont="1" applyFill="1" applyBorder="1" applyAlignment="1">
      <alignment horizontal="center" vertical="center"/>
    </xf>
    <xf numFmtId="164" fontId="8" fillId="0" borderId="4" xfId="1" applyNumberFormat="1" applyFont="1" applyFill="1" applyBorder="1"/>
    <xf numFmtId="164" fontId="8" fillId="0" borderId="8" xfId="1" applyNumberFormat="1" applyFont="1" applyFill="1" applyBorder="1"/>
    <xf numFmtId="164" fontId="2" fillId="12" borderId="4" xfId="1" applyNumberFormat="1" applyFont="1" applyFill="1" applyBorder="1"/>
    <xf numFmtId="164" fontId="2" fillId="12" borderId="8" xfId="1" applyNumberFormat="1" applyFont="1" applyFill="1" applyBorder="1"/>
    <xf numFmtId="164" fontId="18" fillId="3" borderId="5" xfId="1" applyNumberFormat="1" applyFont="1" applyFill="1" applyBorder="1"/>
    <xf numFmtId="164" fontId="18" fillId="3" borderId="6" xfId="1" applyNumberFormat="1" applyFont="1" applyFill="1" applyBorder="1"/>
    <xf numFmtId="164" fontId="18" fillId="3" borderId="7" xfId="1" applyNumberFormat="1" applyFont="1" applyFill="1" applyBorder="1"/>
    <xf numFmtId="17" fontId="4" fillId="2" borderId="0" xfId="0" applyNumberFormat="1" applyFont="1" applyFill="1" applyAlignment="1">
      <alignment horizontal="center" vertical="center" wrapText="1"/>
    </xf>
    <xf numFmtId="164" fontId="1" fillId="0" borderId="4" xfId="1" applyNumberFormat="1" applyFont="1" applyBorder="1"/>
    <xf numFmtId="164" fontId="18" fillId="3" borderId="4" xfId="1" applyNumberFormat="1" applyFont="1" applyFill="1" applyBorder="1"/>
    <xf numFmtId="164" fontId="14" fillId="0" borderId="4" xfId="1" applyNumberFormat="1" applyFont="1" applyFill="1" applyBorder="1"/>
    <xf numFmtId="17" fontId="4" fillId="2" borderId="1" xfId="0" applyNumberFormat="1" applyFont="1" applyFill="1" applyBorder="1" applyAlignment="1">
      <alignment horizontal="center" vertical="center"/>
    </xf>
    <xf numFmtId="17" fontId="4" fillId="2" borderId="2" xfId="0" applyNumberFormat="1" applyFont="1" applyFill="1" applyBorder="1" applyAlignment="1">
      <alignment horizontal="center" vertical="center"/>
    </xf>
    <xf numFmtId="17" fontId="4" fillId="2" borderId="3" xfId="0" applyNumberFormat="1" applyFont="1" applyFill="1" applyBorder="1" applyAlignment="1">
      <alignment horizontal="center" vertical="center"/>
    </xf>
    <xf numFmtId="17" fontId="4" fillId="2" borderId="17" xfId="0" applyNumberFormat="1" applyFont="1" applyFill="1" applyBorder="1" applyAlignment="1">
      <alignment horizontal="center" vertical="center"/>
    </xf>
    <xf numFmtId="17" fontId="4" fillId="2" borderId="0" xfId="0" applyNumberFormat="1" applyFont="1" applyFill="1" applyAlignment="1">
      <alignment horizontal="center" vertical="center"/>
    </xf>
    <xf numFmtId="0" fontId="0" fillId="0" borderId="10" xfId="0" applyBorder="1" applyAlignment="1">
      <alignment horizontal="center" vertical="distributed"/>
    </xf>
    <xf numFmtId="0" fontId="0" fillId="0" borderId="11" xfId="0" applyBorder="1" applyAlignment="1">
      <alignment horizontal="center" vertical="distributed"/>
    </xf>
    <xf numFmtId="0" fontId="0" fillId="0" borderId="12" xfId="0" applyBorder="1" applyAlignment="1">
      <alignment horizontal="center" vertical="distributed"/>
    </xf>
    <xf numFmtId="0" fontId="2" fillId="2" borderId="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Comma" xfId="1" builtinId="3"/>
    <cellStyle name="Normal" xfId="0" builtinId="0"/>
    <cellStyle name="Normal 39 2" xfId="3" xr:uid="{743F9FB7-743D-4A7B-A299-4C5009905A19}"/>
    <cellStyle name="Percent" xfId="2" builtinId="5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eriqualpackaging1-my.sharepoint.com/personal/tlutterbach_ameriqual_com/Documents/MRE%20Snapshot%2012.18.xlsm" TargetMode="External"/><Relationship Id="rId1" Type="http://schemas.openxmlformats.org/officeDocument/2006/relationships/externalLinkPath" Target="https://ameriqualpackaging1-my.sharepoint.com/personal/tlutterbach_ameriqual_com/Documents/Desktop/S&amp;OP/MRE%20Snapshot%2012.18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&amp;OP\2025\Nov%202025\Zam-SORDER7.xlsm" TargetMode="External"/><Relationship Id="rId1" Type="http://schemas.openxmlformats.org/officeDocument/2006/relationships/externalLinkPath" Target="file:///T:\S&amp;OP\2025\Nov%202025\Zam-SORDER7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FP&amp;A\Christine\S&amp;OP\Sept%202025\S&amp;OP%20Summary%20-%20Fds%20-%20Sept.xlsx" TargetMode="External"/><Relationship Id="rId1" Type="http://schemas.openxmlformats.org/officeDocument/2006/relationships/externalLinkPath" Target="file:///T:\FP&amp;A\Christine\S&amp;OP\Sept%202025\S&amp;OP%20Summary%20-%20Fds%20-%20Sep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&amp;OP\2025\October%202025\S&amp;OP%20Summary%20-%20FDS%20October.xlsx" TargetMode="External"/><Relationship Id="rId1" Type="http://schemas.openxmlformats.org/officeDocument/2006/relationships/externalLinkPath" Target="file:///T:\S&amp;OP\2025\October%202025\S&amp;OP%20Summary%20-%20FDS%20Octo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terPage"/>
      <sheetName val="Filler"/>
      <sheetName val="RNC by SKU"/>
      <sheetName val="Fds Pivot"/>
      <sheetName val="FD1WorkOrders"/>
      <sheetName val="Schedule"/>
      <sheetName val="FD1OpenOrders 10"/>
      <sheetName val="FD1OpenOrders 20"/>
      <sheetName val="FD1OpenOrders 30"/>
      <sheetName val="FD1OpenOrders 40"/>
      <sheetName val="Fd lookups"/>
      <sheetName val="Sales"/>
      <sheetName val="Sales - pivot"/>
      <sheetName val="TP Pivot"/>
      <sheetName val="TP1WorkOrders"/>
      <sheetName val="TP1OpenOrders"/>
      <sheetName val="Tp lookups"/>
      <sheetName val="Pk Pivot"/>
      <sheetName val="PK1WorkOrders"/>
      <sheetName val="PK1OpenOrders"/>
      <sheetName val="Pk lookups"/>
    </sheetNames>
    <sheetDataSet>
      <sheetData sheetId="0" refreshError="1"/>
      <sheetData sheetId="1" refreshError="1"/>
      <sheetData sheetId="2" refreshError="1">
        <row r="77">
          <cell r="U77">
            <v>0</v>
          </cell>
        </row>
        <row r="81">
          <cell r="U81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terPage"/>
      <sheetName val="Fds Pivot"/>
      <sheetName val="FD1WorkOrders"/>
      <sheetName val="FD1OpenOrders"/>
      <sheetName val="Fd lookups"/>
      <sheetName val="TP Pivot"/>
      <sheetName val="TP1WorkOrders"/>
      <sheetName val="TP1OpenOrders"/>
      <sheetName val="Tp lookups"/>
      <sheetName val="Pk Pivot"/>
      <sheetName val="PK1WorkOrders"/>
      <sheetName val="PK1OpenOrders"/>
      <sheetName val="Pk lookups"/>
    </sheetNames>
    <sheetDataSet>
      <sheetData sheetId="0"/>
      <sheetData sheetId="1">
        <row r="3">
          <cell r="A3" t="str">
            <v>Category</v>
          </cell>
          <cell r="G3" t="str">
            <v xml:space="preserve"> 12/31/2025</v>
          </cell>
        </row>
        <row r="4">
          <cell r="A4" t="str">
            <v xml:space="preserve">            (85120) FLB SPAGHETTI W/MEAT SAUCE</v>
          </cell>
          <cell r="G4"/>
        </row>
        <row r="5">
          <cell r="G5">
            <v>-180000</v>
          </cell>
        </row>
        <row r="6">
          <cell r="A6" t="str">
            <v xml:space="preserve">            (85120) FLB SPAGHETTI W/MEAT SAUCE Total</v>
          </cell>
          <cell r="G6">
            <v>-180000</v>
          </cell>
        </row>
        <row r="7">
          <cell r="A7" t="str">
            <v xml:space="preserve">            (85125) FLB PASTA &amp; VEG</v>
          </cell>
          <cell r="G7"/>
        </row>
        <row r="8">
          <cell r="G8"/>
        </row>
        <row r="9">
          <cell r="G9"/>
        </row>
        <row r="10">
          <cell r="A10" t="str">
            <v xml:space="preserve">            (85125) FLB PASTA &amp; VEG Total</v>
          </cell>
          <cell r="G10"/>
        </row>
        <row r="11">
          <cell r="A11" t="str">
            <v xml:space="preserve">            (85127) FLB SOUTHW CHIX W/RICE &amp; BEANS</v>
          </cell>
          <cell r="G11"/>
        </row>
        <row r="12">
          <cell r="G12"/>
        </row>
        <row r="13">
          <cell r="A13" t="str">
            <v xml:space="preserve">            (85127) FLB SOUTHW CHIX W/RICE &amp; BEANS Total</v>
          </cell>
          <cell r="G13"/>
        </row>
        <row r="14">
          <cell r="A14" t="str">
            <v xml:space="preserve">            (85129) FLB/DT WHITE CHICKEN</v>
          </cell>
          <cell r="G14">
            <v>-200004</v>
          </cell>
        </row>
        <row r="15">
          <cell r="A15" t="str">
            <v xml:space="preserve">            (85129) FLB/DT WHITE CHICKEN Total</v>
          </cell>
          <cell r="G15">
            <v>-200004</v>
          </cell>
        </row>
        <row r="16">
          <cell r="A16" t="str">
            <v xml:space="preserve">            (85131) FLB CHICKEN SALAD</v>
          </cell>
          <cell r="G16"/>
        </row>
        <row r="17">
          <cell r="A17" t="str">
            <v xml:space="preserve">            (85131) FLB CHICKEN SALAD Total</v>
          </cell>
          <cell r="G17"/>
        </row>
        <row r="18">
          <cell r="A18" t="str">
            <v xml:space="preserve">            (85134) FLB CHICKEN</v>
          </cell>
          <cell r="G18"/>
        </row>
        <row r="19">
          <cell r="G19"/>
        </row>
        <row r="20">
          <cell r="A20" t="str">
            <v xml:space="preserve">            (85134) FLB CHICKEN Total</v>
          </cell>
          <cell r="G20"/>
        </row>
        <row r="21">
          <cell r="A21" t="str">
            <v xml:space="preserve">            (85138) FLB BUFFALO STYLE CHICKEN</v>
          </cell>
          <cell r="G21">
            <v>-174000</v>
          </cell>
        </row>
        <row r="22">
          <cell r="G22"/>
        </row>
        <row r="23">
          <cell r="A23" t="str">
            <v xml:space="preserve">            (85138) FLB BUFFALO STYLE CHICKEN Total</v>
          </cell>
          <cell r="G23">
            <v>-174000</v>
          </cell>
        </row>
        <row r="24">
          <cell r="A24" t="str">
            <v xml:space="preserve">            (85200) TOMATO SOUP</v>
          </cell>
          <cell r="G24"/>
        </row>
        <row r="25">
          <cell r="A25" t="str">
            <v xml:space="preserve">            (85200) TOMATO SOUP Total</v>
          </cell>
          <cell r="G25"/>
        </row>
        <row r="26">
          <cell r="A26" t="str">
            <v xml:space="preserve">            (85201) CREAM OF MUSHROOM SOUP</v>
          </cell>
          <cell r="G26">
            <v>-150000</v>
          </cell>
        </row>
        <row r="27">
          <cell r="A27" t="str">
            <v xml:space="preserve">            (85201) CREAM OF MUSHROOM SOUP Total</v>
          </cell>
          <cell r="G27">
            <v>-150000</v>
          </cell>
        </row>
        <row r="28">
          <cell r="A28" t="str">
            <v xml:space="preserve">            (85202) VEGETABLE SOUP</v>
          </cell>
          <cell r="G28"/>
        </row>
        <row r="29">
          <cell r="A29" t="str">
            <v xml:space="preserve">            (85202) VEGETABLE SOUP Total</v>
          </cell>
          <cell r="G29"/>
        </row>
        <row r="30">
          <cell r="A30" t="str">
            <v xml:space="preserve">            (85203) CHICKEN NOODLE SOUP</v>
          </cell>
          <cell r="G30">
            <v>-300000</v>
          </cell>
        </row>
        <row r="31">
          <cell r="A31" t="str">
            <v xml:space="preserve">            (85203) CHICKEN NOODLE SOUP Total</v>
          </cell>
          <cell r="G31">
            <v>-300000</v>
          </cell>
        </row>
        <row r="32">
          <cell r="A32" t="str">
            <v xml:space="preserve">            (85204) FLB CHICKEN</v>
          </cell>
          <cell r="G32"/>
        </row>
        <row r="33">
          <cell r="A33" t="str">
            <v xml:space="preserve">            (85204) FLB CHICKEN Total</v>
          </cell>
          <cell r="G33"/>
        </row>
        <row r="34">
          <cell r="A34" t="str">
            <v xml:space="preserve">            (85205) FLB WHITE CHICKEN CHILI</v>
          </cell>
          <cell r="G34">
            <v>-180000</v>
          </cell>
        </row>
        <row r="35">
          <cell r="G35"/>
        </row>
        <row r="36">
          <cell r="G36"/>
        </row>
        <row r="37">
          <cell r="A37" t="str">
            <v xml:space="preserve">            (85205) FLB WHITE CHICKEN CHILI Total</v>
          </cell>
          <cell r="G37">
            <v>-180000</v>
          </cell>
        </row>
        <row r="38">
          <cell r="A38" t="str">
            <v xml:space="preserve">            (85206) FLB CHICKEN SALAD</v>
          </cell>
          <cell r="G38"/>
        </row>
        <row r="39">
          <cell r="G39"/>
        </row>
        <row r="40">
          <cell r="A40" t="str">
            <v xml:space="preserve">            (85206) FLB CHICKEN SALAD Total</v>
          </cell>
          <cell r="G40"/>
        </row>
        <row r="41">
          <cell r="A41" t="str">
            <v xml:space="preserve">            (85207) FLB BBQ  WHITE CHICKEN</v>
          </cell>
          <cell r="G41"/>
        </row>
        <row r="42">
          <cell r="G42">
            <v>-174000</v>
          </cell>
        </row>
        <row r="43">
          <cell r="A43" t="str">
            <v xml:space="preserve">            (85207) FLB BBQ  WHITE CHICKEN Total</v>
          </cell>
          <cell r="G43">
            <v>-174000</v>
          </cell>
        </row>
        <row r="44">
          <cell r="A44" t="str">
            <v xml:space="preserve">            (85208) FLB BBQ SAUCE W/BEEF</v>
          </cell>
          <cell r="G44">
            <v>0</v>
          </cell>
        </row>
        <row r="45">
          <cell r="A45" t="str">
            <v xml:space="preserve">            (85208) FLB BBQ SAUCE W/BEEF Total</v>
          </cell>
          <cell r="G45">
            <v>0</v>
          </cell>
        </row>
        <row r="46">
          <cell r="A46" t="str">
            <v xml:space="preserve">            (85210) FLB CHILI W/BEANS</v>
          </cell>
          <cell r="G46"/>
        </row>
        <row r="47">
          <cell r="A47" t="str">
            <v xml:space="preserve">            (85210) FLB CHILI W/BEANS Total</v>
          </cell>
          <cell r="G47"/>
        </row>
        <row r="48">
          <cell r="A48" t="str">
            <v xml:space="preserve">            (85211) FLB BEEF STEW</v>
          </cell>
          <cell r="G48"/>
        </row>
        <row r="49">
          <cell r="G49"/>
        </row>
        <row r="50">
          <cell r="A50" t="str">
            <v xml:space="preserve">            (85211) FLB BEEF STEW Total</v>
          </cell>
          <cell r="G50"/>
        </row>
        <row r="51">
          <cell r="A51" t="str">
            <v xml:space="preserve">            (85212) FLB SPAGHETTI IN TOMATO SAUCE</v>
          </cell>
          <cell r="G51"/>
        </row>
        <row r="52">
          <cell r="G52"/>
        </row>
        <row r="53">
          <cell r="A53" t="str">
            <v xml:space="preserve">            (85212) FLB SPAGHETTI IN TOMATO SAUCE Total</v>
          </cell>
          <cell r="G53"/>
        </row>
        <row r="54">
          <cell r="A54" t="str">
            <v xml:space="preserve">            (85213) FLB CHEESY MAC</v>
          </cell>
          <cell r="G54"/>
        </row>
        <row r="55">
          <cell r="G55"/>
        </row>
        <row r="56">
          <cell r="A56" t="str">
            <v xml:space="preserve">            (85213) FLB CHEESY MAC Total</v>
          </cell>
          <cell r="G56"/>
        </row>
        <row r="57">
          <cell r="A57" t="str">
            <v xml:space="preserve">            (85215) FLB CHILI W/BEANS</v>
          </cell>
          <cell r="G57"/>
        </row>
        <row r="58">
          <cell r="G58"/>
        </row>
        <row r="59">
          <cell r="G59"/>
        </row>
        <row r="60">
          <cell r="A60" t="str">
            <v xml:space="preserve">            (85215) FLB CHILI W/BEANS Total</v>
          </cell>
          <cell r="G60"/>
        </row>
        <row r="61">
          <cell r="A61" t="str">
            <v xml:space="preserve">            (85216) FLB PIZZA MAC</v>
          </cell>
          <cell r="G61"/>
        </row>
        <row r="62">
          <cell r="G62"/>
        </row>
        <row r="63">
          <cell r="A63" t="str">
            <v xml:space="preserve">            (85216) FLB PIZZA MAC Total</v>
          </cell>
          <cell r="G63"/>
        </row>
        <row r="64">
          <cell r="A64" t="str">
            <v xml:space="preserve">            (85217) FLB BEEF STEW</v>
          </cell>
          <cell r="G64"/>
        </row>
        <row r="65">
          <cell r="A65" t="str">
            <v xml:space="preserve">            (85217) FLB BEEF STEW Total</v>
          </cell>
          <cell r="G65"/>
        </row>
        <row r="66">
          <cell r="A66" t="str">
            <v xml:space="preserve">            (85218) POLLO ASADO 4.5 OZ</v>
          </cell>
          <cell r="G66"/>
        </row>
        <row r="67">
          <cell r="G67"/>
        </row>
        <row r="68">
          <cell r="G68"/>
        </row>
        <row r="69">
          <cell r="A69" t="str">
            <v xml:space="preserve">            (85218) POLLO ASADO 4.5 OZ Total</v>
          </cell>
          <cell r="G69"/>
        </row>
        <row r="70">
          <cell r="A70" t="str">
            <v xml:space="preserve">            (85220) FLB CHILI W/BEANS</v>
          </cell>
          <cell r="G70"/>
        </row>
        <row r="71">
          <cell r="A71" t="str">
            <v xml:space="preserve">            (85220) FLB CHILI W/BEANS Total</v>
          </cell>
          <cell r="G71"/>
        </row>
        <row r="72">
          <cell r="A72" t="str">
            <v xml:space="preserve">            (98000-24) FLB CHEESY MAC 7.0 TRAY</v>
          </cell>
          <cell r="G72"/>
        </row>
        <row r="73">
          <cell r="A73" t="str">
            <v xml:space="preserve">            (98000-24) FLB CHEESY MAC 7.0 TRAY Total</v>
          </cell>
          <cell r="G73"/>
        </row>
        <row r="74">
          <cell r="A74" t="str">
            <v xml:space="preserve">            (98002-24) FLB PASTA FAGIOLI 7.0 OZ. TRAY</v>
          </cell>
          <cell r="G74"/>
        </row>
        <row r="75">
          <cell r="A75" t="str">
            <v xml:space="preserve">            (98002-24) FLB PASTA FAGIOLI 7.0 OZ. TRAY Total</v>
          </cell>
          <cell r="G75"/>
        </row>
        <row r="76">
          <cell r="A76" t="str">
            <v xml:space="preserve">            (98003-24) FLB SOUTHWEST BOWL 7.0 TRAY</v>
          </cell>
          <cell r="G76"/>
        </row>
        <row r="77">
          <cell r="A77" t="str">
            <v xml:space="preserve">            (98003-24) FLB SOUTHWEST BOWL 7.0 TRAY Total</v>
          </cell>
          <cell r="G77"/>
        </row>
        <row r="78">
          <cell r="A78" t="str">
            <v>Beechnut</v>
          </cell>
          <cell r="G78">
            <v>0</v>
          </cell>
        </row>
        <row r="79">
          <cell r="A79" t="str">
            <v>Beechnut Total</v>
          </cell>
          <cell r="G79">
            <v>0</v>
          </cell>
        </row>
        <row r="80">
          <cell r="A80" t="str">
            <v>INST</v>
          </cell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A84" t="str">
            <v>INST Total</v>
          </cell>
          <cell r="G84">
            <v>0</v>
          </cell>
        </row>
        <row r="85">
          <cell r="A85" t="str">
            <v>MRE Base</v>
          </cell>
          <cell r="G85">
            <v>-125664</v>
          </cell>
        </row>
        <row r="86">
          <cell r="G86">
            <v>-123360</v>
          </cell>
        </row>
        <row r="87">
          <cell r="G87">
            <v>-112832</v>
          </cell>
        </row>
        <row r="88">
          <cell r="G88">
            <v>-127392</v>
          </cell>
        </row>
        <row r="89">
          <cell r="G89">
            <v>0</v>
          </cell>
        </row>
        <row r="90">
          <cell r="G90">
            <v>-93696</v>
          </cell>
        </row>
        <row r="91">
          <cell r="G91">
            <v>0</v>
          </cell>
        </row>
        <row r="92">
          <cell r="G92">
            <v>-125664</v>
          </cell>
        </row>
        <row r="93">
          <cell r="G93">
            <v>0</v>
          </cell>
        </row>
        <row r="94">
          <cell r="G94">
            <v>-92832</v>
          </cell>
        </row>
        <row r="95">
          <cell r="G95">
            <v>-124800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-149800</v>
          </cell>
        </row>
        <row r="99">
          <cell r="G99">
            <v>-108672</v>
          </cell>
        </row>
        <row r="100">
          <cell r="G100">
            <v>-108672</v>
          </cell>
        </row>
        <row r="101">
          <cell r="G101">
            <v>-108672</v>
          </cell>
        </row>
        <row r="102">
          <cell r="A102" t="str">
            <v>MRE Base Total</v>
          </cell>
          <cell r="G102">
            <v>-1402056</v>
          </cell>
        </row>
        <row r="103">
          <cell r="A103" t="str">
            <v>Poly Trays</v>
          </cell>
          <cell r="G103">
            <v>-5000</v>
          </cell>
        </row>
        <row r="104">
          <cell r="G104">
            <v>-13147</v>
          </cell>
        </row>
        <row r="105">
          <cell r="G105">
            <v>-5000</v>
          </cell>
        </row>
        <row r="106">
          <cell r="G106">
            <v>-14739</v>
          </cell>
        </row>
        <row r="107">
          <cell r="G107">
            <v>-5000</v>
          </cell>
        </row>
        <row r="108">
          <cell r="A108" t="str">
            <v>Poly Trays Total</v>
          </cell>
          <cell r="G108">
            <v>-42886</v>
          </cell>
        </row>
        <row r="109">
          <cell r="A109" t="str">
            <v>Red Gold</v>
          </cell>
          <cell r="G109">
            <v>-3037500</v>
          </cell>
        </row>
        <row r="110">
          <cell r="G110">
            <v>0</v>
          </cell>
        </row>
        <row r="111">
          <cell r="A111" t="str">
            <v>Red Gold Total</v>
          </cell>
          <cell r="D111">
            <v>5339750</v>
          </cell>
          <cell r="E111">
            <v>-1216500</v>
          </cell>
          <cell r="F111">
            <v>-6682500</v>
          </cell>
          <cell r="G111">
            <v>-3037500</v>
          </cell>
        </row>
        <row r="112">
          <cell r="A112" t="str">
            <v>RNC Fruit</v>
          </cell>
          <cell r="G112">
            <v>-229040</v>
          </cell>
        </row>
        <row r="113">
          <cell r="G113">
            <v>-218400</v>
          </cell>
        </row>
        <row r="114">
          <cell r="G114">
            <v>-381920</v>
          </cell>
        </row>
        <row r="115">
          <cell r="A115" t="str">
            <v>RNC Fruit Total</v>
          </cell>
          <cell r="G115">
            <v>-829360</v>
          </cell>
        </row>
        <row r="116">
          <cell r="A116" t="str">
            <v>Scott Pet Cat</v>
          </cell>
          <cell r="G116">
            <v>0</v>
          </cell>
        </row>
        <row r="117">
          <cell r="G117">
            <v>0</v>
          </cell>
        </row>
        <row r="118">
          <cell r="A118" t="str">
            <v>Scott Pet Cat Total</v>
          </cell>
          <cell r="G118">
            <v>0</v>
          </cell>
        </row>
        <row r="119">
          <cell r="A119" t="str">
            <v>Serenity</v>
          </cell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A127" t="str">
            <v>Serenity Total</v>
          </cell>
          <cell r="G127">
            <v>0</v>
          </cell>
        </row>
        <row r="128">
          <cell r="A128" t="str">
            <v>Starkist Creations</v>
          </cell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A132" t="str">
            <v>Starkist Creations Total</v>
          </cell>
          <cell r="G132">
            <v>0</v>
          </cell>
        </row>
        <row r="133">
          <cell r="A133" t="str">
            <v>Starkist WHITE</v>
          </cell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A136" t="str">
            <v>Starkist WHITE Total</v>
          </cell>
          <cell r="G136">
            <v>0</v>
          </cell>
        </row>
        <row r="137">
          <cell r="A137" t="str">
            <v>UGR</v>
          </cell>
          <cell r="G137">
            <v>-24</v>
          </cell>
        </row>
        <row r="138">
          <cell r="G138">
            <v>-24</v>
          </cell>
        </row>
        <row r="139">
          <cell r="G139">
            <v>-72</v>
          </cell>
        </row>
        <row r="140">
          <cell r="G140">
            <v>-60</v>
          </cell>
        </row>
        <row r="141">
          <cell r="G141">
            <v>0</v>
          </cell>
        </row>
        <row r="142">
          <cell r="G142">
            <v>-36</v>
          </cell>
        </row>
        <row r="143">
          <cell r="G143">
            <v>-60</v>
          </cell>
        </row>
        <row r="144">
          <cell r="G144">
            <v>-72</v>
          </cell>
        </row>
        <row r="145">
          <cell r="G145">
            <v>-120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-72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-60</v>
          </cell>
        </row>
        <row r="176">
          <cell r="G176">
            <v>-24</v>
          </cell>
        </row>
        <row r="177">
          <cell r="G177">
            <v>-24</v>
          </cell>
        </row>
        <row r="178">
          <cell r="G178">
            <v>-36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A187" t="str">
            <v>UGR Total</v>
          </cell>
          <cell r="G187">
            <v>-684</v>
          </cell>
        </row>
        <row r="188">
          <cell r="A188" t="str">
            <v>USDA</v>
          </cell>
          <cell r="D188">
            <v>354048</v>
          </cell>
          <cell r="E188">
            <v>-168000</v>
          </cell>
          <cell r="F188">
            <v>-624000</v>
          </cell>
          <cell r="G188">
            <v>-96000</v>
          </cell>
        </row>
        <row r="189">
          <cell r="D189">
            <v>140867</v>
          </cell>
          <cell r="E189">
            <v>-78336</v>
          </cell>
          <cell r="F189">
            <v>-117504</v>
          </cell>
          <cell r="G189">
            <v>-78336</v>
          </cell>
        </row>
        <row r="190">
          <cell r="A190" t="str">
            <v>USDA Total</v>
          </cell>
          <cell r="G190">
            <v>-174336</v>
          </cell>
        </row>
        <row r="191">
          <cell r="A191" t="str">
            <v>Grand Total</v>
          </cell>
          <cell r="G191">
            <v>-6844826</v>
          </cell>
        </row>
        <row r="192">
          <cell r="G192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D7">
            <v>316524</v>
          </cell>
          <cell r="E7">
            <v>-32400</v>
          </cell>
          <cell r="F7">
            <v>-194400</v>
          </cell>
          <cell r="G7">
            <v>-97200</v>
          </cell>
        </row>
      </sheetData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Fds Units"/>
      <sheetName val="PK units"/>
      <sheetName val="Sheet1"/>
      <sheetName val="Lookup"/>
      <sheetName val="Prophix"/>
      <sheetName val="Schedule"/>
      <sheetName val="PK Sch"/>
    </sheetNames>
    <sheetDataSet>
      <sheetData sheetId="0"/>
      <sheetData sheetId="1">
        <row r="3">
          <cell r="O3">
            <v>2085000</v>
          </cell>
        </row>
        <row r="18">
          <cell r="O18">
            <v>1138080</v>
          </cell>
        </row>
        <row r="24">
          <cell r="O24">
            <v>2220012</v>
          </cell>
        </row>
        <row r="65">
          <cell r="O65">
            <v>2471612</v>
          </cell>
        </row>
        <row r="71">
          <cell r="O71">
            <v>2485056</v>
          </cell>
        </row>
      </sheetData>
      <sheetData sheetId="2">
        <row r="7">
          <cell r="J7">
            <v>680480</v>
          </cell>
        </row>
      </sheetData>
      <sheetData sheetId="3"/>
      <sheetData sheetId="4">
        <row r="2">
          <cell r="B2" t="str">
            <v>All</v>
          </cell>
        </row>
      </sheetData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Fds Units"/>
      <sheetName val="PK units"/>
      <sheetName val="Sheet1"/>
      <sheetName val="Lookup"/>
      <sheetName val="Prophix"/>
      <sheetName val="Schedule"/>
      <sheetName val="Sheet2"/>
      <sheetName val="PK Sch"/>
    </sheetNames>
    <sheetDataSet>
      <sheetData sheetId="0"/>
      <sheetData sheetId="1">
        <row r="3">
          <cell r="Q3">
            <v>2106492</v>
          </cell>
          <cell r="S3">
            <v>1341721</v>
          </cell>
        </row>
        <row r="18">
          <cell r="Q18">
            <v>995760</v>
          </cell>
          <cell r="S18">
            <v>579072</v>
          </cell>
        </row>
        <row r="24">
          <cell r="Q24">
            <v>1244568</v>
          </cell>
          <cell r="S24">
            <v>1358004</v>
          </cell>
        </row>
        <row r="65">
          <cell r="Q65">
            <v>2403612</v>
          </cell>
          <cell r="S65">
            <v>844008</v>
          </cell>
        </row>
        <row r="71">
          <cell r="Q71">
            <v>2002860</v>
          </cell>
          <cell r="S71">
            <v>3987183.8991999999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ne Williams" refreshedDate="45974.603137731479" createdVersion="8" refreshedVersion="8" minRefreshableVersion="3" recordCount="292" xr:uid="{6487E549-8EFE-437F-84BE-5817C8825E76}">
  <cacheSource type="worksheet">
    <worksheetSource ref="A1:L293" sheet="Schedule"/>
  </cacheSource>
  <cacheFields count="14">
    <cacheField name="Schedule Date" numFmtId="14">
      <sharedItems containsSemiMixedTypes="0" containsNonDate="0" containsDate="1" containsString="0" minDate="2025-11-03T00:00:00" maxDate="2025-12-31T00:00:00" count="42">
        <d v="2025-11-03T00:00:00"/>
        <d v="2025-11-04T00:00:00"/>
        <d v="2025-11-05T00:00:00"/>
        <d v="2025-11-06T00:00:00"/>
        <d v="2025-11-07T00:00:00"/>
        <d v="2025-11-08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0T00:00:00"/>
        <d v="2025-11-21T00:00:00"/>
        <d v="2025-11-22T00:00:00"/>
        <d v="2025-11-26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5T00:00:00"/>
        <d v="2025-12-29T00:00:00"/>
        <d v="2025-12-30T00:00:00"/>
      </sharedItems>
      <fieldGroup par="13"/>
    </cacheField>
    <cacheField name="Line" numFmtId="0">
      <sharedItems count="11">
        <s v="W2"/>
        <s v="Y4S/Y5"/>
        <s v="Y3NS"/>
        <s v="UGRA"/>
        <s v="S6/S7"/>
        <s v="J1"/>
        <s v="V3"/>
        <s v="W3"/>
        <s v="PT3"/>
        <s v="Y4N"/>
        <s v=" " u="1"/>
      </sharedItems>
    </cacheField>
    <cacheField name="MFG Num" numFmtId="0">
      <sharedItems/>
    </cacheField>
    <cacheField name="Item" numFmtId="0">
      <sharedItems/>
    </cacheField>
    <cacheField name="Description" numFmtId="0">
      <sharedItems/>
    </cacheField>
    <cacheField name="Qty" numFmtId="3">
      <sharedItems containsSemiMixedTypes="0" containsString="0" containsNumber="1" containsInteger="1" minValue="1" maxValue="105000"/>
    </cacheField>
    <cacheField name="   UOM" numFmtId="3">
      <sharedItems/>
    </cacheField>
    <cacheField name=" Qty (EA)" numFmtId="3">
      <sharedItems containsString="0" containsBlank="1" containsNumber="1" minValue="2" maxValue="625000"/>
    </cacheField>
    <cacheField name="Contract" numFmtId="0">
      <sharedItems/>
    </cacheField>
    <cacheField name="Lot" numFmtId="0">
      <sharedItems containsBlank="1" count="38">
        <s v="5305"/>
        <s v="5305A"/>
        <s v="5307"/>
        <s v="5307-082226-P1"/>
        <s v="5307-091726-P1"/>
        <s v="5307-091826-P1"/>
        <s v="5307-092326-P1"/>
        <s v="5307-092926-P1"/>
        <s v="5307-101226-P1"/>
        <s v="5307-111126-P1"/>
        <s v="5307-111926-P1"/>
        <s v="5307-120526-P1"/>
        <s v="5307-120726-P1"/>
        <s v="5307-121426-P1"/>
        <s v="5307A"/>
        <s v="5308"/>
        <s v="5308-081426-P1"/>
        <s v="5308-082426-P1"/>
        <s v="5308-091526-P1"/>
        <s v="5308-091726-P1"/>
        <s v="5308-092526-P1"/>
        <s v="5308-102926-P1"/>
        <s v="5308-110626-P1"/>
        <s v="5308-112226-P1"/>
        <s v="5308-112826-P1"/>
        <s v="5308-121026-P1"/>
        <s v="5308A"/>
        <s v="5309"/>
        <s v="5310"/>
        <s v="5310A"/>
        <s v="5311A"/>
        <s v="5311"/>
        <s v="5312A"/>
        <s v="5312"/>
        <s v="5309A"/>
        <s v="5314"/>
        <s v="5314A"/>
        <m/>
      </sharedItems>
    </cacheField>
    <cacheField name="Helper" numFmtId="0">
      <sharedItems containsMixedTypes="1" containsNumber="1" containsInteger="1" minValue="0" maxValue="0" count="40">
        <s v="Starkist WHITE"/>
        <s v="USDA Beef Stew"/>
        <s v="RNC Fruit"/>
        <s v="            (85208) FLB BBQ SAUCE W/BEEF"/>
        <s v="My Own Meals"/>
        <s v="UGRA"/>
        <s v="MRE Base"/>
        <s v="Hain Celestial"/>
        <s v="            (85206) FLB CHICKEN SALAD"/>
        <s v="Serenity"/>
        <s v="            (85138) FLB BUFFALO STYLE CHICKEN"/>
        <s v="Scott Pet Dog"/>
        <s v="            (85218) FLB POLLO ASADO"/>
        <s v="            (85129) FLB/DT WHITE CHICKEN"/>
        <s v="Red Gold"/>
        <s v="USDA Chili with Beans"/>
        <s v="MRE Placeable"/>
        <s v="RD"/>
        <s v="            (85217) FLB BEEF STEW"/>
        <s v="Starkist Creations"/>
        <s v="            (85204) FLB CHICKEN"/>
        <s v="            (85220) FLB CHILI W/BEANS"/>
        <s v="Poly Trays"/>
        <s v="            (85134) FLB CHICKEN"/>
        <s v="            (85210) FLB CHILI W/BEANS"/>
        <s v="            (85216) FLB PIZZA MAC"/>
        <s v="            (85205) FLB WHITE CHICKEN CHILI"/>
        <s v="            (85127) FLB SOUTHW CHIX W/RICE &amp; BEANS"/>
        <s v="Starkist WHITE 5.0 OZ"/>
        <s v="            (85120) FLB SPAGHETTI W/MEAT SAUCE"/>
        <s v="Spammy"/>
        <s v="Union Supply"/>
        <s v="FLB Oatmeal"/>
        <s v="            (85207) FLB BBQ  WHITE CHICKEN"/>
        <s v="            (85203) CHICKEN NOODLE SOUP"/>
        <s v="Simmons"/>
        <s v="            (85201) CREAM OF MUSHROOM SOUP"/>
        <s v="Scott Pet Cat"/>
        <s v="            (85125) FLB PASTA &amp; VEG"/>
        <n v="0" u="1"/>
      </sharedItems>
    </cacheField>
    <cacheField name="Amount" numFmtId="0">
      <sharedItems containsString="0" containsBlank="1" containsNumber="1" containsInteger="1" minValue="60" maxValue="221250"/>
    </cacheField>
    <cacheField name="Days (Schedule Date)" numFmtId="0" databaseField="0">
      <fieldGroup base="0">
        <rangePr groupBy="days" startDate="2025-11-03T00:00:00" endDate="2025-12-31T00:00:00"/>
        <groupItems count="368">
          <s v="&lt;11/3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5"/>
        </groupItems>
      </fieldGroup>
    </cacheField>
    <cacheField name="Months (Schedule Date)" numFmtId="0" databaseField="0">
      <fieldGroup base="0">
        <rangePr groupBy="months" startDate="2025-11-03T00:00:00" endDate="2025-12-31T00:00:00"/>
        <groupItems count="14">
          <s v="&lt;11/3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">
  <r>
    <x v="0"/>
    <x v="0"/>
    <s v="MFG0371415"/>
    <s v="520860"/>
    <s v="STK WHITE CHICKEN 12-2.6 OZ."/>
    <n v="14584"/>
    <s v="CS"/>
    <n v="175008"/>
    <s v="ST"/>
    <x v="0"/>
    <x v="0"/>
    <n v="156744"/>
  </r>
  <r>
    <x v="1"/>
    <x v="1"/>
    <s v="MFG0372171"/>
    <s v="220125"/>
    <s v="USDA BEEF STEW 24-24 OZ."/>
    <n v="4265"/>
    <s v="CS"/>
    <n v="102360"/>
    <s v="USD"/>
    <x v="0"/>
    <x v="1"/>
    <n v="99960"/>
  </r>
  <r>
    <x v="1"/>
    <x v="2"/>
    <s v="MFG0370097"/>
    <s v="79500"/>
    <s v="SPICED APPLES"/>
    <n v="105000"/>
    <s v="EA"/>
    <n v="105000"/>
    <s v="FRU"/>
    <x v="1"/>
    <x v="2"/>
    <n v="49681"/>
  </r>
  <r>
    <x v="1"/>
    <x v="0"/>
    <s v="MFG0373389"/>
    <s v="85208"/>
    <s v="FLB BBQ SAUCE W/BEEF 48-4.5 OZ"/>
    <n v="2700"/>
    <s v="CS"/>
    <n v="129600"/>
    <s v="IST"/>
    <x v="2"/>
    <x v="3"/>
    <n v="132576"/>
  </r>
  <r>
    <x v="1"/>
    <x v="1"/>
    <s v="MFG0370168"/>
    <s v="16816-31000"/>
    <s v="MOM CHKN MEDITERRANEAN 6-10 OZ."/>
    <n v="15000"/>
    <s v="CS"/>
    <n v="90000"/>
    <s v="MOM"/>
    <x v="2"/>
    <x v="4"/>
    <n v="81738"/>
  </r>
  <r>
    <x v="1"/>
    <x v="3"/>
    <s v="MFG0371679"/>
    <s v="2213O"/>
    <s v="OCONUS BREAKFAST MENU 7 PERIS"/>
    <n v="180"/>
    <s v="EA"/>
    <n v="180"/>
    <s v="UGR"/>
    <x v="3"/>
    <x v="5"/>
    <n v="180"/>
  </r>
  <r>
    <x v="1"/>
    <x v="3"/>
    <s v="MFG0371685"/>
    <s v="2241O"/>
    <s v="OCONUS LUNCH/DINNER MENU 6 PE"/>
    <n v="120"/>
    <s v="EA"/>
    <n v="120"/>
    <s v="UGR"/>
    <x v="4"/>
    <x v="5"/>
    <n v="120"/>
  </r>
  <r>
    <x v="1"/>
    <x v="3"/>
    <s v="MFG0371686"/>
    <s v="2243O"/>
    <s v="OCONUS LUNCH/DINNER MENU 7 PE"/>
    <n v="180"/>
    <s v="EA"/>
    <n v="180"/>
    <s v="UGR"/>
    <x v="5"/>
    <x v="5"/>
    <n v="180"/>
  </r>
  <r>
    <x v="1"/>
    <x v="3"/>
    <s v="MFG0371673"/>
    <s v="2201O"/>
    <s v="OCONUS BREAKFAST MENU 1 PERIS"/>
    <n v="180"/>
    <s v="EA"/>
    <n v="180"/>
    <s v="UGR"/>
    <x v="6"/>
    <x v="5"/>
    <n v="180"/>
  </r>
  <r>
    <x v="1"/>
    <x v="3"/>
    <s v="MFG0371682"/>
    <s v="2235O"/>
    <s v="OCONUS LUNCH/DINNER MENU 3 PE"/>
    <n v="120"/>
    <s v="EA"/>
    <n v="120"/>
    <s v="UGR"/>
    <x v="7"/>
    <x v="5"/>
    <n v="120"/>
  </r>
  <r>
    <x v="1"/>
    <x v="3"/>
    <s v="MFG0371677"/>
    <s v="2209O"/>
    <s v="OCONUS BREAKFAST MENU 5 PERIS"/>
    <n v="180"/>
    <s v="EA"/>
    <n v="180"/>
    <s v="UGR"/>
    <x v="8"/>
    <x v="5"/>
    <n v="180"/>
  </r>
  <r>
    <x v="1"/>
    <x v="3"/>
    <s v="MFG0371684"/>
    <s v="2239O"/>
    <s v="OCONUS LUNCH/DINNER MENU 5 PE"/>
    <n v="120"/>
    <s v="EA"/>
    <n v="120"/>
    <s v="UGR"/>
    <x v="9"/>
    <x v="5"/>
    <n v="120"/>
  </r>
  <r>
    <x v="1"/>
    <x v="3"/>
    <s v="MFG0371676"/>
    <s v="2207O"/>
    <s v="OCONUS BREAKFAST MENU 4 PERIS"/>
    <n v="180"/>
    <s v="EA"/>
    <n v="180"/>
    <s v="UGR"/>
    <x v="10"/>
    <x v="5"/>
    <n v="180"/>
  </r>
  <r>
    <x v="1"/>
    <x v="3"/>
    <s v="MFG0371680"/>
    <s v="2231O"/>
    <s v="OCONUS LUNCH/DINNER MENU 1 PE"/>
    <n v="120"/>
    <s v="EA"/>
    <n v="120"/>
    <s v="UGR"/>
    <x v="11"/>
    <x v="5"/>
    <n v="120"/>
  </r>
  <r>
    <x v="1"/>
    <x v="3"/>
    <s v="MFG0371681"/>
    <s v="2233O"/>
    <s v="OCONUS LUNCH/DINNER MENU 2 PE"/>
    <n v="120"/>
    <s v="EA"/>
    <n v="120"/>
    <s v="UGR"/>
    <x v="12"/>
    <x v="5"/>
    <n v="120"/>
  </r>
  <r>
    <x v="1"/>
    <x v="3"/>
    <s v="MFG0371683"/>
    <s v="2237O"/>
    <s v="OCONUS LUNCH/DINNER MENU 4 PE"/>
    <n v="120"/>
    <s v="EA"/>
    <n v="120"/>
    <s v="UGR"/>
    <x v="13"/>
    <x v="5"/>
    <n v="120"/>
  </r>
  <r>
    <x v="1"/>
    <x v="2"/>
    <s v="MFG0371021"/>
    <s v="7018"/>
    <s v="SOUTHWEST BEEF &amp; BLACK BEAN"/>
    <n v="105000"/>
    <s v="EA"/>
    <n v="105000"/>
    <s v="MRE"/>
    <x v="14"/>
    <x v="6"/>
    <n v="42759"/>
  </r>
  <r>
    <x v="2"/>
    <x v="4"/>
    <s v="MFG0370751"/>
    <s v="C33332T"/>
    <s v="EB PUREE CARROT AND BROCCOLI"/>
    <n v="6667"/>
    <s v="CS"/>
    <n v="80004"/>
    <s v="HCL"/>
    <x v="2"/>
    <x v="7"/>
    <n v="61020"/>
  </r>
  <r>
    <x v="2"/>
    <x v="0"/>
    <s v="MFG0371298"/>
    <s v="85206"/>
    <s v="FLB CHICKEN SALAD 48-4.5 OZ"/>
    <n v="3750"/>
    <s v="CS"/>
    <n v="180000"/>
    <s v="IST"/>
    <x v="15"/>
    <x v="8"/>
    <n v="175392"/>
  </r>
  <r>
    <x v="2"/>
    <x v="1"/>
    <s v="MFG0370490"/>
    <s v="16816-31000"/>
    <s v="MOM CHKN MEDITERRANEAN 6-10 OZ."/>
    <n v="13800"/>
    <s v="CS"/>
    <n v="82800"/>
    <s v="MOM"/>
    <x v="15"/>
    <x v="4"/>
    <n v="93882"/>
  </r>
  <r>
    <x v="2"/>
    <x v="4"/>
    <s v="MFG0368594"/>
    <s v="SKBFV001"/>
    <s v="GF BEEF W/PEA, BROCCOLI &amp; PEPPER"/>
    <n v="1800"/>
    <s v="CS"/>
    <n v="21600"/>
    <s v="SER"/>
    <x v="15"/>
    <x v="9"/>
    <m/>
  </r>
  <r>
    <x v="2"/>
    <x v="4"/>
    <s v="MFG0370446"/>
    <s v="SKBFV001"/>
    <s v="GF BEEF W/PEA, BROCCOLI &amp; PEPPER"/>
    <n v="4500"/>
    <s v="CS"/>
    <n v="54000"/>
    <s v="SER"/>
    <x v="15"/>
    <x v="9"/>
    <n v="79656"/>
  </r>
  <r>
    <x v="2"/>
    <x v="4"/>
    <s v="MFG0370447"/>
    <s v="SKBFV001-B"/>
    <s v="BEEF W/PEA, BROCCOLI &amp; PEPPER BULK PACK"/>
    <n v="400"/>
    <s v="CS"/>
    <n v="20000"/>
    <s v="SER"/>
    <x v="15"/>
    <x v="9"/>
    <n v="20450"/>
  </r>
  <r>
    <x v="2"/>
    <x v="3"/>
    <s v="MFG0371692"/>
    <s v="2255O"/>
    <s v="OCONUS LUNCH/DINNER MENU13 PE"/>
    <n v="60"/>
    <s v="EA"/>
    <n v="60"/>
    <s v="UGR"/>
    <x v="16"/>
    <x v="5"/>
    <n v="60"/>
  </r>
  <r>
    <x v="2"/>
    <x v="3"/>
    <s v="MFG0371688"/>
    <s v="2247O"/>
    <s v="OCONUS LUNCH/DINNER MENU 9 PE"/>
    <n v="120"/>
    <s v="EA"/>
    <n v="120"/>
    <s v="UGR"/>
    <x v="17"/>
    <x v="5"/>
    <n v="120"/>
  </r>
  <r>
    <x v="2"/>
    <x v="3"/>
    <s v="MFG0371678"/>
    <s v="2211O"/>
    <s v="OCONUS BREAKFAST MENU 6 PERIS"/>
    <n v="180"/>
    <s v="EA"/>
    <n v="180"/>
    <s v="UGR"/>
    <x v="18"/>
    <x v="5"/>
    <n v="180"/>
  </r>
  <r>
    <x v="2"/>
    <x v="3"/>
    <s v="MFG0371674"/>
    <s v="2203O"/>
    <s v="OCONUS BREAKFAST MENU 2 PERIS"/>
    <n v="180"/>
    <s v="EA"/>
    <n v="180"/>
    <s v="UGR"/>
    <x v="19"/>
    <x v="5"/>
    <n v="180"/>
  </r>
  <r>
    <x v="2"/>
    <x v="3"/>
    <s v="MFG0371689"/>
    <s v="2249O"/>
    <s v="OCONUS LUNCH/DINNER MENU10 PE"/>
    <n v="120"/>
    <s v="EA"/>
    <n v="120"/>
    <s v="UGR"/>
    <x v="20"/>
    <x v="5"/>
    <n v="120"/>
  </r>
  <r>
    <x v="2"/>
    <x v="3"/>
    <s v="MFG0371687"/>
    <s v="2245O"/>
    <s v="OCONUS LUNCH/DINNER MENU 8 PE"/>
    <n v="120"/>
    <s v="EA"/>
    <n v="120"/>
    <s v="UGR"/>
    <x v="21"/>
    <x v="5"/>
    <n v="120"/>
  </r>
  <r>
    <x v="2"/>
    <x v="3"/>
    <s v="MFG0371675"/>
    <s v="2205O"/>
    <s v="OCONUS BREAKFAST MENU 3 PERIS"/>
    <n v="180"/>
    <s v="EA"/>
    <n v="180"/>
    <s v="UGR"/>
    <x v="22"/>
    <x v="5"/>
    <n v="180"/>
  </r>
  <r>
    <x v="2"/>
    <x v="3"/>
    <s v="MFG0371693"/>
    <s v="2257O"/>
    <s v="OCONUS LUNCH/DINNER MENU14 PE"/>
    <n v="180"/>
    <s v="EA"/>
    <n v="180"/>
    <s v="UGR"/>
    <x v="23"/>
    <x v="5"/>
    <n v="180"/>
  </r>
  <r>
    <x v="2"/>
    <x v="3"/>
    <s v="MFG0371690"/>
    <s v="2251O"/>
    <s v="OCONUS LUNCH/DINNER MENU11 PE"/>
    <n v="120"/>
    <s v="EA"/>
    <n v="120"/>
    <s v="UGR"/>
    <x v="24"/>
    <x v="5"/>
    <n v="120"/>
  </r>
  <r>
    <x v="2"/>
    <x v="3"/>
    <s v="MFG0371691"/>
    <s v="2253O"/>
    <s v="OCONUS LUNCH/DINNER MENU12 PE"/>
    <n v="120"/>
    <s v="EA"/>
    <n v="120"/>
    <s v="UGR"/>
    <x v="25"/>
    <x v="5"/>
    <n v="120"/>
  </r>
  <r>
    <x v="2"/>
    <x v="2"/>
    <s v="MFG0371210"/>
    <s v="7013"/>
    <s v="SANTA FE RICE AND BEANS"/>
    <n v="104000"/>
    <s v="EA"/>
    <n v="104000"/>
    <s v="MRE"/>
    <x v="26"/>
    <x v="6"/>
    <n v="58984"/>
  </r>
  <r>
    <x v="3"/>
    <x v="4"/>
    <s v="MFG0371167"/>
    <s v="SKSAL001"/>
    <s v="SALMON W/BNUT SQUASH  &amp; BEET"/>
    <n v="6500"/>
    <s v="CS"/>
    <n v="78000"/>
    <s v="SER"/>
    <x v="2"/>
    <x v="9"/>
    <n v="59676"/>
  </r>
  <r>
    <x v="3"/>
    <x v="0"/>
    <s v="MFG0371299"/>
    <s v="85206"/>
    <s v="FLB CHICKEN SALAD 48-4.5 OZ"/>
    <n v="3750"/>
    <s v="CS"/>
    <n v="180000"/>
    <s v="IST"/>
    <x v="27"/>
    <x v="8"/>
    <n v="173568"/>
  </r>
  <r>
    <x v="3"/>
    <x v="1"/>
    <s v="MFG0372266"/>
    <s v="16816-31040"/>
    <s v="MOM CHKN &amp; BLACK BEANS 6-10 OZ"/>
    <n v="15000"/>
    <s v="CS"/>
    <n v="90000"/>
    <s v="MOM"/>
    <x v="27"/>
    <x v="4"/>
    <n v="90318"/>
  </r>
  <r>
    <x v="3"/>
    <x v="4"/>
    <s v="MFG0372004"/>
    <s v="SKBEF001"/>
    <s v="SKD BEEF W/KALE &amp; SWEET POT"/>
    <n v="6500"/>
    <s v="CS"/>
    <n v="78000"/>
    <s v="SER"/>
    <x v="27"/>
    <x v="9"/>
    <n v="70920"/>
  </r>
  <r>
    <x v="3"/>
    <x v="4"/>
    <s v="MFG0370965"/>
    <s v="SKMCS001"/>
    <s v="SER FR CHICKEN MEXICAN INSPIRED STEW"/>
    <n v="4500"/>
    <s v="CS"/>
    <n v="54000"/>
    <s v="SER"/>
    <x v="27"/>
    <x v="9"/>
    <n v="41076"/>
  </r>
  <r>
    <x v="3"/>
    <x v="4"/>
    <s v="MFG0370966"/>
    <s v="SKMCS001-B"/>
    <s v="SER CHCKEN MEXICAN STEW 3.5 OZ 50 CT"/>
    <n v="400"/>
    <s v="CS"/>
    <n v="20000"/>
    <s v="SER"/>
    <x v="27"/>
    <x v="9"/>
    <n v="20450"/>
  </r>
  <r>
    <x v="3"/>
    <x v="1"/>
    <s v="MFG0370169"/>
    <s v="16816-32000"/>
    <s v="MOM BEEF STEW 6-10 OZ"/>
    <n v="15000"/>
    <s v="CS"/>
    <n v="90000"/>
    <s v="MOM"/>
    <x v="28"/>
    <x v="4"/>
    <n v="91116"/>
  </r>
  <r>
    <x v="4"/>
    <x v="2"/>
    <s v="MFG0371211"/>
    <s v="7020"/>
    <s v="MEXICAN STYLE CHICKEN STEW"/>
    <n v="95000"/>
    <s v="EA"/>
    <n v="95000"/>
    <s v="MRE"/>
    <x v="29"/>
    <x v="6"/>
    <n v="49071"/>
  </r>
  <r>
    <x v="4"/>
    <x v="0"/>
    <s v="MFG0371300"/>
    <s v="85138"/>
    <s v="FLB BUFFALO STYLE CHICKEN 48-4.5 OZ"/>
    <n v="3750"/>
    <s v="CS"/>
    <n v="180000"/>
    <s v="IST"/>
    <x v="28"/>
    <x v="10"/>
    <n v="189024"/>
  </r>
  <r>
    <x v="4"/>
    <x v="4"/>
    <s v="MFG0372002"/>
    <s v="SKCKV001"/>
    <s v="FR CHICKEN W/PARSNIP &amp; BEETS"/>
    <n v="6500"/>
    <s v="CS"/>
    <n v="78000"/>
    <s v="SER"/>
    <x v="28"/>
    <x v="9"/>
    <n v="67584"/>
  </r>
  <r>
    <x v="4"/>
    <x v="4"/>
    <s v="MFG0372051"/>
    <s v="SKPSW001"/>
    <s v=" SWEET POTATO &amp; PARSNIP"/>
    <n v="2833"/>
    <s v="CS"/>
    <n v="33996"/>
    <s v="SER"/>
    <x v="28"/>
    <x v="9"/>
    <n v="41532"/>
  </r>
  <r>
    <x v="4"/>
    <x v="4"/>
    <s v="MFG0372052"/>
    <s v="SKPSWBULK"/>
    <s v="SWEET POTATO &amp; PARSNIP BULK"/>
    <n v="800"/>
    <s v="CS"/>
    <n v="40000"/>
    <s v="SER"/>
    <x v="28"/>
    <x v="9"/>
    <n v="34050"/>
  </r>
  <r>
    <x v="4"/>
    <x v="2"/>
    <s v="MFG0371417"/>
    <s v="7076"/>
    <s v="CHICKEN NOODLES W/ VEGETABLES"/>
    <n v="95000"/>
    <s v="EA"/>
    <n v="95000"/>
    <s v="MRE"/>
    <x v="30"/>
    <x v="6"/>
    <n v="29848"/>
  </r>
  <r>
    <x v="4"/>
    <x v="1"/>
    <s v="MFG0373392"/>
    <s v="DF013"/>
    <s v="BE DOG CHICKEN &amp; PASTA 10 OZ. 6 CT."/>
    <n v="16667"/>
    <s v="CS"/>
    <n v="100002"/>
    <s v="SPP"/>
    <x v="31"/>
    <x v="11"/>
    <n v="85860"/>
  </r>
  <r>
    <x v="5"/>
    <x v="2"/>
    <s v="MFG0370340"/>
    <s v="7121"/>
    <s v="CHICKEN BURRITO FILLING"/>
    <n v="95000"/>
    <s v="EA"/>
    <n v="95000"/>
    <s v="MRE"/>
    <x v="32"/>
    <x v="6"/>
    <n v="37264"/>
  </r>
  <r>
    <x v="5"/>
    <x v="1"/>
    <s v="MFG0372277"/>
    <s v="DF012"/>
    <s v="BE DOG BEEF STEW W/VEGGIES 10 OZ. "/>
    <n v="16667"/>
    <s v="CS"/>
    <n v="100002"/>
    <s v="SPP"/>
    <x v="33"/>
    <x v="11"/>
    <n v="89466"/>
  </r>
  <r>
    <x v="6"/>
    <x v="0"/>
    <s v="MFG0373491"/>
    <s v="85218"/>
    <s v="FLB POLLO ASADO 4.5 OZ 48 CT."/>
    <n v="3645"/>
    <s v="CS"/>
    <n v="174960"/>
    <s v="IST"/>
    <x v="31"/>
    <x v="12"/>
    <n v="176640"/>
  </r>
  <r>
    <x v="6"/>
    <x v="4"/>
    <s v="MFG0372067"/>
    <s v="SKBEF001"/>
    <s v="SKD BEEF W/KALE &amp; SWEET POT"/>
    <n v="6500"/>
    <s v="CS"/>
    <n v="78000"/>
    <s v="SER"/>
    <x v="31"/>
    <x v="9"/>
    <n v="66384"/>
  </r>
  <r>
    <x v="6"/>
    <x v="4"/>
    <s v="MFG0371150"/>
    <s v="SKMCS001"/>
    <s v="SER FR CHICKEN MEXICAN INSPIRED STEW"/>
    <n v="6500"/>
    <s v="CS"/>
    <n v="78000"/>
    <s v="SER"/>
    <x v="31"/>
    <x v="9"/>
    <n v="14232"/>
  </r>
  <r>
    <x v="6"/>
    <x v="4"/>
    <s v="MFG0371166"/>
    <s v="SKSAL001"/>
    <s v="SALMON W/BNUT SQUASH  &amp; BEET"/>
    <n v="4500"/>
    <s v="CS"/>
    <n v="54000"/>
    <s v="SER"/>
    <x v="33"/>
    <x v="9"/>
    <n v="56112"/>
  </r>
  <r>
    <x v="6"/>
    <x v="4"/>
    <s v="MFG0372178"/>
    <s v="SKSAL001-B"/>
    <s v="SALMON W/BUTTERNUT SQUASH BULK"/>
    <n v="400"/>
    <s v="CS"/>
    <n v="20000"/>
    <s v="SER"/>
    <x v="33"/>
    <x v="9"/>
    <n v="20450"/>
  </r>
  <r>
    <x v="6"/>
    <x v="2"/>
    <s v="MFG0371208"/>
    <s v="7010"/>
    <s v="BEEF STEW"/>
    <n v="105000"/>
    <s v="EA"/>
    <n v="105000"/>
    <s v="MRE"/>
    <x v="34"/>
    <x v="6"/>
    <n v="53544"/>
  </r>
  <r>
    <x v="6"/>
    <x v="0"/>
    <s v="MFG0370285"/>
    <s v="85129"/>
    <s v="FLB WHITE CHICKEN 12-2.6 OZ"/>
    <n v="16667"/>
    <s v="CS"/>
    <n v="200004"/>
    <s v="IST"/>
    <x v="35"/>
    <x v="13"/>
    <n v="138240"/>
  </r>
  <r>
    <x v="6"/>
    <x v="5"/>
    <s v="MFG0372227"/>
    <s v="REDOA1ZCD"/>
    <s v="RED GOLD BARBECUE SAUCE GRADE A PALLET"/>
    <n v="2500"/>
    <s v="CS"/>
    <n v="625000"/>
    <s v="RED"/>
    <x v="35"/>
    <x v="14"/>
    <n v="221250"/>
  </r>
  <r>
    <x v="6"/>
    <x v="4"/>
    <s v="MFG0372003"/>
    <s v="SKBEF001"/>
    <s v="SKD BEEF W/KALE &amp; SWEET POT"/>
    <n v="6500"/>
    <s v="CS"/>
    <n v="78000"/>
    <s v="SER"/>
    <x v="35"/>
    <x v="9"/>
    <n v="75600"/>
  </r>
  <r>
    <x v="6"/>
    <x v="4"/>
    <s v="MFG0372001"/>
    <s v="SKCHK001"/>
    <s v="SKD CHICKEN W/PEAS &amp; CARROTS"/>
    <n v="6500"/>
    <s v="CS"/>
    <n v="78000"/>
    <s v="SER"/>
    <x v="35"/>
    <x v="9"/>
    <n v="23760"/>
  </r>
  <r>
    <x v="6"/>
    <x v="1"/>
    <s v="MFG0371595"/>
    <s v="220131"/>
    <s v="USDA CHILI W/BEANS 12-15 OZ. "/>
    <n v="8335"/>
    <s v="CS"/>
    <n v="100020"/>
    <s v="USD"/>
    <x v="35"/>
    <x v="15"/>
    <n v="88584"/>
  </r>
  <r>
    <x v="6"/>
    <x v="2"/>
    <s v="MFG0372042"/>
    <s v="79501"/>
    <s v="APPLE STRAWBERRY CARROT"/>
    <n v="105000"/>
    <s v="EA"/>
    <n v="105000"/>
    <s v="FRU"/>
    <x v="36"/>
    <x v="2"/>
    <n v="58350"/>
  </r>
  <r>
    <x v="6"/>
    <x v="6"/>
    <s v="MFG0372493"/>
    <s v="7014"/>
    <s v="CHICKEN CHUNKS"/>
    <n v="500"/>
    <s v="EA"/>
    <n v="499.99999999999994"/>
    <s v="MRE"/>
    <x v="37"/>
    <x v="16"/>
    <m/>
  </r>
  <r>
    <x v="6"/>
    <x v="7"/>
    <s v="MFG0373496"/>
    <s v="RD677"/>
    <s v="W3 STARCH TRIAL"/>
    <n v="10000"/>
    <s v="EA"/>
    <n v="10000"/>
    <s v="RD"/>
    <x v="37"/>
    <x v="17"/>
    <m/>
  </r>
  <r>
    <x v="7"/>
    <x v="2"/>
    <s v="MFG0370096"/>
    <s v="79502"/>
    <s v="BANANA AND PUMPKIN"/>
    <n v="105000"/>
    <s v="EA"/>
    <n v="105000"/>
    <s v="FRU"/>
    <x v="37"/>
    <x v="2"/>
    <m/>
  </r>
  <r>
    <x v="7"/>
    <x v="0"/>
    <s v="MFG0370149"/>
    <s v="85129"/>
    <s v="FLB WHITE CHICKEN 12-2.6 OZ"/>
    <n v="16667"/>
    <s v="CS"/>
    <n v="200004"/>
    <s v="IST"/>
    <x v="37"/>
    <x v="13"/>
    <m/>
  </r>
  <r>
    <x v="7"/>
    <x v="7"/>
    <s v="MFG0373538"/>
    <s v="85217-24"/>
    <s v="FLB BEEF STEW 24 OZ. "/>
    <n v="1400"/>
    <s v="CS"/>
    <n v="33600"/>
    <s v="IST"/>
    <x v="37"/>
    <x v="18"/>
    <m/>
  </r>
  <r>
    <x v="7"/>
    <x v="5"/>
    <s v="MFG0372228"/>
    <s v="REDOA1ZCD"/>
    <s v="RED GOLD BARBECUE SAUCE GRADE A PALLET"/>
    <n v="2500"/>
    <s v="CS"/>
    <n v="625000"/>
    <s v="RED"/>
    <x v="37"/>
    <x v="14"/>
    <m/>
  </r>
  <r>
    <x v="7"/>
    <x v="4"/>
    <s v="MFG0372011"/>
    <s v="SKTKV001"/>
    <s v="PR TURKEY W/CARROT, ZUCCHINI &amp; CELERY"/>
    <n v="4500"/>
    <s v="CS"/>
    <n v="54000"/>
    <s v="SER"/>
    <x v="37"/>
    <x v="9"/>
    <m/>
  </r>
  <r>
    <x v="7"/>
    <x v="4"/>
    <s v="MFG0372456"/>
    <s v="SKTKV001-B"/>
    <s v="PR TURKEY W/CAR, ZUC &amp; CELERY BULK PACK"/>
    <n v="400"/>
    <s v="CS"/>
    <n v="20000"/>
    <s v="SER"/>
    <x v="37"/>
    <x v="9"/>
    <m/>
  </r>
  <r>
    <x v="7"/>
    <x v="3"/>
    <s v="MFG0371968"/>
    <s v="2201O"/>
    <s v="OCONUS BREAKFAST MENU 1 PERIS"/>
    <n v="160"/>
    <s v="EA"/>
    <n v="160"/>
    <s v="UGR"/>
    <x v="37"/>
    <x v="5"/>
    <m/>
  </r>
  <r>
    <x v="7"/>
    <x v="3"/>
    <s v="MFG0371969"/>
    <s v="2203O"/>
    <s v="OCONUS BREAKFAST MENU 2 PERIS"/>
    <n v="80"/>
    <s v="EA"/>
    <n v="80"/>
    <s v="UGR"/>
    <x v="37"/>
    <x v="5"/>
    <m/>
  </r>
  <r>
    <x v="7"/>
    <x v="3"/>
    <s v="MFG0371970"/>
    <s v="2205O"/>
    <s v="OCONUS BREAKFAST MENU 3 PERIS"/>
    <n v="160"/>
    <s v="EA"/>
    <n v="160"/>
    <s v="UGR"/>
    <x v="37"/>
    <x v="5"/>
    <m/>
  </r>
  <r>
    <x v="7"/>
    <x v="3"/>
    <s v="MFG0371971"/>
    <s v="2207O"/>
    <s v="OCONUS BREAKFAST MENU 4 PERIS"/>
    <n v="140"/>
    <s v="EA"/>
    <n v="140"/>
    <s v="UGR"/>
    <x v="37"/>
    <x v="5"/>
    <m/>
  </r>
  <r>
    <x v="7"/>
    <x v="3"/>
    <s v="MFG0371972"/>
    <s v="2209O"/>
    <s v="OCONUS BREAKFAST MENU 5 PERIS"/>
    <n v="120"/>
    <s v="EA"/>
    <n v="120"/>
    <s v="UGR"/>
    <x v="37"/>
    <x v="5"/>
    <m/>
  </r>
  <r>
    <x v="7"/>
    <x v="3"/>
    <s v="MFG0371973"/>
    <s v="2211O"/>
    <s v="OCONUS BREAKFAST MENU 6 PERIS"/>
    <n v="120"/>
    <s v="EA"/>
    <n v="120"/>
    <s v="UGR"/>
    <x v="37"/>
    <x v="5"/>
    <m/>
  </r>
  <r>
    <x v="7"/>
    <x v="3"/>
    <s v="MFG0371974"/>
    <s v="2213O"/>
    <s v="OCONUS BREAKFAST MENU 7 PERIS"/>
    <n v="120"/>
    <s v="EA"/>
    <n v="120"/>
    <s v="UGR"/>
    <x v="37"/>
    <x v="5"/>
    <m/>
  </r>
  <r>
    <x v="7"/>
    <x v="3"/>
    <s v="MFG0371975"/>
    <s v="2231O"/>
    <s v="OCONUS LUNCH/DINNER MENU 1 PE"/>
    <n v="120"/>
    <s v="EA"/>
    <n v="120"/>
    <s v="UGR"/>
    <x v="37"/>
    <x v="5"/>
    <m/>
  </r>
  <r>
    <x v="7"/>
    <x v="3"/>
    <s v="MFG0371980"/>
    <s v="2233O"/>
    <s v="OCONUS LUNCH/DINNER MENU 2 PE"/>
    <n v="120"/>
    <s v="EA"/>
    <n v="120"/>
    <s v="UGR"/>
    <x v="37"/>
    <x v="5"/>
    <m/>
  </r>
  <r>
    <x v="7"/>
    <x v="3"/>
    <s v="MFG0371981"/>
    <s v="2235O"/>
    <s v="OCONUS LUNCH/DINNER MENU 3 PE"/>
    <n v="120"/>
    <s v="EA"/>
    <n v="120"/>
    <s v="UGR"/>
    <x v="37"/>
    <x v="5"/>
    <m/>
  </r>
  <r>
    <x v="7"/>
    <x v="3"/>
    <s v="MFG0371982"/>
    <s v="2239O"/>
    <s v="OCONUS LUNCH/DINNER MENU 5 PE"/>
    <n v="120"/>
    <s v="EA"/>
    <n v="120"/>
    <s v="UGR"/>
    <x v="37"/>
    <x v="5"/>
    <m/>
  </r>
  <r>
    <x v="7"/>
    <x v="3"/>
    <s v="MFG0371983"/>
    <s v="2241O"/>
    <s v="OCONUS LUNCH/DINNER MENU 6 PE"/>
    <n v="60"/>
    <s v="EA"/>
    <n v="60"/>
    <s v="UGR"/>
    <x v="37"/>
    <x v="5"/>
    <m/>
  </r>
  <r>
    <x v="7"/>
    <x v="3"/>
    <s v="MFG0371984"/>
    <s v="2243O"/>
    <s v="OCONUS LUNCH/DINNER MENU 7 PE"/>
    <n v="240"/>
    <s v="EA"/>
    <n v="240"/>
    <s v="UGR"/>
    <x v="37"/>
    <x v="5"/>
    <m/>
  </r>
  <r>
    <x v="7"/>
    <x v="3"/>
    <s v="MFG0371985"/>
    <s v="2247O"/>
    <s v="OCONUS LUNCH/DINNER MENU 9 PE"/>
    <n v="120"/>
    <s v="EA"/>
    <n v="120"/>
    <s v="UGR"/>
    <x v="37"/>
    <x v="5"/>
    <m/>
  </r>
  <r>
    <x v="7"/>
    <x v="3"/>
    <s v="MFG0371976"/>
    <s v="2249O"/>
    <s v="OCONUS LUNCH/DINNER MENU10 PE"/>
    <n v="120"/>
    <s v="EA"/>
    <n v="120"/>
    <s v="UGR"/>
    <x v="37"/>
    <x v="5"/>
    <m/>
  </r>
  <r>
    <x v="7"/>
    <x v="1"/>
    <s v="MFG0371596"/>
    <s v="220131"/>
    <s v="USDA CHILI W/BEANS 12-15 OZ. "/>
    <n v="8335"/>
    <s v="CS"/>
    <n v="100020"/>
    <s v="USD"/>
    <x v="37"/>
    <x v="15"/>
    <m/>
  </r>
  <r>
    <x v="8"/>
    <x v="2"/>
    <s v="MFG0373541"/>
    <s v="7072"/>
    <s v="BEEF RAVIOLI"/>
    <n v="5000"/>
    <s v="EA"/>
    <n v="5000"/>
    <s v="MRE"/>
    <x v="37"/>
    <x v="6"/>
    <m/>
  </r>
  <r>
    <x v="8"/>
    <x v="2"/>
    <s v="MFG0373540"/>
    <s v="7072"/>
    <s v="BEEF RAVIOLI"/>
    <n v="5000"/>
    <s v="EA"/>
    <n v="5000"/>
    <s v="MRE"/>
    <x v="37"/>
    <x v="6"/>
    <m/>
  </r>
  <r>
    <x v="8"/>
    <x v="2"/>
    <s v="MFG0372159"/>
    <s v="7074"/>
    <s v="BEEF TACO FILLING"/>
    <n v="50000"/>
    <s v="EA"/>
    <n v="50000.000000000007"/>
    <s v="MRE"/>
    <x v="37"/>
    <x v="6"/>
    <m/>
  </r>
  <r>
    <x v="8"/>
    <x v="7"/>
    <s v="MFG0373497"/>
    <s v="RD677"/>
    <s v="W3 STARCH TRIAL"/>
    <n v="10000"/>
    <s v="EA"/>
    <n v="10000"/>
    <s v="RD"/>
    <x v="37"/>
    <x v="17"/>
    <m/>
  </r>
  <r>
    <x v="8"/>
    <x v="5"/>
    <s v="MFG0372229"/>
    <s v="REDOA1ZCD"/>
    <s v="RED GOLD BARBECUE SAUCE GRADE A PALLET"/>
    <n v="2500"/>
    <s v="CS"/>
    <n v="625000"/>
    <s v="RED"/>
    <x v="37"/>
    <x v="14"/>
    <m/>
  </r>
  <r>
    <x v="8"/>
    <x v="4"/>
    <s v="MFG0372016"/>
    <s v="SKTRK001"/>
    <s v="TURKEY SPOT PUMP &amp; BEET"/>
    <n v="5800"/>
    <s v="CS"/>
    <n v="69600"/>
    <s v="SER"/>
    <x v="37"/>
    <x v="9"/>
    <m/>
  </r>
  <r>
    <x v="8"/>
    <x v="0"/>
    <s v="MFG0372166"/>
    <s v="517700"/>
    <s v="STK CHICKEN SALAD 12-2.6 OZ."/>
    <n v="16667"/>
    <s v="CS"/>
    <n v="200004"/>
    <s v="ST"/>
    <x v="37"/>
    <x v="19"/>
    <m/>
  </r>
  <r>
    <x v="8"/>
    <x v="3"/>
    <s v="MFG0373542"/>
    <s v="2201"/>
    <s v="BREAKFAST MENU 1 PERISHABLE"/>
    <n v="36"/>
    <s v="EA"/>
    <n v="36"/>
    <s v="UGR"/>
    <x v="37"/>
    <x v="5"/>
    <m/>
  </r>
  <r>
    <x v="8"/>
    <x v="3"/>
    <s v="MFG0373544"/>
    <s v="2203"/>
    <s v="BREAKFAST MENU 2 PERISHABLE"/>
    <n v="36"/>
    <s v="EA"/>
    <n v="36"/>
    <s v="UGR"/>
    <x v="37"/>
    <x v="5"/>
    <m/>
  </r>
  <r>
    <x v="8"/>
    <x v="3"/>
    <s v="MFG0373548"/>
    <s v="2211"/>
    <s v="BREAKFAST MENU 6 PERISHABLE"/>
    <n v="36"/>
    <s v="EA"/>
    <n v="36"/>
    <s v="UGR"/>
    <x v="37"/>
    <x v="5"/>
    <m/>
  </r>
  <r>
    <x v="8"/>
    <x v="3"/>
    <s v="MFG0373271"/>
    <s v="2213"/>
    <s v="BREAKFAST MENU 7 PERISHABLE"/>
    <n v="36"/>
    <s v="EA"/>
    <n v="36"/>
    <s v="UGR"/>
    <x v="37"/>
    <x v="5"/>
    <m/>
  </r>
  <r>
    <x v="8"/>
    <x v="3"/>
    <s v="MFG0373280"/>
    <s v="2245"/>
    <s v="LUNCH/DINNER MENU 8 PERISHABL"/>
    <n v="46"/>
    <s v="EA"/>
    <n v="46"/>
    <s v="UGR"/>
    <x v="37"/>
    <x v="5"/>
    <m/>
  </r>
  <r>
    <x v="8"/>
    <x v="3"/>
    <s v="MFG0371977"/>
    <s v="2251O"/>
    <s v="OCONUS LUNCH/DINNER MENU11 PE"/>
    <n v="120"/>
    <s v="EA"/>
    <n v="120"/>
    <s v="UGR"/>
    <x v="37"/>
    <x v="5"/>
    <m/>
  </r>
  <r>
    <x v="8"/>
    <x v="3"/>
    <s v="MFG0373337"/>
    <s v="2253O"/>
    <s v="OCONUS LUNCH/DINNER MENU12 PE"/>
    <n v="120"/>
    <s v="EA"/>
    <n v="120"/>
    <s v="UGR"/>
    <x v="37"/>
    <x v="5"/>
    <m/>
  </r>
  <r>
    <x v="8"/>
    <x v="3"/>
    <s v="MFG0371979"/>
    <s v="2257O"/>
    <s v="OCONUS LUNCH/DINNER MENU14 PE"/>
    <n v="120"/>
    <s v="EA"/>
    <n v="120"/>
    <s v="UGR"/>
    <x v="37"/>
    <x v="5"/>
    <m/>
  </r>
  <r>
    <x v="8"/>
    <x v="3"/>
    <s v="MFG0371986"/>
    <s v="2331O"/>
    <s v="OCONUS S LUN DIN #1 PERISH"/>
    <n v="80"/>
    <s v="EA"/>
    <n v="80"/>
    <s v="UGR"/>
    <x v="37"/>
    <x v="5"/>
    <m/>
  </r>
  <r>
    <x v="8"/>
    <x v="3"/>
    <s v="MFG0371988"/>
    <s v="2333O"/>
    <s v="OCONUS S LUN DIN # 2 PERISH"/>
    <n v="80"/>
    <s v="EA"/>
    <n v="80"/>
    <s v="UGR"/>
    <x v="37"/>
    <x v="5"/>
    <m/>
  </r>
  <r>
    <x v="8"/>
    <x v="3"/>
    <s v="MFG0371989"/>
    <s v="2335O"/>
    <s v="OCONUS S LUN DIN # 3 PERISH"/>
    <n v="80"/>
    <s v="EA"/>
    <n v="80"/>
    <s v="UGR"/>
    <x v="37"/>
    <x v="5"/>
    <m/>
  </r>
  <r>
    <x v="8"/>
    <x v="3"/>
    <s v="MFG0371990"/>
    <s v="2337O"/>
    <s v="OCONUS S LUN DIN # 4 PERISH"/>
    <n v="120"/>
    <s v="EA"/>
    <n v="120"/>
    <s v="UGR"/>
    <x v="37"/>
    <x v="5"/>
    <m/>
  </r>
  <r>
    <x v="8"/>
    <x v="3"/>
    <s v="MFG0371991"/>
    <s v="2339O"/>
    <s v="OCONUS S LUN DIN # 5 PERISH"/>
    <n v="80"/>
    <s v="EA"/>
    <n v="80"/>
    <s v="UGR"/>
    <x v="37"/>
    <x v="5"/>
    <m/>
  </r>
  <r>
    <x v="8"/>
    <x v="3"/>
    <s v="MFG0371992"/>
    <s v="2341O"/>
    <s v="OCONUS S LUN DINN #6 PERISH"/>
    <n v="80"/>
    <s v="EA"/>
    <n v="80"/>
    <s v="UGR"/>
    <x v="37"/>
    <x v="5"/>
    <m/>
  </r>
  <r>
    <x v="8"/>
    <x v="1"/>
    <s v="MFG0371602"/>
    <s v="220131"/>
    <s v="USDA CHILI W/BEANS 12-15 OZ. "/>
    <n v="6600"/>
    <s v="CS"/>
    <n v="79200"/>
    <s v="USD"/>
    <x v="37"/>
    <x v="15"/>
    <m/>
  </r>
  <r>
    <x v="9"/>
    <x v="2"/>
    <s v="MFG0370336"/>
    <s v="7154"/>
    <s v="CHICKEN STIR FRY"/>
    <n v="95000"/>
    <s v="EA"/>
    <n v="95000"/>
    <s v="MRE"/>
    <x v="37"/>
    <x v="6"/>
    <m/>
  </r>
  <r>
    <x v="9"/>
    <x v="7"/>
    <s v="MFG0373563"/>
    <s v="85204"/>
    <s v="FLB CHICKEN 36-10 OZ"/>
    <n v="475"/>
    <s v="CS"/>
    <n v="17100"/>
    <s v="IST"/>
    <x v="37"/>
    <x v="20"/>
    <m/>
  </r>
  <r>
    <x v="9"/>
    <x v="5"/>
    <s v="MFG0372230"/>
    <s v="REDOA1ZCD"/>
    <s v="RED GOLD BARBECUE SAUCE GRADE A PALLET"/>
    <n v="2500"/>
    <s v="CS"/>
    <n v="625000"/>
    <s v="RED"/>
    <x v="37"/>
    <x v="14"/>
    <m/>
  </r>
  <r>
    <x v="9"/>
    <x v="4"/>
    <s v="MFG0372014"/>
    <s v="SKBUT001"/>
    <s v="BUTTERNUT SQUASH W/SPINACH"/>
    <n v="4500"/>
    <s v="CS"/>
    <n v="54000"/>
    <s v="SER"/>
    <x v="37"/>
    <x v="9"/>
    <m/>
  </r>
  <r>
    <x v="9"/>
    <x v="4"/>
    <s v="MFG0372015"/>
    <s v="SKBUT001-B"/>
    <s v="BUTTERNUT SQ W/SPINACH - BULK"/>
    <n v="400"/>
    <s v="CS"/>
    <n v="20000"/>
    <s v="SER"/>
    <x v="37"/>
    <x v="9"/>
    <m/>
  </r>
  <r>
    <x v="9"/>
    <x v="4"/>
    <s v="MFG0372046"/>
    <s v="SKSAL001"/>
    <s v="SALMON W/BNUT SQUASH  &amp; BEET"/>
    <n v="4500"/>
    <s v="CS"/>
    <n v="54000"/>
    <s v="SER"/>
    <x v="37"/>
    <x v="9"/>
    <m/>
  </r>
  <r>
    <x v="9"/>
    <x v="4"/>
    <s v="MFG0373417"/>
    <s v="SKSAL001-B"/>
    <s v="SALMON W/BUTTERNUT SQUASH BULK"/>
    <n v="400"/>
    <s v="CS"/>
    <n v="20000"/>
    <s v="SER"/>
    <x v="37"/>
    <x v="9"/>
    <m/>
  </r>
  <r>
    <x v="9"/>
    <x v="0"/>
    <s v="MFG0372165"/>
    <s v="517700"/>
    <s v="STK CHICKEN SALAD 12-2.6 OZ."/>
    <n v="16667"/>
    <s v="CS"/>
    <n v="200004"/>
    <s v="ST"/>
    <x v="37"/>
    <x v="19"/>
    <m/>
  </r>
  <r>
    <x v="9"/>
    <x v="1"/>
    <s v="MFG0371260"/>
    <s v="220125"/>
    <s v="USDA BEEF STEW 24-24 OZ."/>
    <n v="4265"/>
    <s v="CS"/>
    <n v="102360"/>
    <s v="USD"/>
    <x v="37"/>
    <x v="1"/>
    <m/>
  </r>
  <r>
    <x v="10"/>
    <x v="2"/>
    <s v="MFG0373558"/>
    <s v="7053"/>
    <s v="BEEF GOULASH"/>
    <n v="10000"/>
    <s v="EA"/>
    <n v="10000"/>
    <s v="MRE"/>
    <x v="37"/>
    <x v="6"/>
    <m/>
  </r>
  <r>
    <x v="10"/>
    <x v="2"/>
    <s v="MFG0371209"/>
    <s v="7151"/>
    <s v="ELBOW MAC IN TOM SAUCE"/>
    <n v="60000"/>
    <s v="EA"/>
    <n v="60000"/>
    <s v="MRE"/>
    <x v="37"/>
    <x v="6"/>
    <m/>
  </r>
  <r>
    <x v="10"/>
    <x v="4"/>
    <s v="MFG0371931"/>
    <s v="C53313"/>
    <s v="BEEF MEDLEY 4.0 OZ. - 12 CT. CS"/>
    <n v="6667"/>
    <s v="CS"/>
    <n v="80004"/>
    <s v="HCL"/>
    <x v="37"/>
    <x v="7"/>
    <m/>
  </r>
  <r>
    <x v="10"/>
    <x v="7"/>
    <s v="MFG0373498"/>
    <s v="RD677"/>
    <s v="W3 STARCH TRIAL"/>
    <n v="10000"/>
    <s v="EA"/>
    <n v="10000"/>
    <s v="RD"/>
    <x v="37"/>
    <x v="17"/>
    <m/>
  </r>
  <r>
    <x v="10"/>
    <x v="5"/>
    <s v="MFG0372231"/>
    <s v="REDOA1ZCD"/>
    <s v="RED GOLD BARBECUE SAUCE GRADE A PALLET"/>
    <n v="2500"/>
    <s v="CS"/>
    <n v="625000"/>
    <s v="RED"/>
    <x v="37"/>
    <x v="14"/>
    <m/>
  </r>
  <r>
    <x v="10"/>
    <x v="4"/>
    <s v="MFG0372060"/>
    <s v="SKSWT001"/>
    <s v="SWEET POT W/SPINACH"/>
    <n v="6500"/>
    <s v="CS"/>
    <n v="78000"/>
    <s v="SER"/>
    <x v="37"/>
    <x v="9"/>
    <m/>
  </r>
  <r>
    <x v="10"/>
    <x v="0"/>
    <s v="MFG0372168"/>
    <s v="520880"/>
    <s v="STK WHITE CHKN REDUCE 12-2.6 OZ"/>
    <n v="14584"/>
    <s v="CS"/>
    <n v="175008"/>
    <s v="ST"/>
    <x v="37"/>
    <x v="0"/>
    <m/>
  </r>
  <r>
    <x v="10"/>
    <x v="1"/>
    <s v="MFG0371263"/>
    <s v="220125"/>
    <s v="USDA BEEF STEW 24-24 OZ."/>
    <n v="4265"/>
    <s v="CS"/>
    <n v="102360"/>
    <s v="USD"/>
    <x v="37"/>
    <x v="1"/>
    <m/>
  </r>
  <r>
    <x v="11"/>
    <x v="2"/>
    <s v="MFG0371213"/>
    <s v="7016"/>
    <s v="CHILI W/ BEANS MRE"/>
    <n v="105000"/>
    <s v="EA"/>
    <n v="105000"/>
    <s v="MRE"/>
    <x v="37"/>
    <x v="6"/>
    <m/>
  </r>
  <r>
    <x v="11"/>
    <x v="4"/>
    <s v="MFG0372508"/>
    <s v="SKCHK001"/>
    <s v="SKD CHICKEN W/PEAS &amp; CARROTS"/>
    <n v="6500"/>
    <s v="CS"/>
    <n v="78000"/>
    <s v="SER"/>
    <x v="37"/>
    <x v="9"/>
    <m/>
  </r>
  <r>
    <x v="11"/>
    <x v="0"/>
    <s v="MFG0372173"/>
    <s v="520880"/>
    <s v="STK WHITE CHKN REDUCE 12-2.6 OZ"/>
    <n v="14584"/>
    <s v="CS"/>
    <n v="175008"/>
    <s v="ST"/>
    <x v="37"/>
    <x v="0"/>
    <m/>
  </r>
  <r>
    <x v="12"/>
    <x v="2"/>
    <s v="MFG0371020"/>
    <s v="7018"/>
    <s v="SOUTHWEST BEEF &amp; BLACK BEAN"/>
    <n v="105000"/>
    <s v="EA"/>
    <n v="105000"/>
    <s v="MRE"/>
    <x v="37"/>
    <x v="6"/>
    <m/>
  </r>
  <r>
    <x v="12"/>
    <x v="7"/>
    <s v="MFG0373500"/>
    <s v="85220-24"/>
    <s v="CHILI W/BEANS 7 OZ 24 CT"/>
    <n v="2083"/>
    <s v="CS"/>
    <n v="49992"/>
    <s v="IST"/>
    <x v="37"/>
    <x v="21"/>
    <m/>
  </r>
  <r>
    <x v="12"/>
    <x v="8"/>
    <s v="MFG0372196"/>
    <s v="PT320"/>
    <s v="SOUTHWESTERN CHICKEN CHILI"/>
    <n v="5200"/>
    <s v="EA"/>
    <n v="5200"/>
    <s v="POL"/>
    <x v="37"/>
    <x v="22"/>
    <m/>
  </r>
  <r>
    <x v="12"/>
    <x v="0"/>
    <s v="MFG0373152"/>
    <s v="RD672"/>
    <s v="STK SALSA VERDE TRIAL"/>
    <n v="300"/>
    <s v="CS"/>
    <n v="21600"/>
    <s v="RD"/>
    <x v="37"/>
    <x v="17"/>
    <m/>
  </r>
  <r>
    <x v="12"/>
    <x v="5"/>
    <s v="MFG0372326"/>
    <s v="REDY51ZCD"/>
    <s v="RED GOLD REDUCED SODIUM KETCHUP WW PALLET"/>
    <n v="2500"/>
    <s v="CS"/>
    <n v="625000"/>
    <s v="RED"/>
    <x v="37"/>
    <x v="14"/>
    <m/>
  </r>
  <r>
    <x v="12"/>
    <x v="4"/>
    <s v="MFG0371146"/>
    <s v="SKBFV001"/>
    <s v="GF BEEF W/PEA, BROCCOLI &amp; PEPPER"/>
    <n v="4500"/>
    <s v="CS"/>
    <n v="54000"/>
    <s v="SER"/>
    <x v="37"/>
    <x v="9"/>
    <m/>
  </r>
  <r>
    <x v="12"/>
    <x v="4"/>
    <s v="MFG0371177"/>
    <s v="SKBFV001-B"/>
    <s v="BEEF W/PEA, BROCCOLI &amp; PEPPER BULK PACK"/>
    <n v="400"/>
    <s v="CS"/>
    <n v="20000"/>
    <s v="SER"/>
    <x v="37"/>
    <x v="9"/>
    <m/>
  </r>
  <r>
    <x v="12"/>
    <x v="0"/>
    <s v="MFG0373149"/>
    <s v="520880"/>
    <s v="STK WHITE CHKN REDUCE 12-2.6 OZ"/>
    <n v="13000"/>
    <s v="CS"/>
    <n v="156000"/>
    <s v="ST"/>
    <x v="37"/>
    <x v="0"/>
    <m/>
  </r>
  <r>
    <x v="12"/>
    <x v="3"/>
    <s v="MFG0373543"/>
    <s v="2201"/>
    <s v="BREAKFAST MENU 1 PERISHABLE"/>
    <n v="44"/>
    <s v="EA"/>
    <n v="44"/>
    <s v="UGR"/>
    <x v="37"/>
    <x v="5"/>
    <m/>
  </r>
  <r>
    <x v="12"/>
    <x v="3"/>
    <s v="MFG0373545"/>
    <s v="2203"/>
    <s v="BREAKFAST MENU 2 PERISHABLE"/>
    <n v="44"/>
    <s v="EA"/>
    <n v="44"/>
    <s v="UGR"/>
    <x v="37"/>
    <x v="5"/>
    <m/>
  </r>
  <r>
    <x v="12"/>
    <x v="3"/>
    <s v="MFG0373546"/>
    <s v="2205"/>
    <s v="BREAKFAST MENU 3 PERISHABLE"/>
    <n v="104"/>
    <s v="EA"/>
    <n v="104"/>
    <s v="UGR"/>
    <x v="37"/>
    <x v="5"/>
    <m/>
  </r>
  <r>
    <x v="12"/>
    <x v="3"/>
    <s v="MFG0373547"/>
    <s v="2207"/>
    <s v="BREAKFAST MENU 4 PERISHABLE"/>
    <n v="75"/>
    <s v="EA"/>
    <n v="75"/>
    <s v="UGR"/>
    <x v="37"/>
    <x v="5"/>
    <m/>
  </r>
  <r>
    <x v="12"/>
    <x v="3"/>
    <s v="MFG0373511"/>
    <s v="2209"/>
    <s v="BREAKFAST MENU 5 PERISHABLE"/>
    <n v="39"/>
    <s v="EA"/>
    <n v="39"/>
    <s v="UGR"/>
    <x v="37"/>
    <x v="5"/>
    <m/>
  </r>
  <r>
    <x v="12"/>
    <x v="3"/>
    <s v="MFG0373549"/>
    <s v="2211"/>
    <s v="BREAKFAST MENU 6 PERISHABLE"/>
    <n v="75"/>
    <s v="EA"/>
    <n v="75"/>
    <s v="UGR"/>
    <x v="37"/>
    <x v="5"/>
    <m/>
  </r>
  <r>
    <x v="12"/>
    <x v="3"/>
    <s v="MFG0373562"/>
    <s v="2213"/>
    <s v="BREAKFAST MENU 7 PERISHABLE"/>
    <n v="36"/>
    <s v="EA"/>
    <n v="36"/>
    <s v="UGR"/>
    <x v="37"/>
    <x v="5"/>
    <m/>
  </r>
  <r>
    <x v="12"/>
    <x v="3"/>
    <s v="MFG0373550"/>
    <s v="2231"/>
    <s v="LUNCH/DINNER MENU 1 PERISHABL"/>
    <n v="46"/>
    <s v="EA"/>
    <n v="46"/>
    <s v="UGR"/>
    <x v="37"/>
    <x v="5"/>
    <m/>
  </r>
  <r>
    <x v="12"/>
    <x v="3"/>
    <s v="MFG0373551"/>
    <s v="2233"/>
    <s v="LUNCH/DINNER MENU 2 PERISHABL"/>
    <n v="63"/>
    <s v="EA"/>
    <n v="63"/>
    <s v="UGR"/>
    <x v="37"/>
    <x v="5"/>
    <m/>
  </r>
  <r>
    <x v="12"/>
    <x v="3"/>
    <s v="MFG0373552"/>
    <s v="2235"/>
    <s v="LUNCH/DINNER MENU 3 PERISHABL"/>
    <n v="48"/>
    <s v="EA"/>
    <n v="48"/>
    <s v="UGR"/>
    <x v="37"/>
    <x v="5"/>
    <m/>
  </r>
  <r>
    <x v="12"/>
    <x v="3"/>
    <s v="MFG0373523"/>
    <s v="2237"/>
    <s v="LUNCH/DINNER MENU 4 PERISHABL"/>
    <n v="6"/>
    <s v="EA"/>
    <n v="6"/>
    <s v="UGR"/>
    <x v="37"/>
    <x v="5"/>
    <m/>
  </r>
  <r>
    <x v="12"/>
    <x v="3"/>
    <s v="MFG0373566"/>
    <s v="2239"/>
    <s v="LUNCH/DINNER MENU 5 PERISHABL"/>
    <n v="82"/>
    <s v="EA"/>
    <n v="82"/>
    <s v="UGR"/>
    <x v="37"/>
    <x v="5"/>
    <m/>
  </r>
  <r>
    <x v="12"/>
    <x v="3"/>
    <s v="MFG0373554"/>
    <s v="2241"/>
    <s v="LUNCH/DINNER MENU 6 PERISHABL"/>
    <n v="39"/>
    <s v="EA"/>
    <n v="39"/>
    <s v="UGR"/>
    <x v="37"/>
    <x v="5"/>
    <m/>
  </r>
  <r>
    <x v="12"/>
    <x v="3"/>
    <s v="MFG0373555"/>
    <s v="2243"/>
    <s v="LUNCH/DINNER MENU 7 PERISHABL"/>
    <n v="125"/>
    <s v="EA"/>
    <n v="124.99999999999999"/>
    <s v="UGR"/>
    <x v="37"/>
    <x v="5"/>
    <m/>
  </r>
  <r>
    <x v="12"/>
    <x v="3"/>
    <s v="MFG0373427"/>
    <s v="2247"/>
    <s v="LUNCH/DINNER MENU 9 PERISHABL"/>
    <n v="27"/>
    <s v="EA"/>
    <n v="27"/>
    <s v="UGR"/>
    <x v="37"/>
    <x v="5"/>
    <m/>
  </r>
  <r>
    <x v="12"/>
    <x v="3"/>
    <s v="MFG0373428"/>
    <s v="2249"/>
    <s v="LUNCH/DINNER MENU10 PERISHABL"/>
    <n v="10"/>
    <s v="EA"/>
    <n v="10"/>
    <s v="UGR"/>
    <x v="37"/>
    <x v="5"/>
    <m/>
  </r>
  <r>
    <x v="12"/>
    <x v="3"/>
    <s v="MFG0373429"/>
    <s v="2253"/>
    <s v="LUNCH/DINNER MENU12 PERISHABL"/>
    <n v="10"/>
    <s v="EA"/>
    <n v="10"/>
    <s v="UGR"/>
    <x v="37"/>
    <x v="5"/>
    <m/>
  </r>
  <r>
    <x v="12"/>
    <x v="3"/>
    <s v="MFG0373430"/>
    <s v="2335"/>
    <s v="SHORT LUN DIN # 3 PERISH"/>
    <n v="4"/>
    <s v="EA"/>
    <n v="4"/>
    <s v="UGR"/>
    <x v="37"/>
    <x v="5"/>
    <m/>
  </r>
  <r>
    <x v="12"/>
    <x v="3"/>
    <s v="MFG0373431"/>
    <s v="2337"/>
    <s v="SHORT LUN DIN # 4 PERISH"/>
    <n v="2"/>
    <s v="EA"/>
    <n v="2"/>
    <s v="UGR"/>
    <x v="37"/>
    <x v="5"/>
    <m/>
  </r>
  <r>
    <x v="12"/>
    <x v="1"/>
    <s v="MFG0371264"/>
    <s v="220125"/>
    <s v="USDA BEEF STEW 24-24 OZ."/>
    <n v="4265"/>
    <s v="CS"/>
    <n v="102360"/>
    <s v="USD"/>
    <x v="37"/>
    <x v="1"/>
    <m/>
  </r>
  <r>
    <x v="13"/>
    <x v="2"/>
    <s v="MFG0370346"/>
    <s v="7128"/>
    <s v="MARINARA SAUCE W/ MEATBALLS"/>
    <n v="95000"/>
    <s v="EA"/>
    <n v="95000"/>
    <s v="MRE"/>
    <x v="37"/>
    <x v="6"/>
    <m/>
  </r>
  <r>
    <x v="13"/>
    <x v="8"/>
    <s v="MFG0372197"/>
    <s v="PT320"/>
    <s v="SOUTHWESTERN CHICKEN CHILI"/>
    <n v="5200"/>
    <s v="EA"/>
    <n v="5200"/>
    <s v="POL"/>
    <x v="37"/>
    <x v="22"/>
    <m/>
  </r>
  <r>
    <x v="13"/>
    <x v="5"/>
    <s v="MFG0372327"/>
    <s v="REDY51ZCD"/>
    <s v="RED GOLD REDUCED SODIUM KETCHUP WW PALLET"/>
    <n v="2500"/>
    <s v="CS"/>
    <n v="625000"/>
    <s v="RED"/>
    <x v="37"/>
    <x v="14"/>
    <m/>
  </r>
  <r>
    <x v="13"/>
    <x v="4"/>
    <s v="MFG0372048"/>
    <s v="SKBPK001"/>
    <s v="SER PORK ROAST 3.5 OZ 12 CT."/>
    <n v="4500"/>
    <s v="CS"/>
    <n v="54000"/>
    <s v="SER"/>
    <x v="37"/>
    <x v="9"/>
    <m/>
  </r>
  <r>
    <x v="13"/>
    <x v="4"/>
    <s v="MFG0372049"/>
    <s v="SKBPK001-B"/>
    <s v="SER PORK ROAST 3.5 OZ 50 CT."/>
    <n v="400"/>
    <s v="CS"/>
    <n v="20000"/>
    <s v="SER"/>
    <x v="37"/>
    <x v="9"/>
    <m/>
  </r>
  <r>
    <x v="13"/>
    <x v="4"/>
    <s v="MFG0372044"/>
    <s v="SKBUT001"/>
    <s v="BUTTERNUT SQUASH W/SPINACH"/>
    <n v="4500"/>
    <s v="CS"/>
    <n v="54000"/>
    <s v="SER"/>
    <x v="37"/>
    <x v="9"/>
    <m/>
  </r>
  <r>
    <x v="13"/>
    <x v="4"/>
    <s v="MFG0372045"/>
    <s v="SKBUT001-B"/>
    <s v="BUTTERNUT SQ W/SPINACH - BULK"/>
    <n v="400"/>
    <s v="CS"/>
    <n v="20000"/>
    <s v="SER"/>
    <x v="37"/>
    <x v="9"/>
    <m/>
  </r>
  <r>
    <x v="13"/>
    <x v="0"/>
    <s v="MFG0372175"/>
    <s v="520860"/>
    <s v="STK WHITE CHICKEN 12-2.6 OZ."/>
    <n v="14584"/>
    <s v="CS"/>
    <n v="175008"/>
    <s v="ST"/>
    <x v="37"/>
    <x v="0"/>
    <m/>
  </r>
  <r>
    <x v="13"/>
    <x v="1"/>
    <s v="MFG0371265"/>
    <s v="220125"/>
    <s v="USDA BEEF STEW 24-24 OZ."/>
    <n v="4265"/>
    <s v="CS"/>
    <n v="102360"/>
    <s v="USD"/>
    <x v="37"/>
    <x v="1"/>
    <m/>
  </r>
  <r>
    <x v="14"/>
    <x v="2"/>
    <s v="MFG0372182"/>
    <s v="7037"/>
    <s v="MEXICAN RICE AND BEANS"/>
    <n v="95000"/>
    <s v="EA"/>
    <n v="95000"/>
    <s v="MRE"/>
    <x v="37"/>
    <x v="6"/>
    <m/>
  </r>
  <r>
    <x v="14"/>
    <x v="4"/>
    <s v="MFG0372515"/>
    <s v="C53313"/>
    <s v="BEEF MEDLEY 4.0 OZ. - 12 CT. CS"/>
    <n v="6667"/>
    <s v="CS"/>
    <n v="80004"/>
    <s v="HCL"/>
    <x v="37"/>
    <x v="7"/>
    <m/>
  </r>
  <r>
    <x v="14"/>
    <x v="8"/>
    <s v="MFG0372198"/>
    <s v="PT320"/>
    <s v="SOUTHWESTERN CHICKEN CHILI"/>
    <n v="5200"/>
    <s v="EA"/>
    <n v="5200"/>
    <s v="POL"/>
    <x v="37"/>
    <x v="22"/>
    <m/>
  </r>
  <r>
    <x v="14"/>
    <x v="4"/>
    <s v="MFG0372050"/>
    <s v="SKPOR001"/>
    <s v="SER PORK GB &amp; SWP 3.5OZ 12CT"/>
    <n v="6500"/>
    <s v="CS"/>
    <n v="78000"/>
    <s v="SER"/>
    <x v="37"/>
    <x v="9"/>
    <m/>
  </r>
  <r>
    <x v="14"/>
    <x v="0"/>
    <s v="MFG0372176"/>
    <s v="520860"/>
    <s v="STK WHITE CHICKEN 12-2.6 OZ."/>
    <n v="14584"/>
    <s v="CS"/>
    <n v="175008"/>
    <s v="ST"/>
    <x v="37"/>
    <x v="0"/>
    <m/>
  </r>
  <r>
    <x v="14"/>
    <x v="1"/>
    <s v="MFG0371262"/>
    <s v="220125"/>
    <s v="USDA BEEF STEW 24-24 OZ."/>
    <n v="4265"/>
    <s v="CS"/>
    <n v="102360"/>
    <s v="USD"/>
    <x v="37"/>
    <x v="1"/>
    <m/>
  </r>
  <r>
    <x v="15"/>
    <x v="2"/>
    <s v="MFG0372195"/>
    <s v="7076"/>
    <s v="CHICKEN NOODLES W/ VEGETABLES"/>
    <n v="95000"/>
    <s v="EA"/>
    <n v="95000"/>
    <s v="MRE"/>
    <x v="37"/>
    <x v="6"/>
    <m/>
  </r>
  <r>
    <x v="15"/>
    <x v="9"/>
    <s v="MFG0371912"/>
    <s v="7158"/>
    <s v="CHERRY-BLUEBERRY COBBLER MRE"/>
    <n v="600"/>
    <s v="EA"/>
    <n v="600"/>
    <s v="MRE"/>
    <x v="37"/>
    <x v="6"/>
    <m/>
  </r>
  <r>
    <x v="15"/>
    <x v="4"/>
    <s v="MFG0371930"/>
    <s v="C53311"/>
    <s v="MAC &amp; CHEESE W/VEGETABLES 4.0 OZ 12 CT. "/>
    <n v="6667"/>
    <s v="CS"/>
    <n v="80004"/>
    <s v="HCL"/>
    <x v="37"/>
    <x v="7"/>
    <m/>
  </r>
  <r>
    <x v="15"/>
    <x v="7"/>
    <s v="MFG0373501"/>
    <s v="85134-24"/>
    <s v="CHICKEN 4.5 OZ 24 CT CS"/>
    <n v="1667"/>
    <s v="CS"/>
    <n v="40008"/>
    <s v="IST"/>
    <x v="37"/>
    <x v="23"/>
    <m/>
  </r>
  <r>
    <x v="15"/>
    <x v="8"/>
    <s v="MFG0372200"/>
    <s v="PT503"/>
    <s v="SWEET POTATO CASSEROLE"/>
    <n v="5500"/>
    <s v="EA"/>
    <n v="5500"/>
    <s v="POL"/>
    <x v="37"/>
    <x v="22"/>
    <m/>
  </r>
  <r>
    <x v="15"/>
    <x v="4"/>
    <s v="MFG0372058"/>
    <s v="SKPKV001"/>
    <s v="SER PORK APPLE PAR 3.5 12 CT"/>
    <n v="4500"/>
    <s v="CS"/>
    <n v="54000"/>
    <s v="SER"/>
    <x v="37"/>
    <x v="9"/>
    <m/>
  </r>
  <r>
    <x v="15"/>
    <x v="4"/>
    <s v="MFG0372059"/>
    <s v="SKPKV001-B"/>
    <s v="SER PORK APPLE PAR 3.5 50 CT"/>
    <n v="400"/>
    <s v="CS"/>
    <n v="20000"/>
    <s v="SER"/>
    <x v="37"/>
    <x v="9"/>
    <m/>
  </r>
  <r>
    <x v="15"/>
    <x v="0"/>
    <s v="MFG0372174"/>
    <s v="520860"/>
    <s v="STK WHITE CHICKEN 12-2.6 OZ."/>
    <n v="14584"/>
    <s v="CS"/>
    <n v="175008"/>
    <s v="ST"/>
    <x v="37"/>
    <x v="0"/>
    <m/>
  </r>
  <r>
    <x v="15"/>
    <x v="1"/>
    <s v="MFG0372101"/>
    <s v="220125"/>
    <s v="USDA BEEF STEW 24-24 OZ."/>
    <n v="4265"/>
    <s v="CS"/>
    <n v="102360"/>
    <s v="USD"/>
    <x v="37"/>
    <x v="1"/>
    <m/>
  </r>
  <r>
    <x v="16"/>
    <x v="2"/>
    <s v="MFG0372183"/>
    <s v="7121"/>
    <s v="CHICKEN BURRITO FILLING"/>
    <n v="95000"/>
    <s v="EA"/>
    <n v="95000"/>
    <s v="MRE"/>
    <x v="37"/>
    <x v="6"/>
    <m/>
  </r>
  <r>
    <x v="16"/>
    <x v="0"/>
    <s v="MFG0370148"/>
    <s v="85129"/>
    <s v="FLB WHITE CHICKEN 12-2.6 OZ"/>
    <n v="16667"/>
    <s v="CS"/>
    <n v="200004"/>
    <s v="IST"/>
    <x v="37"/>
    <x v="13"/>
    <m/>
  </r>
  <r>
    <x v="16"/>
    <x v="7"/>
    <s v="MFG0373499"/>
    <s v="85210-12"/>
    <s v="FLB CHILI W/BEANS 12-15 OZ. "/>
    <n v="4166"/>
    <s v="CS"/>
    <n v="49992"/>
    <s v="IST"/>
    <x v="37"/>
    <x v="24"/>
    <m/>
  </r>
  <r>
    <x v="16"/>
    <x v="8"/>
    <s v="MFG0372199"/>
    <s v="PT300"/>
    <s v="MASHED POTATOES POLY TRAY"/>
    <n v="5400"/>
    <s v="EA"/>
    <n v="5400"/>
    <s v="POL"/>
    <x v="37"/>
    <x v="22"/>
    <m/>
  </r>
  <r>
    <x v="16"/>
    <x v="4"/>
    <s v="MFG0372047"/>
    <s v="SKSAL001"/>
    <s v="SALMON W/BNUT SQUASH  &amp; BEET"/>
    <n v="6500"/>
    <s v="CS"/>
    <n v="78000"/>
    <s v="SER"/>
    <x v="37"/>
    <x v="9"/>
    <m/>
  </r>
  <r>
    <x v="17"/>
    <x v="2"/>
    <s v="MFG0372194"/>
    <s v="79502"/>
    <s v="BANANA AND PUMPKIN"/>
    <n v="105000"/>
    <s v="EA"/>
    <n v="105000"/>
    <s v="FRU"/>
    <x v="37"/>
    <x v="2"/>
    <m/>
  </r>
  <r>
    <x v="17"/>
    <x v="0"/>
    <s v="MFG0372479"/>
    <s v="85129"/>
    <s v="FLB WHITE CHICKEN 12-2.6 OZ"/>
    <n v="16667"/>
    <s v="CS"/>
    <n v="200004"/>
    <s v="IST"/>
    <x v="37"/>
    <x v="13"/>
    <m/>
  </r>
  <r>
    <x v="17"/>
    <x v="4"/>
    <s v="MFG0372027"/>
    <s v="SKMCS001"/>
    <s v="SER FR CHICKEN MEXICAN INSPIRED STEW"/>
    <n v="6500"/>
    <s v="CS"/>
    <n v="78000"/>
    <s v="SER"/>
    <x v="37"/>
    <x v="9"/>
    <m/>
  </r>
  <r>
    <x v="18"/>
    <x v="2"/>
    <s v="MFG0373391"/>
    <s v="79500"/>
    <s v="SPICED APPLES"/>
    <n v="1"/>
    <s v="EA"/>
    <m/>
    <s v="FRU"/>
    <x v="37"/>
    <x v="2"/>
    <m/>
  </r>
  <r>
    <x v="19"/>
    <x v="2"/>
    <s v="MFG0370066"/>
    <s v="79502"/>
    <s v="BANANA AND PUMPKIN"/>
    <n v="105000"/>
    <s v="EA"/>
    <n v="105000"/>
    <s v="FRU"/>
    <x v="37"/>
    <x v="2"/>
    <m/>
  </r>
  <r>
    <x v="19"/>
    <x v="0"/>
    <s v="MFG0371296"/>
    <s v="85216"/>
    <s v="FLB PIZZA MAC 48-7 OZ"/>
    <n v="3750"/>
    <s v="CS"/>
    <n v="180000"/>
    <s v="IST"/>
    <x v="37"/>
    <x v="25"/>
    <m/>
  </r>
  <r>
    <x v="19"/>
    <x v="8"/>
    <s v="MFG0372204"/>
    <s v="PT518"/>
    <s v="PORK SAUSAGE LINKS"/>
    <n v="5300"/>
    <s v="EA"/>
    <n v="5300"/>
    <s v="POL"/>
    <x v="37"/>
    <x v="22"/>
    <m/>
  </r>
  <r>
    <x v="19"/>
    <x v="5"/>
    <s v="MFG0372321"/>
    <s v="REDOA1ZCD"/>
    <s v="RED GOLD BARBECUE SAUCE GRADE A PALLET"/>
    <n v="2500"/>
    <s v="CS"/>
    <n v="625000"/>
    <s v="RED"/>
    <x v="37"/>
    <x v="14"/>
    <m/>
  </r>
  <r>
    <x v="19"/>
    <x v="4"/>
    <s v="MFG0372062"/>
    <s v="SKBIS001"/>
    <s v="SKD BISON W/KABOCHA SQ &amp; SPIN"/>
    <n v="6500"/>
    <s v="CS"/>
    <n v="78000"/>
    <s v="SER"/>
    <x v="37"/>
    <x v="9"/>
    <m/>
  </r>
  <r>
    <x v="19"/>
    <x v="4"/>
    <s v="MFG0372061"/>
    <s v="SKROO001"/>
    <s v="ROOTS"/>
    <n v="6500"/>
    <s v="CS"/>
    <n v="78000"/>
    <s v="SER"/>
    <x v="37"/>
    <x v="9"/>
    <m/>
  </r>
  <r>
    <x v="20"/>
    <x v="0"/>
    <s v="MFG0372540"/>
    <s v="85205-48"/>
    <s v="FLB WHITE CHICKEN CHILI 8 OZ"/>
    <n v="3750"/>
    <s v="CS"/>
    <n v="180000"/>
    <s v="IST"/>
    <x v="37"/>
    <x v="26"/>
    <m/>
  </r>
  <r>
    <x v="20"/>
    <x v="2"/>
    <s v="MFG0372193"/>
    <s v="79501"/>
    <s v="APPLE STRAWBERRY CARROT"/>
    <n v="105000"/>
    <s v="EA"/>
    <n v="105000"/>
    <s v="FRU"/>
    <x v="37"/>
    <x v="2"/>
    <m/>
  </r>
  <r>
    <x v="20"/>
    <x v="8"/>
    <s v="MFG0372202"/>
    <s v="PT516"/>
    <s v="CORNED BEEF HASH"/>
    <n v="5500"/>
    <s v="EA"/>
    <n v="5500"/>
    <s v="POL"/>
    <x v="37"/>
    <x v="22"/>
    <m/>
  </r>
  <r>
    <x v="20"/>
    <x v="5"/>
    <s v="MFG0372322"/>
    <s v="REDOA1ZCD"/>
    <s v="RED GOLD BARBECUE SAUCE GRADE A PALLET"/>
    <n v="2500"/>
    <s v="CS"/>
    <n v="625000"/>
    <s v="RED"/>
    <x v="37"/>
    <x v="14"/>
    <m/>
  </r>
  <r>
    <x v="20"/>
    <x v="4"/>
    <s v="MFG0372063"/>
    <s v="SKBIS001"/>
    <s v="SKD BISON W/KABOCHA SQ &amp; SPIN"/>
    <n v="6500"/>
    <s v="CS"/>
    <n v="78000"/>
    <s v="SER"/>
    <x v="37"/>
    <x v="9"/>
    <m/>
  </r>
  <r>
    <x v="20"/>
    <x v="4"/>
    <s v="MFG0372064"/>
    <s v="SKROO001"/>
    <s v="ROOTS"/>
    <n v="6500"/>
    <s v="CS"/>
    <n v="78000"/>
    <s v="SER"/>
    <x v="37"/>
    <x v="9"/>
    <m/>
  </r>
  <r>
    <x v="21"/>
    <x v="0"/>
    <s v="MFG0371293"/>
    <s v="85127-48"/>
    <s v="FLB SOUTHW CHIX W/RICE &amp; BEANS 48-8 OZ"/>
    <n v="3750"/>
    <s v="CS"/>
    <n v="180000"/>
    <s v="IST"/>
    <x v="37"/>
    <x v="27"/>
    <m/>
  </r>
  <r>
    <x v="21"/>
    <x v="2"/>
    <s v="MFG0372189"/>
    <s v="7010"/>
    <s v="BEEF STEW"/>
    <n v="105000"/>
    <s v="EA"/>
    <n v="105000"/>
    <s v="MRE"/>
    <x v="37"/>
    <x v="6"/>
    <m/>
  </r>
  <r>
    <x v="21"/>
    <x v="8"/>
    <s v="MFG0372203"/>
    <s v="PT516"/>
    <s v="CORNED BEEF HASH"/>
    <n v="5500"/>
    <s v="EA"/>
    <n v="5500"/>
    <s v="POL"/>
    <x v="37"/>
    <x v="22"/>
    <m/>
  </r>
  <r>
    <x v="21"/>
    <x v="5"/>
    <s v="MFG0372323"/>
    <s v="REDOA1ZCD"/>
    <s v="RED GOLD BARBECUE SAUCE GRADE A PALLET"/>
    <n v="2500"/>
    <s v="CS"/>
    <n v="625000"/>
    <s v="RED"/>
    <x v="37"/>
    <x v="14"/>
    <m/>
  </r>
  <r>
    <x v="21"/>
    <x v="4"/>
    <s v="MFG0372066"/>
    <s v="SKBIS001"/>
    <s v="SKD BISON W/KABOCHA SQ &amp; SPIN"/>
    <n v="6500"/>
    <s v="CS"/>
    <n v="78000"/>
    <s v="SER"/>
    <x v="37"/>
    <x v="9"/>
    <m/>
  </r>
  <r>
    <x v="21"/>
    <x v="4"/>
    <s v="MFG0372065"/>
    <s v="SKROO001"/>
    <s v="ROOTS"/>
    <n v="6500"/>
    <s v="CS"/>
    <n v="78000"/>
    <s v="SER"/>
    <x v="37"/>
    <x v="9"/>
    <m/>
  </r>
  <r>
    <x v="21"/>
    <x v="9"/>
    <s v="MFG0372481"/>
    <s v="520900"/>
    <s v="STK WHITE CHICKEN 12-5OZ"/>
    <n v="4000"/>
    <s v="CS"/>
    <n v="48000"/>
    <s v="ST"/>
    <x v="37"/>
    <x v="28"/>
    <m/>
  </r>
  <r>
    <x v="22"/>
    <x v="0"/>
    <s v="MFG0371292"/>
    <s v="85127-48"/>
    <s v="FLB SOUTHW CHIX W/RICE &amp; BEANS 48-8 OZ"/>
    <n v="3750"/>
    <s v="CS"/>
    <n v="180000"/>
    <s v="IST"/>
    <x v="37"/>
    <x v="27"/>
    <m/>
  </r>
  <r>
    <x v="22"/>
    <x v="2"/>
    <s v="MFG0371353"/>
    <s v="7128"/>
    <s v="MARINARA SAUCE W/ MEATBALLS"/>
    <n v="87000"/>
    <s v="EA"/>
    <n v="87000"/>
    <s v="MRE"/>
    <x v="37"/>
    <x v="6"/>
    <m/>
  </r>
  <r>
    <x v="22"/>
    <x v="8"/>
    <s v="MFG0372238"/>
    <s v="PT516"/>
    <s v="CORNED BEEF HASH"/>
    <n v="2600"/>
    <s v="EA"/>
    <n v="2600"/>
    <s v="POL"/>
    <x v="37"/>
    <x v="22"/>
    <m/>
  </r>
  <r>
    <x v="22"/>
    <x v="5"/>
    <s v="MFG0372324"/>
    <s v="REDOA1ZCD"/>
    <s v="RED GOLD BARBECUE SAUCE GRADE A PALLET"/>
    <n v="2500"/>
    <s v="CS"/>
    <n v="625000"/>
    <s v="RED"/>
    <x v="37"/>
    <x v="14"/>
    <m/>
  </r>
  <r>
    <x v="22"/>
    <x v="4"/>
    <s v="MFG0372509"/>
    <s v="SKCHK001"/>
    <s v="SKD CHICKEN W/PEAS &amp; CARROTS"/>
    <n v="6500"/>
    <s v="CS"/>
    <n v="78000"/>
    <s v="SER"/>
    <x v="37"/>
    <x v="9"/>
    <m/>
  </r>
  <r>
    <x v="22"/>
    <x v="4"/>
    <s v="MFG0372068"/>
    <s v="SKCTM001"/>
    <s v="SER CHIX TIKKA MASL 3.5 12 CT"/>
    <n v="4500"/>
    <s v="CS"/>
    <n v="54000"/>
    <s v="SER"/>
    <x v="37"/>
    <x v="9"/>
    <m/>
  </r>
  <r>
    <x v="22"/>
    <x v="4"/>
    <s v="MFG0372069"/>
    <s v="SKCTM001-B"/>
    <s v="SER FR CHICKEN TIKKA MASALA 50 CT. CS."/>
    <n v="400"/>
    <s v="CS"/>
    <n v="20000"/>
    <s v="SER"/>
    <x v="37"/>
    <x v="9"/>
    <m/>
  </r>
  <r>
    <x v="22"/>
    <x v="9"/>
    <s v="MFG0372482"/>
    <s v="520900"/>
    <s v="STK WHITE CHICKEN 12-5OZ"/>
    <n v="4000"/>
    <s v="CS"/>
    <n v="48000"/>
    <s v="ST"/>
    <x v="37"/>
    <x v="28"/>
    <m/>
  </r>
  <r>
    <x v="23"/>
    <x v="0"/>
    <s v="MFG0372251"/>
    <s v="85120-48"/>
    <s v="FLB SPAGHETTI W/MEAT SAUCE 8 OZ. 48 CT. CS. "/>
    <n v="3750"/>
    <s v="CS"/>
    <n v="180000"/>
    <s v="IST"/>
    <x v="37"/>
    <x v="29"/>
    <m/>
  </r>
  <r>
    <x v="23"/>
    <x v="2"/>
    <s v="MFG0372188"/>
    <s v="7154"/>
    <s v="CHICKEN STIR FRY"/>
    <n v="105000"/>
    <s v="EA"/>
    <n v="105000"/>
    <s v="MRE"/>
    <x v="37"/>
    <x v="6"/>
    <m/>
  </r>
  <r>
    <x v="23"/>
    <x v="5"/>
    <s v="MFG0372325"/>
    <s v="REDOA1ZCD"/>
    <s v="RED GOLD BARBECUE SAUCE GRADE A PALLET"/>
    <n v="2500"/>
    <s v="CS"/>
    <n v="625000"/>
    <s v="RED"/>
    <x v="37"/>
    <x v="14"/>
    <m/>
  </r>
  <r>
    <x v="23"/>
    <x v="4"/>
    <s v="MFG0372020"/>
    <s v="SKCSP001"/>
    <s v="SKD CARROT &amp; SPINACH W/BASIL"/>
    <n v="4500"/>
    <s v="CS"/>
    <n v="54000"/>
    <s v="SER"/>
    <x v="37"/>
    <x v="9"/>
    <m/>
  </r>
  <r>
    <x v="23"/>
    <x v="4"/>
    <s v="MFG0372021"/>
    <s v="SKCSPBULK"/>
    <s v="CARROT &amp; SPINACH W/BASIL"/>
    <n v="400"/>
    <s v="CS"/>
    <n v="20000"/>
    <s v="SER"/>
    <x v="37"/>
    <x v="9"/>
    <m/>
  </r>
  <r>
    <x v="23"/>
    <x v="4"/>
    <s v="MFG0371164"/>
    <s v="SKTCC001"/>
    <s v="SER FR COCONUT CURRY W/CHICKEN"/>
    <n v="6500"/>
    <s v="CS"/>
    <n v="78000"/>
    <s v="SER"/>
    <x v="37"/>
    <x v="9"/>
    <m/>
  </r>
  <r>
    <x v="23"/>
    <x v="9"/>
    <s v="MFG0372483"/>
    <s v="520900"/>
    <s v="STK WHITE CHICKEN 12-5OZ"/>
    <n v="4000"/>
    <s v="CS"/>
    <n v="48000"/>
    <s v="ST"/>
    <x v="37"/>
    <x v="28"/>
    <m/>
  </r>
  <r>
    <x v="24"/>
    <x v="0"/>
    <s v="MFG0372252"/>
    <s v="85120-48"/>
    <s v="FLB SPAGHETTI W/MEAT SAUCE 8 OZ. 48 CT. CS. "/>
    <n v="3750"/>
    <s v="CS"/>
    <n v="180000"/>
    <s v="IST"/>
    <x v="37"/>
    <x v="29"/>
    <m/>
  </r>
  <r>
    <x v="24"/>
    <x v="2"/>
    <s v="MFG0372187"/>
    <s v="7016"/>
    <s v="CHILI W/ BEANS MRE"/>
    <n v="105000"/>
    <s v="EA"/>
    <n v="105000"/>
    <s v="MRE"/>
    <x v="37"/>
    <x v="6"/>
    <m/>
  </r>
  <r>
    <x v="24"/>
    <x v="9"/>
    <s v="MFG0372480"/>
    <s v="520900"/>
    <s v="STK WHITE CHICKEN 12-5OZ"/>
    <n v="4000"/>
    <s v="CS"/>
    <n v="48000"/>
    <s v="ST"/>
    <x v="37"/>
    <x v="28"/>
    <m/>
  </r>
  <r>
    <x v="25"/>
    <x v="0"/>
    <s v="MFG0371564"/>
    <s v="131681"/>
    <s v="HML SPAMMY 60-4.0 OZ "/>
    <n v="3333"/>
    <s v="CS"/>
    <n v="199980"/>
    <s v="HML"/>
    <x v="37"/>
    <x v="30"/>
    <m/>
  </r>
  <r>
    <x v="25"/>
    <x v="2"/>
    <s v="MFG0372186"/>
    <s v="7046"/>
    <s v="BEEF PICADILLO 8 OZ. "/>
    <n v="50000"/>
    <s v="EA"/>
    <n v="50000.000000000007"/>
    <s v="MRE"/>
    <x v="37"/>
    <x v="6"/>
    <m/>
  </r>
  <r>
    <x v="25"/>
    <x v="2"/>
    <s v="MFG0371907"/>
    <s v="7149"/>
    <s v="BEEF STRIPS IN SAVORY SCE"/>
    <n v="10000"/>
    <s v="EA"/>
    <n v="10000"/>
    <s v="MRE"/>
    <x v="37"/>
    <x v="6"/>
    <m/>
  </r>
  <r>
    <x v="25"/>
    <x v="4"/>
    <s v="MFG0372506"/>
    <s v="SKBEF001"/>
    <s v="SKD BEEF W/KALE &amp; SWEET POT"/>
    <n v="6500"/>
    <s v="CS"/>
    <n v="78000"/>
    <s v="SER"/>
    <x v="37"/>
    <x v="9"/>
    <m/>
  </r>
  <r>
    <x v="25"/>
    <x v="9"/>
    <s v="MFG0372524"/>
    <s v="520900"/>
    <s v="STK WHITE CHICKEN 12-5OZ"/>
    <n v="4000"/>
    <s v="CS"/>
    <n v="48000"/>
    <s v="ST"/>
    <x v="37"/>
    <x v="28"/>
    <m/>
  </r>
  <r>
    <x v="25"/>
    <x v="1"/>
    <s v="MFG0372471"/>
    <s v="8013256"/>
    <s v="HOT CHILI WITH BEANS"/>
    <n v="4500"/>
    <s v="CS"/>
    <n v="108000"/>
    <s v="USU"/>
    <x v="37"/>
    <x v="31"/>
    <m/>
  </r>
  <r>
    <x v="26"/>
    <x v="0"/>
    <s v="MFG0371565"/>
    <s v="131681"/>
    <s v="HML SPAMMY 60-4.0 OZ "/>
    <n v="3333"/>
    <s v="CS"/>
    <n v="199980"/>
    <s v="HML"/>
    <x v="37"/>
    <x v="30"/>
    <m/>
  </r>
  <r>
    <x v="26"/>
    <x v="2"/>
    <s v="MFG0373556"/>
    <s v="7033"/>
    <s v="THAI RED CURRY W/CHICKEN 8 OZ."/>
    <n v="50000"/>
    <s v="EA"/>
    <n v="50000.000000000007"/>
    <s v="MRE"/>
    <x v="37"/>
    <x v="6"/>
    <m/>
  </r>
  <r>
    <x v="26"/>
    <x v="4"/>
    <s v="MFG0372507"/>
    <s v="SKBEF001"/>
    <s v="SKD BEEF W/KALE &amp; SWEET POT"/>
    <n v="6500"/>
    <s v="CS"/>
    <n v="78000"/>
    <s v="SER"/>
    <x v="37"/>
    <x v="9"/>
    <m/>
  </r>
  <r>
    <x v="26"/>
    <x v="9"/>
    <s v="MFG0372525"/>
    <s v="520900"/>
    <s v="STK WHITE CHICKEN 12-5OZ"/>
    <n v="4000"/>
    <s v="CS"/>
    <n v="48000"/>
    <s v="ST"/>
    <x v="37"/>
    <x v="28"/>
    <m/>
  </r>
  <r>
    <x v="26"/>
    <x v="3"/>
    <s v="MFG0373561"/>
    <s v="2207"/>
    <s v="BREAKFAST MENU 4 PERISHABLE"/>
    <n v="36"/>
    <s v="EA"/>
    <n v="36"/>
    <s v="UGR"/>
    <x v="37"/>
    <x v="5"/>
    <m/>
  </r>
  <r>
    <x v="26"/>
    <x v="3"/>
    <s v="MFG0373557"/>
    <s v="2235"/>
    <s v="LUNCH/DINNER MENU 3 PERISHABL"/>
    <n v="29"/>
    <s v="EA"/>
    <n v="29"/>
    <s v="UGR"/>
    <x v="37"/>
    <x v="5"/>
    <m/>
  </r>
  <r>
    <x v="26"/>
    <x v="1"/>
    <s v="MFG0372472"/>
    <s v="8013210"/>
    <s v="CHILI WITH NO BEANS"/>
    <n v="2350"/>
    <s v="CS"/>
    <n v="56400"/>
    <s v="USU"/>
    <x v="37"/>
    <x v="31"/>
    <m/>
  </r>
  <r>
    <x v="27"/>
    <x v="0"/>
    <s v="MFG0371566"/>
    <s v="131681"/>
    <s v="HML SPAMMY 60-4.0 OZ "/>
    <n v="3333"/>
    <s v="CS"/>
    <n v="199980"/>
    <s v="HML"/>
    <x v="37"/>
    <x v="30"/>
    <m/>
  </r>
  <r>
    <x v="27"/>
    <x v="2"/>
    <s v="MFG0372184"/>
    <s v="7019"/>
    <s v="BUFFALO CHICKEN 5.0 F. WT."/>
    <n v="50000"/>
    <s v="EA"/>
    <n v="50000.000000000007"/>
    <s v="MRE"/>
    <x v="37"/>
    <x v="6"/>
    <m/>
  </r>
  <r>
    <x v="27"/>
    <x v="4"/>
    <s v="MFG0372018"/>
    <s v="SKCHK001"/>
    <s v="SKD CHICKEN W/PEAS &amp; CARROTS"/>
    <n v="6500"/>
    <s v="CS"/>
    <n v="78000"/>
    <s v="SER"/>
    <x v="37"/>
    <x v="9"/>
    <m/>
  </r>
  <r>
    <x v="27"/>
    <x v="9"/>
    <s v="MFG0372526"/>
    <s v="520900"/>
    <s v="STK WHITE CHICKEN 12-5OZ"/>
    <n v="4000"/>
    <s v="CS"/>
    <n v="48000"/>
    <s v="ST"/>
    <x v="37"/>
    <x v="28"/>
    <m/>
  </r>
  <r>
    <x v="27"/>
    <x v="1"/>
    <s v="MFG0372172"/>
    <s v="220185"/>
    <s v="UGR APPLE CIN OATMEAL 24-24OZ"/>
    <n v="2200"/>
    <s v="CS"/>
    <n v="52800.000000000007"/>
    <s v="UGR"/>
    <x v="37"/>
    <x v="32"/>
    <m/>
  </r>
  <r>
    <x v="28"/>
    <x v="0"/>
    <s v="MFG0371567"/>
    <s v="131681"/>
    <s v="HML SPAMMY 60-4.0 OZ "/>
    <n v="3333"/>
    <s v="CS"/>
    <n v="199980"/>
    <s v="HML"/>
    <x v="37"/>
    <x v="30"/>
    <m/>
  </r>
  <r>
    <x v="28"/>
    <x v="2"/>
    <s v="MFG0372190"/>
    <s v="7018"/>
    <s v="SOUTHWEST BEEF &amp; BLACK BEAN"/>
    <n v="105000"/>
    <s v="EA"/>
    <n v="105000"/>
    <s v="MRE"/>
    <x v="37"/>
    <x v="6"/>
    <m/>
  </r>
  <r>
    <x v="28"/>
    <x v="4"/>
    <s v="MFG0372019"/>
    <s v="SKCHK001"/>
    <s v="SKD CHICKEN W/PEAS &amp; CARROTS"/>
    <n v="6500"/>
    <s v="CS"/>
    <n v="78000"/>
    <s v="SER"/>
    <x v="37"/>
    <x v="9"/>
    <m/>
  </r>
  <r>
    <x v="28"/>
    <x v="9"/>
    <s v="MFG0372527"/>
    <s v="520900"/>
    <s v="STK WHITE CHICKEN 12-5OZ"/>
    <n v="4000"/>
    <s v="CS"/>
    <n v="48000"/>
    <s v="ST"/>
    <x v="37"/>
    <x v="28"/>
    <m/>
  </r>
  <r>
    <x v="29"/>
    <x v="0"/>
    <s v="MFG0371568"/>
    <s v="131681"/>
    <s v="HML SPAMMY 60-4.0 OZ "/>
    <n v="3333"/>
    <s v="CS"/>
    <n v="199980"/>
    <s v="HML"/>
    <x v="37"/>
    <x v="30"/>
    <m/>
  </r>
  <r>
    <x v="29"/>
    <x v="2"/>
    <s v="MFG0372191"/>
    <s v="7013"/>
    <s v="SANTA FE RICE AND BEANS"/>
    <n v="105000"/>
    <s v="EA"/>
    <n v="105000"/>
    <s v="MRE"/>
    <x v="37"/>
    <x v="6"/>
    <m/>
  </r>
  <r>
    <x v="29"/>
    <x v="4"/>
    <s v="MFG0372511"/>
    <s v="SKSAL001"/>
    <s v="SALMON W/BNUT SQUASH  &amp; BEET"/>
    <n v="6500"/>
    <s v="CS"/>
    <n v="78000"/>
    <s v="SER"/>
    <x v="37"/>
    <x v="9"/>
    <m/>
  </r>
  <r>
    <x v="29"/>
    <x v="9"/>
    <s v="MFG0372528"/>
    <s v="520900"/>
    <s v="STK WHITE CHICKEN 12-5OZ"/>
    <n v="4000"/>
    <s v="CS"/>
    <n v="48000"/>
    <s v="ST"/>
    <x v="37"/>
    <x v="28"/>
    <m/>
  </r>
  <r>
    <x v="30"/>
    <x v="0"/>
    <s v="MFG0371814"/>
    <s v="85207"/>
    <s v="FLB BBQ  WHITE CHICKEN 48-4.5 OZ"/>
    <n v="3645"/>
    <s v="CS"/>
    <n v="174960"/>
    <s v="IST"/>
    <x v="37"/>
    <x v="33"/>
    <m/>
  </r>
  <r>
    <x v="30"/>
    <x v="2"/>
    <s v="MFG0372192"/>
    <s v="79500"/>
    <s v="SPICED APPLES"/>
    <n v="105000"/>
    <s v="EA"/>
    <n v="105000"/>
    <s v="FRU"/>
    <x v="37"/>
    <x v="2"/>
    <m/>
  </r>
  <r>
    <x v="30"/>
    <x v="4"/>
    <s v="MFG0372510"/>
    <s v="SKSAL001"/>
    <s v="SALMON W/BNUT SQUASH  &amp; BEET"/>
    <n v="6500"/>
    <s v="CS"/>
    <n v="78000"/>
    <s v="SER"/>
    <x v="37"/>
    <x v="9"/>
    <m/>
  </r>
  <r>
    <x v="30"/>
    <x v="4"/>
    <s v="MFG0372017"/>
    <s v="SKTRK001"/>
    <s v="TURKEY SPOT PUMP &amp; BEET"/>
    <n v="6500"/>
    <s v="CS"/>
    <n v="78000"/>
    <s v="SER"/>
    <x v="37"/>
    <x v="9"/>
    <m/>
  </r>
  <r>
    <x v="31"/>
    <x v="0"/>
    <s v="MFG0372542"/>
    <s v="85203"/>
    <s v="FLB CHICKEN NOODLE SOUP 24-10 Oz."/>
    <n v="6250"/>
    <s v="CS"/>
    <n v="150000"/>
    <s v="IST"/>
    <x v="37"/>
    <x v="34"/>
    <m/>
  </r>
  <r>
    <x v="31"/>
    <x v="2"/>
    <s v="MFG0372395"/>
    <s v="79502"/>
    <s v="BANANA AND PUMPKIN"/>
    <n v="105000"/>
    <s v="EA"/>
    <n v="105000"/>
    <s v="FRU"/>
    <x v="37"/>
    <x v="2"/>
    <m/>
  </r>
  <r>
    <x v="31"/>
    <x v="4"/>
    <s v="MFG0372516"/>
    <s v="SKROO001"/>
    <s v="ROOTS"/>
    <n v="4500"/>
    <s v="CS"/>
    <n v="54000"/>
    <s v="SER"/>
    <x v="37"/>
    <x v="9"/>
    <m/>
  </r>
  <r>
    <x v="31"/>
    <x v="4"/>
    <s v="MFG0372517"/>
    <s v="SKROO001-B"/>
    <s v="ROOTS - BULK "/>
    <n v="400"/>
    <s v="CS"/>
    <n v="20000"/>
    <s v="SER"/>
    <x v="37"/>
    <x v="9"/>
    <m/>
  </r>
  <r>
    <x v="31"/>
    <x v="1"/>
    <s v="MFG0373487"/>
    <s v="770100-6"/>
    <s v="YPK HOMESTYLE BEEF 9 OZ "/>
    <n v="13334"/>
    <s v="CS"/>
    <n v="80004"/>
    <s v="SIM"/>
    <x v="37"/>
    <x v="35"/>
    <m/>
  </r>
  <r>
    <x v="31"/>
    <x v="9"/>
    <s v="MFG0372537"/>
    <s v="520900"/>
    <s v="STK WHITE CHICKEN 12-5OZ"/>
    <n v="4000"/>
    <s v="CS"/>
    <n v="48000"/>
    <s v="ST"/>
    <x v="37"/>
    <x v="28"/>
    <m/>
  </r>
  <r>
    <x v="32"/>
    <x v="0"/>
    <s v="MFG0372543"/>
    <s v="85203"/>
    <s v="FLB CHICKEN NOODLE SOUP 24-10 Oz."/>
    <n v="6250"/>
    <s v="CS"/>
    <n v="150000"/>
    <s v="IST"/>
    <x v="37"/>
    <x v="34"/>
    <m/>
  </r>
  <r>
    <x v="32"/>
    <x v="2"/>
    <s v="MFG0372400"/>
    <s v="7046"/>
    <s v="BEEF PICADILLO 8 OZ. "/>
    <n v="105000"/>
    <s v="EA"/>
    <n v="105000"/>
    <s v="MRE"/>
    <x v="37"/>
    <x v="6"/>
    <m/>
  </r>
  <r>
    <x v="32"/>
    <x v="4"/>
    <s v="MFG0372505"/>
    <s v="SKBEF001"/>
    <s v="SKD BEEF W/KALE &amp; SWEET POT"/>
    <n v="6500"/>
    <s v="CS"/>
    <n v="78000"/>
    <s v="SER"/>
    <x v="37"/>
    <x v="9"/>
    <m/>
  </r>
  <r>
    <x v="32"/>
    <x v="1"/>
    <s v="MFG0373489"/>
    <s v="770102-6"/>
    <s v="YPK CHICKEN POT PIE 9 OZ "/>
    <n v="13334"/>
    <s v="CS"/>
    <n v="80004"/>
    <s v="SIM"/>
    <x v="37"/>
    <x v="35"/>
    <m/>
  </r>
  <r>
    <x v="32"/>
    <x v="9"/>
    <s v="MFG0372538"/>
    <s v="520900"/>
    <s v="STK WHITE CHICKEN 12-5OZ"/>
    <n v="4000"/>
    <s v="CS"/>
    <n v="48000"/>
    <s v="ST"/>
    <x v="37"/>
    <x v="28"/>
    <m/>
  </r>
  <r>
    <x v="33"/>
    <x v="4"/>
    <s v="MFG0372273"/>
    <s v="C53314"/>
    <s v="CHICKEN CASSEROLE 4.0 OZ. 12 CT. CASE"/>
    <n v="6667"/>
    <s v="CS"/>
    <n v="80004"/>
    <s v="HCL"/>
    <x v="37"/>
    <x v="7"/>
    <m/>
  </r>
  <r>
    <x v="33"/>
    <x v="0"/>
    <s v="MFG0373212"/>
    <s v="85201"/>
    <s v="CREAM OF MUSHROOM SOUP 24-10 OZ"/>
    <n v="6250"/>
    <s v="CS"/>
    <n v="150000"/>
    <s v="IST"/>
    <x v="37"/>
    <x v="36"/>
    <m/>
  </r>
  <r>
    <x v="33"/>
    <x v="2"/>
    <s v="MFG0372399"/>
    <s v="7033"/>
    <s v="THAI RED CURRY W/CHICKEN 8 OZ."/>
    <n v="105000"/>
    <s v="EA"/>
    <n v="105000"/>
    <s v="MRE"/>
    <x v="37"/>
    <x v="6"/>
    <m/>
  </r>
  <r>
    <x v="33"/>
    <x v="1"/>
    <s v="MFG0373490"/>
    <s v="770101-6"/>
    <s v="YPK TURKEY FARE 9 OZ. "/>
    <n v="13337"/>
    <s v="CS"/>
    <n v="80022"/>
    <s v="SIM"/>
    <x v="37"/>
    <x v="35"/>
    <m/>
  </r>
  <r>
    <x v="33"/>
    <x v="9"/>
    <s v="MFG0372539"/>
    <s v="520900"/>
    <s v="STK WHITE CHICKEN 12-5OZ"/>
    <n v="4000"/>
    <s v="CS"/>
    <n v="48000"/>
    <s v="ST"/>
    <x v="37"/>
    <x v="28"/>
    <m/>
  </r>
  <r>
    <x v="34"/>
    <x v="4"/>
    <s v="MFG0372274"/>
    <s v="C53313"/>
    <s v="BEEF MEDLEY 4.0 OZ. - 12 CT. CS"/>
    <n v="6667"/>
    <s v="CS"/>
    <n v="80004"/>
    <s v="HCL"/>
    <x v="37"/>
    <x v="7"/>
    <m/>
  </r>
  <r>
    <x v="34"/>
    <x v="2"/>
    <s v="MFG0372398"/>
    <s v="7019"/>
    <s v="BUFFALO CHICKEN 5.0 F. WT."/>
    <n v="105000"/>
    <s v="EA"/>
    <n v="105000"/>
    <s v="MRE"/>
    <x v="37"/>
    <x v="6"/>
    <m/>
  </r>
  <r>
    <x v="34"/>
    <x v="1"/>
    <s v="MFG0373170"/>
    <s v="CF001"/>
    <s v="PATE CAT TURKEY &amp; GIBLETS 2.6 OZ. 12 CT."/>
    <n v="3750"/>
    <s v="CS"/>
    <n v="45000"/>
    <s v="SPP"/>
    <x v="37"/>
    <x v="37"/>
    <m/>
  </r>
  <r>
    <x v="34"/>
    <x v="0"/>
    <s v="MFG0372485"/>
    <s v="519180"/>
    <s v="STK ORG BBQ CHICKEN12-2.6 OZ."/>
    <n v="16667"/>
    <s v="CS"/>
    <n v="200004"/>
    <s v="ST"/>
    <x v="37"/>
    <x v="19"/>
    <m/>
  </r>
  <r>
    <x v="34"/>
    <x v="9"/>
    <s v="MFG0372716"/>
    <s v="520900"/>
    <s v="STK WHITE CHICKEN 12-5OZ"/>
    <n v="4000"/>
    <s v="CS"/>
    <n v="48000"/>
    <s v="ST"/>
    <x v="37"/>
    <x v="28"/>
    <m/>
  </r>
  <r>
    <x v="35"/>
    <x v="4"/>
    <s v="MFG0372275"/>
    <s v="C53305"/>
    <s v="SQUASH MANGO SWEET PEA 3.5 OZ 12 CT"/>
    <n v="5600"/>
    <s v="CS"/>
    <n v="67200"/>
    <s v="HCL"/>
    <x v="37"/>
    <x v="7"/>
    <m/>
  </r>
  <r>
    <x v="35"/>
    <x v="2"/>
    <s v="MFG0372397"/>
    <s v="79501"/>
    <s v="APPLE STRAWBERRY CARROT"/>
    <n v="105000"/>
    <s v="EA"/>
    <n v="105000"/>
    <s v="FRU"/>
    <x v="37"/>
    <x v="2"/>
    <m/>
  </r>
  <r>
    <x v="35"/>
    <x v="0"/>
    <s v="MFG0372484"/>
    <s v="517700"/>
    <s v="STK CHICKEN SALAD 12-2.6 OZ."/>
    <n v="16667"/>
    <s v="CS"/>
    <n v="200004"/>
    <s v="ST"/>
    <x v="37"/>
    <x v="19"/>
    <m/>
  </r>
  <r>
    <x v="35"/>
    <x v="9"/>
    <s v="MFG0372717"/>
    <s v="520900"/>
    <s v="STK WHITE CHICKEN 12-5OZ"/>
    <n v="4000"/>
    <s v="CS"/>
    <n v="48000"/>
    <s v="ST"/>
    <x v="37"/>
    <x v="28"/>
    <m/>
  </r>
  <r>
    <x v="36"/>
    <x v="2"/>
    <s v="MFG0372396"/>
    <s v="79500"/>
    <s v="SPICED APPLES"/>
    <n v="105000"/>
    <s v="EA"/>
    <n v="105000"/>
    <s v="FRU"/>
    <x v="37"/>
    <x v="2"/>
    <m/>
  </r>
  <r>
    <x v="36"/>
    <x v="0"/>
    <s v="MFG0372486"/>
    <s v="520880"/>
    <s v="STK WHITE CHKN REDUCE 12-2.6 OZ"/>
    <n v="14584"/>
    <s v="CS"/>
    <n v="175008"/>
    <s v="ST"/>
    <x v="37"/>
    <x v="0"/>
    <m/>
  </r>
  <r>
    <x v="37"/>
    <x v="0"/>
    <s v="MFG0373253"/>
    <s v="85125-48"/>
    <s v="FLB PASTA &amp; VEG 48-8oz"/>
    <n v="3750"/>
    <s v="CS"/>
    <n v="180000"/>
    <s v="IST"/>
    <x v="37"/>
    <x v="38"/>
    <m/>
  </r>
  <r>
    <x v="37"/>
    <x v="2"/>
    <s v="MFG0372401"/>
    <s v="79502"/>
    <s v="BANANA AND PUMPKIN"/>
    <n v="105000"/>
    <s v="EA"/>
    <n v="105000"/>
    <s v="FRU"/>
    <x v="37"/>
    <x v="2"/>
    <m/>
  </r>
  <r>
    <x v="37"/>
    <x v="9"/>
    <s v="MFG0372718"/>
    <s v="520900"/>
    <s v="STK WHITE CHICKEN 12-5OZ"/>
    <n v="4000"/>
    <s v="CS"/>
    <n v="48000"/>
    <s v="ST"/>
    <x v="37"/>
    <x v="28"/>
    <m/>
  </r>
  <r>
    <x v="38"/>
    <x v="0"/>
    <s v="MFG0373213"/>
    <s v="85120-48"/>
    <s v="FLB SPAGHETTI W/MEAT SAUCE 8 OZ. 48 CT. CS. "/>
    <n v="3750"/>
    <s v="CS"/>
    <n v="180000"/>
    <s v="IST"/>
    <x v="37"/>
    <x v="29"/>
    <m/>
  </r>
  <r>
    <x v="38"/>
    <x v="2"/>
    <s v="MFG0372488"/>
    <s v="79502"/>
    <s v="BANANA AND PUMPKIN"/>
    <n v="105000"/>
    <s v="EA"/>
    <n v="105000"/>
    <s v="FRU"/>
    <x v="37"/>
    <x v="2"/>
    <m/>
  </r>
  <r>
    <x v="38"/>
    <x v="9"/>
    <s v="MFG0372719"/>
    <s v="520900"/>
    <s v="STK WHITE CHICKEN 12-5OZ"/>
    <n v="1500"/>
    <s v="CS"/>
    <n v="18000"/>
    <s v="ST"/>
    <x v="37"/>
    <x v="28"/>
    <m/>
  </r>
  <r>
    <x v="39"/>
    <x v="0"/>
    <s v="MFG0372541"/>
    <s v="85138"/>
    <s v="FLB BUFFALO STYLE CHICKEN 48-4.5 OZ"/>
    <n v="3750"/>
    <s v="CS"/>
    <n v="180000"/>
    <s v="IST"/>
    <x v="37"/>
    <x v="10"/>
    <m/>
  </r>
  <r>
    <x v="40"/>
    <x v="2"/>
    <s v="MFG0373225"/>
    <s v="7037"/>
    <s v="MEXICAN RICE AND BEANS"/>
    <n v="105000"/>
    <s v="EA"/>
    <n v="105000"/>
    <s v="MRE"/>
    <x v="37"/>
    <x v="6"/>
    <m/>
  </r>
  <r>
    <x v="41"/>
    <x v="2"/>
    <s v="MFG0373226"/>
    <s v="7010"/>
    <s v="BEEF STEW"/>
    <n v="105000"/>
    <s v="EA"/>
    <n v="105000"/>
    <s v="MRE"/>
    <x v="37"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D6914-FE37-4B89-9A23-178027859ED1}" name="PivotTable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N3:Q43" firstHeaderRow="1" firstDataRow="4" firstDataCol="2" rowPageCount="1" colPageCount="1"/>
  <pivotFields count="14">
    <pivotField axis="axisCol" numFmtId="14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8"/>
        <item x="11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2">
        <item m="1" x="10"/>
        <item x="5"/>
        <item x="8"/>
        <item x="4"/>
        <item x="3"/>
        <item x="6"/>
        <item x="0"/>
        <item x="7"/>
        <item x="2"/>
        <item x="9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3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3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39">
        <item x="37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sortType="ascending" defaultSubtotal="0">
      <items count="40">
        <item m="1" x="39"/>
        <item x="29"/>
        <item x="38"/>
        <item x="27"/>
        <item x="13"/>
        <item x="23"/>
        <item x="10"/>
        <item x="36"/>
        <item x="34"/>
        <item x="20"/>
        <item x="26"/>
        <item x="8"/>
        <item x="33"/>
        <item x="3"/>
        <item x="24"/>
        <item x="25"/>
        <item x="18"/>
        <item x="12"/>
        <item x="21"/>
        <item x="32"/>
        <item x="7"/>
        <item x="6"/>
        <item x="16"/>
        <item x="4"/>
        <item x="22"/>
        <item x="17"/>
        <item x="14"/>
        <item x="2"/>
        <item x="37"/>
        <item x="11"/>
        <item x="9"/>
        <item x="35"/>
        <item x="30"/>
        <item x="19"/>
        <item x="0"/>
        <item x="28"/>
        <item x="5"/>
        <item x="31"/>
        <item x="1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0"/>
    <field x="1"/>
  </rowFields>
  <rowItems count="37">
    <i>
      <x v="1"/>
      <x v="6"/>
    </i>
    <i>
      <x v="2"/>
      <x v="6"/>
    </i>
    <i>
      <x v="3"/>
      <x v="6"/>
    </i>
    <i>
      <x v="4"/>
      <x v="6"/>
    </i>
    <i>
      <x v="5"/>
      <x v="7"/>
    </i>
    <i>
      <x v="6"/>
      <x v="6"/>
    </i>
    <i>
      <x v="7"/>
      <x v="6"/>
    </i>
    <i>
      <x v="8"/>
      <x v="6"/>
    </i>
    <i>
      <x v="9"/>
      <x v="7"/>
    </i>
    <i>
      <x v="10"/>
      <x v="6"/>
    </i>
    <i>
      <x v="12"/>
      <x v="6"/>
    </i>
    <i>
      <x v="14"/>
      <x v="7"/>
    </i>
    <i>
      <x v="15"/>
      <x v="6"/>
    </i>
    <i>
      <x v="16"/>
      <x v="7"/>
    </i>
    <i>
      <x v="18"/>
      <x v="7"/>
    </i>
    <i>
      <x v="19"/>
      <x v="10"/>
    </i>
    <i>
      <x v="20"/>
      <x v="3"/>
    </i>
    <i>
      <x v="21"/>
      <x v="8"/>
    </i>
    <i r="1">
      <x v="9"/>
    </i>
    <i>
      <x v="22"/>
      <x v="5"/>
    </i>
    <i>
      <x v="24"/>
      <x v="2"/>
    </i>
    <i>
      <x v="25"/>
      <x v="6"/>
    </i>
    <i r="1">
      <x v="7"/>
    </i>
    <i>
      <x v="26"/>
      <x v="1"/>
    </i>
    <i>
      <x v="27"/>
      <x v="8"/>
    </i>
    <i>
      <x v="28"/>
      <x v="10"/>
    </i>
    <i>
      <x v="30"/>
      <x v="3"/>
    </i>
    <i>
      <x v="31"/>
      <x v="10"/>
    </i>
    <i>
      <x v="32"/>
      <x v="6"/>
    </i>
    <i>
      <x v="33"/>
      <x v="6"/>
    </i>
    <i>
      <x v="34"/>
      <x v="6"/>
    </i>
    <i>
      <x v="35"/>
      <x v="9"/>
    </i>
    <i>
      <x v="36"/>
      <x v="4"/>
    </i>
    <i>
      <x v="37"/>
      <x v="10"/>
    </i>
    <i>
      <x v="38"/>
      <x v="10"/>
    </i>
    <i>
      <x v="39"/>
      <x v="10"/>
    </i>
    <i t="grand">
      <x/>
    </i>
  </rowItems>
  <colFields count="3">
    <field x="13"/>
    <field x="12"/>
    <field x="0"/>
  </colFields>
  <colItems count="2">
    <i>
      <x v="11"/>
    </i>
    <i>
      <x v="12"/>
    </i>
  </colItems>
  <pageFields count="1">
    <pageField fld="9" hier="-1"/>
  </pageFields>
  <dataFields count="1">
    <dataField name="Sum of  Qty (EA)" fld="7" baseField="0" baseItem="0" numFmtId="3"/>
  </dataFields>
  <formats count="4">
    <format dxfId="48">
      <pivotArea dataOnly="0" labelOnly="1" fieldPosition="0">
        <references count="1">
          <reference field="10" count="1">
            <x v="26"/>
          </reference>
        </references>
      </pivotArea>
    </format>
    <format dxfId="47">
      <pivotArea dataOnly="0" labelOnly="1" fieldPosition="0">
        <references count="1">
          <reference field="10" count="1">
            <x v="34"/>
          </reference>
        </references>
      </pivotArea>
    </format>
    <format dxfId="46">
      <pivotArea grandRow="1" outline="0" collapsedLevelsAreSubtotals="1" fieldPosition="0"/>
    </format>
    <format dxfId="4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A2EA0-114F-4191-B0D7-22C602791E5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3:Y45" firstHeaderRow="1" firstDataRow="1" firstDataCol="2" rowPageCount="1" colPageCount="1"/>
  <pivotFields count="14">
    <pivotField numFmtId="14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axis="axisRow" showAll="0">
      <items count="12">
        <item m="1" x="10"/>
        <item x="5"/>
        <item x="8"/>
        <item x="4"/>
        <item x="3"/>
        <item x="6"/>
        <item x="0"/>
        <item x="7"/>
        <item x="2"/>
        <item x="9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9">
        <item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axis="axisRow" outline="0" showAll="0" defaultSubtotal="0">
      <items count="40">
        <item m="1" x="39"/>
        <item x="29"/>
        <item x="38"/>
        <item x="27"/>
        <item x="13"/>
        <item x="10"/>
        <item x="26"/>
        <item x="8"/>
        <item x="33"/>
        <item x="3"/>
        <item x="25"/>
        <item x="12"/>
        <item x="7"/>
        <item x="6"/>
        <item x="4"/>
        <item x="22"/>
        <item x="14"/>
        <item x="2"/>
        <item x="37"/>
        <item x="11"/>
        <item x="9"/>
        <item x="19"/>
        <item x="0"/>
        <item x="5"/>
        <item x="1"/>
        <item x="15"/>
        <item x="24"/>
        <item x="30"/>
        <item x="31"/>
        <item x="34"/>
        <item x="36"/>
        <item x="18"/>
        <item x="21"/>
        <item x="23"/>
        <item x="35"/>
        <item x="17"/>
        <item x="20"/>
        <item x="16"/>
        <item x="32"/>
        <item x="28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0"/>
    <field x="1"/>
  </rowFields>
  <rowItems count="42">
    <i>
      <x v="1"/>
      <x v="6"/>
    </i>
    <i>
      <x v="2"/>
      <x v="6"/>
    </i>
    <i>
      <x v="3"/>
      <x v="6"/>
    </i>
    <i>
      <x v="4"/>
      <x v="6"/>
    </i>
    <i>
      <x v="5"/>
      <x v="6"/>
    </i>
    <i>
      <x v="6"/>
      <x v="6"/>
    </i>
    <i>
      <x v="7"/>
      <x v="6"/>
    </i>
    <i>
      <x v="8"/>
      <x v="6"/>
    </i>
    <i>
      <x v="9"/>
      <x v="6"/>
    </i>
    <i>
      <x v="10"/>
      <x v="6"/>
    </i>
    <i>
      <x v="11"/>
      <x v="6"/>
    </i>
    <i>
      <x v="12"/>
      <x v="3"/>
    </i>
    <i>
      <x v="13"/>
      <x v="8"/>
    </i>
    <i r="1">
      <x v="9"/>
    </i>
    <i>
      <x v="14"/>
      <x v="10"/>
    </i>
    <i>
      <x v="15"/>
      <x v="2"/>
    </i>
    <i>
      <x v="16"/>
      <x v="1"/>
    </i>
    <i>
      <x v="17"/>
      <x v="8"/>
    </i>
    <i>
      <x v="18"/>
      <x v="10"/>
    </i>
    <i>
      <x v="19"/>
      <x v="10"/>
    </i>
    <i>
      <x v="20"/>
      <x v="3"/>
    </i>
    <i>
      <x v="21"/>
      <x v="6"/>
    </i>
    <i>
      <x v="22"/>
      <x v="6"/>
    </i>
    <i>
      <x v="23"/>
      <x v="4"/>
    </i>
    <i>
      <x v="24"/>
      <x v="10"/>
    </i>
    <i>
      <x v="25"/>
      <x v="10"/>
    </i>
    <i>
      <x v="26"/>
      <x v="7"/>
    </i>
    <i>
      <x v="27"/>
      <x v="6"/>
    </i>
    <i>
      <x v="28"/>
      <x v="10"/>
    </i>
    <i>
      <x v="29"/>
      <x v="6"/>
    </i>
    <i>
      <x v="30"/>
      <x v="6"/>
    </i>
    <i>
      <x v="31"/>
      <x v="7"/>
    </i>
    <i>
      <x v="32"/>
      <x v="7"/>
    </i>
    <i>
      <x v="33"/>
      <x v="7"/>
    </i>
    <i>
      <x v="34"/>
      <x v="10"/>
    </i>
    <i>
      <x v="35"/>
      <x v="6"/>
    </i>
    <i r="1">
      <x v="7"/>
    </i>
    <i>
      <x v="36"/>
      <x v="7"/>
    </i>
    <i>
      <x v="37"/>
      <x v="5"/>
    </i>
    <i>
      <x v="38"/>
      <x v="10"/>
    </i>
    <i>
      <x v="39"/>
      <x v="9"/>
    </i>
    <i t="grand">
      <x/>
    </i>
  </rowItems>
  <colItems count="1">
    <i/>
  </colItems>
  <pageFields count="1">
    <pageField fld="9" hier="-1"/>
  </pageFields>
  <dataFields count="1">
    <dataField name="Sum of Amount" fld="11" baseField="0" baseItem="0" numFmtId="43"/>
  </dataFields>
  <formats count="1">
    <format dxfId="4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C61098-EBAF-430B-A043-67CA80E7276B}">
  <we:reference id="423757af-ae26-401a-a513-5da03cc67526" version="2.0.0.1" store="EXCatalog" storeType="EXCatalog"/>
  <we:alternateReferences/>
  <we:properties>
    <we:property name="PXConnections" value="[{&quot;connectionId&quot;:2,&quot;name&quot;:&quot;AWCG Connection&quot;,&quot;cubes&quot;:[{&quot;name&quot;:&quot;Contract Cube - AQ&quot;,&quot;dimensions&quot;:[&quot;Account&quot;,&quot;Classification&quot;,&quot;Company&quot;,&quot;Contract&quot;,&quot;Time&quot;,&quot;Time Perspective&quot;,&quot;Version&quot;]},{&quot;name&quot;:&quot;Finance Cube - AQ&quot;,&quot;dimensions&quot;:[&quot;Account&quot;,&quot;Classification&quot;,&quot;Company&quot;,&quot;Department&quot;,&quot;Time&quot;,&quot;Time Perspective&quot;,&quot;Version&quot;]},{&quot;name&quot;:&quot;KPI Cube - AQ&quot;,&quot;dimensions&quot;:[&quot;Account&quot;,&quot;Company&quot;,&quot;Contract&quot;,&quot;Department&quot;,&quot;Other&quot;,&quot;Time&quot;,&quot;Time Perspective&quot;,&quot;Version&quot;]},{&quot;name&quot;:&quot;Labor Cube- AQ&quot;,&quot;dimensions&quot;:[&quot;Account&quot;,&quot;Classification&quot;,&quot;Company&quot;,&quot;Contract&quot;,&quot;Department&quot;,&quot;Employee Type&quot;,&quot;Time&quot;,&quot;Time Pespective&quot;,&quot;Version&quot;]},{&quot;name&quot;:&quot;Personnel Planning- AQ&quot;,&quot;dimensions&quot;:[&quot;Account&quot;,&quot;Allocation&quot;,&quot;Company&quot;,&quot;Department&quot;,&quot;Employee&quot;,&quot;Time&quot;,&quot;Time Perspective&quot;,&quot;Version&quot;]}]}]"/>
    <we:property name="PXSelectedConnection" value="{&quot;connectionId&quot;:2,&quot;name&quot;:&quot;AWCG Connection&quot;,&quot;cubes&quot;:[{&quot;name&quot;:&quot;Contract Cube - AQ&quot;,&quot;dimensions&quot;:[&quot;Account&quot;,&quot;Classification&quot;,&quot;Company&quot;,&quot;Contract&quot;,&quot;Time&quot;,&quot;Time Perspective&quot;,&quot;Version&quot;]},{&quot;name&quot;:&quot;Finance Cube - AQ&quot;,&quot;dimensions&quot;:[&quot;Account&quot;,&quot;Classification&quot;,&quot;Company&quot;,&quot;Department&quot;,&quot;Time&quot;,&quot;Time Perspective&quot;,&quot;Version&quot;]},{&quot;name&quot;:&quot;KPI Cube - AQ&quot;,&quot;dimensions&quot;:[&quot;Account&quot;,&quot;Company&quot;,&quot;Contract&quot;,&quot;Department&quot;,&quot;Other&quot;,&quot;Time&quot;,&quot;Time Perspective&quot;,&quot;Version&quot;]},{&quot;name&quot;:&quot;Labor Cube- AQ&quot;,&quot;dimensions&quot;:[&quot;Account&quot;,&quot;Classification&quot;,&quot;Company&quot;,&quot;Contract&quot;,&quot;Department&quot;,&quot;Employee Type&quot;,&quot;Time&quot;,&quot;Time Pespective&quot;,&quot;Version&quot;]},{&quot;name&quot;:&quot;Personnel Planning- AQ&quot;,&quot;dimensions&quot;:[&quot;Account&quot;,&quot;Allocation&quot;,&quot;Company&quot;,&quot;Department&quot;,&quot;Employee&quot;,&quot;Time&quot;,&quot;Time Perspective&quot;,&quot;Version&quot;]}]}"/>
    <we:property name="PX_COMPRESSED{4FDC14FD-1E79-4A18-BC30-1E53AB37FF78}" value="&quot;H4sIAAAAAAAACu2dW3PbuLK2/wpKF669qyybpA6WcweSkMSYJ4NgFDmVmtLEmoy/pdgpH2at7FXz378CdbLow4CxAHLWenMzmUiWoLbeB92NRve/W79eXV9eXX8NLlvvWunHf3eHvmd3h37bZien7S61B23X61htm/U61O2cDIcngz9bh63r2bd5611reHNzeUfS25vLhy/3VzfXJL++ur8jv/4g2VneOmx9m3/7dX4bzn7cPNy33v279eXh13nx35vr63nxE4HfeuccFg/Ey9f0bq7vb2df7on38OuctAk9b/152Jr/6/vs+nJ+mc6+zqPiVe9a7z79u3V59W1+fXd1c73+6cXs7u7qt6svM/nqrcPW71fz29ntl99/rJ7gz3+bPSzuW4etu9kf80vx4/u89c46bN2v//KP+Q/50i26WLQ+rz9CenvzfX57fzW/k8tfvZR8xmHL+/1qcendPFzfF5/Ev71aLOaX/s0/r1vv7m8f5oetdHY7v77PZt/m9C69nf9xdfNw13r322xxN//zsHV1RxeL5Uda/8DV3YfZ4upydj+/XP7Tn4c6P6ltWX/xSbObh9sv89KHtUoftvhAlT7t6icMf1znLz8uW1x9u7ou3uju2Lu5/X5zO7ufE/av7/Pru/ndW+yw/Hg/bwZx9W1O0vnt3Xepnz/mbzGESzP2F5ZwZ3f1/to/zG/v3vj7joT/F58ynd9e3VzW+jmj+ezu4bb4bpU/6KOH/uKTfpgtHuZ/8VmXz1FZ6vIzvfBqn+QX8fPRp9Vv4XPr3afPh61P3s2377PrH889sKT600foly/S4M/8yI7inz6+tsvno+1fVw+VVfL0h1ffq9IDfx62/m9+e0Pvoqu7u6vrr2sgX17dzX5dzNPb+W/z+y+/b+x1e/NP+q+rwiCzux/fvs3vb6++bB6d/+vL4uFyXnqt1b/GN/TLl/nd3db29/Nv8rf43Ka2tOrPiODJl+/1He3b/Pbq/GG2IMXOLr8mm+3wfNj6/CyYzS8unX35x+yrtOnOAtOaFyh+n99+u5Gre7wukYatz39+Pnz297oUherSeuul9dTchr/yXo7SxcOdP7/7Mr++nF3f7/6+pfvz/LJXitVvUO/m+o/57f38cuVXLh3N+eXjdeZxIFKe+HKxUr9fbhYVJLn7z1U0KRGjaoHTtQVOq1rAsZzeUTif/fbCb0k+vv7k32df50Y+ugEf+/phsWi0a/zMAhvmzVZZ4bMyN+NqvnmZOj3ENy/uTW6d0vuqOXslD1ECQ7Ly4VY6szKm/i8PphFWIawyHVZt1noXXP9286wAt57W5pHlMvtKm0rphzqve8elZ9snzz9947KqvPojI5ee7rwkw2dWoqjY8o9Zr3/zS08/lb+TbWKylKa8LHh0N7/9Q/5eW4ubL7PF7zd3hR1m97NfpaDftejEG/3ibV9jkyiVD5CdB+bXMqLcfHVX3y3/6u77YvbjbP5DfvGei41fDYyfj8BfCL8PnwbxfxE6Px83vxSKfy59qKVE5Nf8t5vbb7P71rvWQWGewoTz4eofl3vu9YP8ycf/Jn+ZNf7g/xz8Y/7jf8nfaMVmflCKZr5YZPMiwS9jEPHwffF38Ceq7zxwKOBQmHIoLnbykHV+5BcyHdHN9f3vCh/2Z6RqG9fqMx/w/GF2ey/PGbV8xK7JT/hKonF1ePtL8en0cPekIR+1kN0v2f3tfPZN0/f27cp86aN+PmzN/jVfHnrfyx12D3nJ5/NJTi+y7Jc+esg+sPCXOI9cxlvvOoetlHIWi1/yODjP2S8xjVjr3RPH8ujgk3zdc1t6i944CH3O4l88yv0gpmEgpsUSVkt9P7t+mN3+MMe8F7Nfb7ejU6Mdh/Nfb99qyErH1Rrt2KnRjpFc93+CEbt6jOioGJF+v70q0/LvKelejVaMZv8Rau7XaML3D9dvipSaYsMTPTbsqNlw8Z+xPQ9qNCJ9+PpQ5A//9l/F0xqtmM2/3y8/+t/fkPaLdYlvM2RXxZDJl/ubN5qxKbK2NUUvSnaMb/74j/k+aopelOzoz78YtmNRPPZaaP2GQrKdKjoVm/ZfsunT852jg0/0fKS05ZTK+2qt565Y+1YxRbNrTet5ay4PNZ63mt05PXwl0SMfNVad8IaCu6dlcir2cl769j09kDw6+JQJKlS+fi+W89W750DW+7uesBdVp9Q7UzOn/bI5n5x3H32ii8XL5uycbO1ZLGDXip1yEruy3quYEYLX6BtB783Suz2wFePwF7+lz8n94FOhYxWDjqNMTEPygY3I5Dj2Q5aRA+KNA++MxbU6SeAAOPDfxAHFTJIuDmQpHY2ZEAGZHAeChiTzGDkgEaOiTuOCAqDAfxEFnJq9gUwEnAz5lGQ09xiZHPOgwMAeHAKQACQACdRJULM/sFI8mRy77vkKBwdE4gAQAAQAARMQOLUVa790QSClmaBkcjyi3C9SBEFMRBLJ2AAUAAVAAQMUcL1xbP5EYGNNlzFvHOeCxLnggQiSmHhJlNJ4Wj4lwCEBCAAC6CCAZdtdxbqeip6AhIuKRd2YyJt4JPXG61wAyTOfks5RL7kgtpOWDw1xWAAegAf6eKBYn2aAByLnZ2y6TxwgPgANQANFY3o0Ss3HB4++pfL9S6FA2YiIBaB2qH0fanes4o9j9zQVDkk5q9iVJzQTzEepEAgAAtRDgFM9OQFVAnic0WhKRpSHgUfcXAjGUSgAGoAGddDgVPVCr14apJRHLKPxsmIAGAAGgAGjGFC9AKwJAxHlGQ0phA/hQ/gGhe9YfcXmPJqE7zI2JJlgE0gf0of0jST+8zAwnvl37EeZ/zwMnisJls9B/h+ih+j3LvrhiPsuTzzFNnKVN/s8DJT6a+ZhSEacsbjQv0/kmrwkDHAOABKABKZIUOi1aShYugUJD0YIBcACsMAQC0QSNYcEIomoSA4JZz5JWZoyLi8RJxwHg0ACkGAECTwPhPHswGALg+L9d404QFoAaofaNaj95LT30izcN+7+hY7VGggV3j9N05BlSANA+VC+KeXrOfJXVn4heZIJTicu43xKPMp5grZhQAAQYAoBeq4DKiPApTGNKaGxT9I8Ss8CBPpQP9RvQv1jGsRtj4XGY/3+tknIeg0sEwENSxbtozMItA/taykBcjr9rp4eYWtJV+kV6NEsYzwJGekeWSS5OCJ2n3jiiHjZETICgAKgYAQKnU6n4yjm/jVSgbkkzTljq3RAERzso0wI0QFgABhUgUGvQTDIJowJkq55wJh402EBYAAYAAaqMOh1OqozvDWyIDvPaTYmEY1HyZoHrOgdRormYcTD2QGQACSYQoLq7GWNSFg2Go8oD2LKZcfxD2w0Cli2SiQsoUA8uArgArhgjAt66gqqcCGiXjF9iLGMLanABHXDEhjelFwEFoAFYKEKFvTUGvzMgcPSSyAR80M2ha8AKAAKdUGh/lPIogPJDgqOSHvlIAAHwAFwYBAH3dpx8EpRwgoJNEODQkABUDAGhfqPHtJEUJGw7HA9teRgdWHZZTReJhWGZILjB2ABWDBSvJzwqIbSZWdbubxcQKl/GQqWoXfoXcdI447dH2g6ViiUrGLT5TNJltIoKk8xRV0ytA/ta9F+EGfmG5LYJxtzyvcPRC5HGNNwO864ZFb5A9j8AQAAYP85gGVGTlO5kZT3y0bdxQCxZSawZE8IH8KH8HUIf9BzLMUDgU7F3oRrpCj1JwzdzfDyTr/9HAPg/gMCgIDO3d850tOl9PXtv7+7/TtH/afa72P/h/QhfS37v+2c6tz/naO+ogNw7AsyGQeCbTwB22k/iwO4AuABeKCLBx3FQwDdPNhgQE4t9PcDA1QAgAVgQbWwoHukpzjo9bDAsXbjgm5xBblcDVC2KQIDiB/i35cjoDUx2D3qVXUEuoP2sxhAPAAMAAP6MNB2mkCCDQWWzUicLu4SAgVAgVkUKJYJGXMJOEupd0ac7h48A9AANAANKtBg0BAYuPlwSMOEZGIasv1GC2ACmAAmVGGCaEa08JgLpchh6TOACqACqGCoxFCxsMhY2LA8UoSHABaABcZZ0CAPocSDAgZHpDsgIpEJRngKoAPoYJQOJw0hg+uek1I5ItwFAAFAMA6EBrkLEgolJiClAC6ACzVwoTGHD+45yWjuySboRZ9TuAnAAXBgGAd2U3CQJmGYEJpRP1k7B90BxiYBBoCBQRg0KGZ4Hgj3N8gvAg1AQx0XmhRdhb1eZ+qU2hwMnsYHHXQ5gPAhfF1dDizNLsFA1SHIUjoaMyECMjmOGBWr7MGgOHosbjXImShvGpwGOoAOoEM1OnS1ZhD2Q4cik/BmOiBmABwAhwpw6DXFdVjOYj6QwxULImwuQYIH4AF4YI4HDXEWHvOgO2g/k1QACAACgEAbCHSfM1QkweR4RLm/nL4s70QPbv4PPAAPwANDPDhpCg6yJBfjiaxS/EgmxzzwGDlYDVJ8lGcEG8AGsMEUGxrhKyzBwDKxZIN8erDKIqAYAUwAE4zWMDcmsbh7qWFJhW2CEUwAE8AEY0xoSHLxOSYgyQggAAiGgdCIwGGHCOvAAZEDoAAo1HHDQXEkg2YgLCkg7z3KzCKcA3AAHDDMgab4BrsoGKBDO4AAINQBhMZEC7tE2DRqlxXMIAKIACKYufEYBjVcd+w9ntoSBseZYBNi946d7tMAoYdrj1A/1K/JH7DatqPLHQiDn/MFbKdtY4wbSAASmCKB3K1PkosaPAF76woUjQ9OnurehgcA3UP3ujwAPePcV0RR7pIoOyMWUYA8JngGAtj8AQFAQB8EdGUFf54DEgKkjYwgYAAYGIaBtjOCn6eB0y28AsJZG8VE4AF4YJAHTkNwsO19FMREJBEVyar90cmmngCeAsgAMpgiQ6cJWPDGjGVTElFvH7kDMAAMAAOqMKAh3sEjDMAdAAqAghpQ0JTEwSMWbAoL4RkAB8CBSRzomepeEQVpcHFBERwAAUBAHQhogEOwJcAJepuBAqCAeQo0JS7YomAVFnQHcmVgAVgAFhhhgb5JKpVTBI+vHJxgECtgABiYhEGW5CmRoq3h1sFg99KBXErJnAPcOYDuoXtNPcssLR7AhigqVl3XD8mfcbpt28KdA0AAEDAIAT0XjypBwOOMRiQZkijPxjxJov3xALEAcAAcVMCBnjYElXDwgY2YoG7IgAFgABioBQN6SoqreQWrnuZxkvhgAVgAFtTAgjD/qGZMuwoJPtHF4mVjdjbGDPOPQ8ZJREeCeeNDEsReyaAdJAihfChfj/KHjLdZLDhjmZbTgTD/qHI4sKLAeiU4IQAAAAD9ADjtaTog2CWLimXHjHIx3TYiwAkBIAAIGIKAnozgT0AgiVgmpuFqttHBKjGAwQVgAVhgiAV60oLVWSDYRxKxj2TJg2Xx4HKCOmgAGoAGZmig5zJBdRpkk6VLMDleoeCAAAVAAVBgDgV6Jh1WR8GFDBGejEAFCUACkMAMCfS0G6hOgkDQ8IikNBOUTI4/sBE5kN0Kl60KAQQAAUAwAIQoCNuJGDNuvIqg393YNArCQFA+JcuV7JpUPg8niBA/xL938TuOZQ8UI4OKpQMbrqheNKZpKk8OgjimURKThIqI0ZAUow6P9tClEGQAGUAGZbcgiYw7BPbJ1iGYkmQSE0mA8vGhfBbcAYgeot+76O3+QHYi6/T6inVFVX2CJFKxapREjy4aCp6MaJwMh6S4WED6b2w+AiQACUBCVST07dqRkMftTOTDIfNJytKU8WxJhKM3IwEJQxABRKhEhI5lqU5E1egkTMlZEPuyMcH6LmKfLO8fYqABeAAeGOWBU7uHsIbApvJY4oCAB+ABeGCaB7alejlJPw8i5geCcU5jRqWLYCcgAogAIpgmQrcxRDggbij7mi+rkeElgAlgQh1McBrgJWynp4MD4AA4UA8H6s8mJqFPJgkPfcAAMAAM6oPBaQPqD9bXEkaU+ywmm46nCBbABXChJi70O7VzQeSZR+MVHg5W+YNtYRKYACaACUaZUH9Scekc8IDGiBxAA9CgVhpous2kToNVK8SQxSIIl0BAmSKIACLUQYSu1YBcwjBM5OsGMSMhzegopihTBA/Agzp4YFv1XmR4Tw7ItgzhPY1cGtIpfewigAlgAphgkAl1FyEsmYAyBJAAJKibBCdNIcHBbgYhwQkDmAAmGG2Bwpn5Fijd/jZ1wMtdEItH0fsEaofa9672E22JAc5UzInRSZA8JG9a8orjUvRIPqOxoGTIilkIhMb+spwIDj70D/2b0b9iL3Q9+i8mH2xnojz19yF9SB/S1yT9Qa1bf5KL8YRlYp3s215HBgPAADDADANOa4348+GQhsmmGKB3ZJHhEZkgxQ8EAAGGEKCraZkaAiL2MfCKawOrqckFCN6aBQQCgAAgQBkBnVqTgGJMA8KZT7yc8ymZHK8pMEABEDAADJjDQK25wNW94mXND44AIHvI3pDsT5oQAOAEEPKH/GuQf7fWXb9I/qeBR/0gDBO4/BA/xG9Q/Cfd2sUvqJeQYRCGQTyC8qF8KN+M8usu/ClSfOspJZPjRw0GQQFQABQwQQFb17XfKs4/FWJK3tOQpixOVoMNgQAgAAgwggBHU9vxao6Am3MeCAQC0D/0b1j/tZYBR5QHMeWUZDT3mIwDIkaFS0McAYIBYIAhBvRq9QFY6CYTElGP8iQOSBATkUQk83AZCAQAAQwRoN57wCkdjZkQAZkEYry8ESRrAZZOQRB7IAFIABKYIUGtR4LbGwABJ0M+hfAhfAjfgPATMWa8rdzxS4/6t4uA7CF7yF6/7ONc8MB4k7/expzF+2fTTLCoZMoeGv1B89C8Bs33e/apnoRfoeZq3T+8cfCRTI6XDYAOimsA6P8HEoAEpkjg1EsCKXziJmEyilkGvx/Kh/JNKV9Pyl9Z+etU3+TYdc+XqX7IH/KH/A3JX0+eX1n+k3EgWHHbl6zbgO40/iAdh3iCeKgDAhQABRNQSJNwajwV2HU25izef9eG8lFkAaF2qH3/ahcdTbd/pI7Van+zMfNJmggqEpYR+XNEcPqmQ39AABAABCpAQFP/T1UIbE4CGI83/T+LgAB+PyAACBiBQFfT5C9lCGzqf8nkeHMBaO0QAAQAAUBgBgTdekEgcn7GpsTLRciEbAsy4vTDFCAACAACoyDoWXpOB5U9ggljYpUaIB7NMsaTEOeDAAAAYAoAvVoB4HFGI7Lc/mV5YDEjLE0wGggMAANMMcCumQGU80Rkh2QU0ovipGAPBwRgABgABlRggJ5GocoMSHjM/GVLgDHNxpA+pA/pG5K+ntZgqtJPE34m64IzOmIkDOIzlAJC/BC/IfHXXBcg932yOx0UpwCAACBgDgJc8TuqpTEA99EPADqHzo21/lFVe8X9nvvqjX+eaB6VvxA9RK9ncx+F5rf3wXZ7Zz4ZJWFZ8ANs8tA79K5J723XPdezyY/CV7b57Q2/zSJ2jYlLflA9VK9F9cxPqH2hZtBOddFLMauYdb3dE5dyl3k5e3u/D4AAIAAIKoLAU/yqmkcBmaRI7AMGgIGpWOCMCW+cpzXEA72nLFgvBil/EAAEMOIOTHs644KVoCs5BJz5ucd8kiV+kEcvMAExAqAAKOiEgs4YYX9YIJMJSWkYMoGwAXwAHwzwIfMSIYyfGXa2d4Ll+5P0ieI7CBOgeChel+LbHlVUfcUsQfHqr3QG3RV+sYxSd1AIH8KH8DUI3xtaluKIoIphwEbLSjeAqGDEo4Ks+gIdkFHgFp2BnKN+0STclk3C39QTAGAAGACGKmBQnBhkBAzrjqEHJAw+ML5HLiA1ACwACxWwoNgwzJS/IPsFZfI/QAKQACTUlDvwk1ETcgdyGcgdQPgQvn7h+0PL1hki+ImSVV1G/GS0bByUCTYhk+MPbDQKWEZsq3AI+kgdgAvggkku6IwRqnFhmzhIaSbo3piAGAFIABIqIEFxDKkBJIQ0cteuAg88tmQCkAAkAAnm0gY+N15idLrNFuT8Q/Ah4cSnQTglnIogicttB0+ROoD4IX4N4rcHHcWqg6rpQp8rTR3xOckmxdwRMuIpySIxDhg5OeqR5AKZAmAAGDCBgbGqD7BPCthbL2CcRzR+1QWwq/gA8P+hfWhf1QXoaMoIjNVcAJfJfsM0pD5pk/SsfGyIXR/Kh/L1RP7MfOTfe+T7M87iQEzJWeCXt/te2ZgI+aF6qH4vqj+jrqd82aCqw8/Uwn7GyWi4LBXwxkEUeOOc8wBbPyAACJiEQNttIAaIm5JOkQE8Ij0Lh4HgArhgjAsuU7+JqIkKZ6vpg5NjckZDJq8VrIeTAwQAAUBgCgT1egcrBmwQsDwlbBM3D8/AAXAAHDDDgeGHmh2CdYgwOU4ZPSQuTzwvCQNZSczSlGE+IWAAGJiEQSP8gudZUHgHJKUeXARQAVQwRIUga0LOIMiSuAgY3MQbU5Kdy7AhDWKQACQACQySoGb/4AkHsvGKBMgeAAgAglEgnLl1uwaPDhnPmEtdqB/qh/oNqr85RQaF/pEiAAlAAtMkyEXNfoCbC8F4nAuSnec0G5PJsQwJqDcGBoABYMAgBmrODzwCwRYCSA2ABWCBSRZ447O6UwNnvqw7/igrDVNGM3JAPMp5IsrXkYABYAAY0ImBel2CdW/CoqrgEQbgFIAGoIFRGpzVXW045OQRDijP4iAlBzJ/CLcAIAAIjIKgMW7BLgfaOEMAEoAE00jI0iYkDIrQYFVQJBOHk2OXZkEIEAAEAIEpEBRheZ2uASgACoACtVJARHW7A4yTR+kCEZydURJR2cwQHAAHwAGDHKi/yPAFEqxaGBEvQxsjQAFQMAOF91nd9YYSCZMglAmDfDQWssVxlMREMB5M6dmbeh2CBWABWFCRBfU6CK+QoNTrkNya+wKDDWDDfzcbIq/21gW7oUPEPgYejUkQZ2nAmV/MRwQQAAQAwSAQ6s8meOOXcUDcFEQAEUAEI0RIs0ndLsKZv22BTEVSzFAvCpKAAWAAGDCFgbqLDp5nAK4oAAQAgTkQ8CSp2x9YT07jCe4qQvqQvlnp15scKDSPi4mQPqRvUvoZDeve9ZfHhpNj91ETo+WFJHAAHAAHDHKg5vOBDQnKPc3gFAAGgIE5GJzndTsF61TAEgDQPrQP7RvUfs2OQCF6hnQA1A/1m1X/pPb7BevDQDQyhv6h/1r0X/Pu/5QAcAQAAoDAJAiE59XtCKwuECReIjOBXs75lEyOVxcKgAKgACgwiIIGXB14ngSr+4UAAoAAIJgBQu3NjFNORM7PWIGBomXZIbnIPW8cxHJmusdCxqcgAogAIpghAq975skKB5lMG6R5lKKCCAwAA8wzoN4wQVLgCQPaSB0CBACBKRCMPDVj2lUI8IkuFi8b03mUKMjjdkQDn4x4MmG8fIvIKdtTmuIlcxamg/AhfAhfwZjWiWPZ3Z5lWXo8gJGnlBkI84h0kwtiO54gHhfHWSpkqvDjW+wLEoAEIEE1EvQbSIIgPpYhwrHHcYAIGoAGRgICQflZkAnzUUF3GxWs11CKBrqIBqB6qF6D6nv2Sb+raf9fiVmpbkCckZDJW4UpS1O26UeKYAAgAAhMgaBfPwjWxUIeZ1QESZwRNx8OaZiQTExDhmgAOAAOzODgRFdeoKJfsEaCnGbkAwAAAABgBACn9qAhAAhplgUecd3zfcQFwAAwAAyoY8BpiB+wGVgEBoABYIBZBjjNYIDnSfWniQjZJi5wjvrF/DLbwf0iUAFUMEUFxxo0IGEoqTAZB4LBLQAAAADDAGhIhmADgI+EMz/35KCyxA/yCDAADAADMzA4bUCeYMcTIL0jCwAAAAAAIwCwtRUSVwDAulpgjQDJAJJcAAPAADBgCAMNyBXu1AyAAWAAGGCSAY7TkMxgluRiPGGZWJYPIkcIFAAFhlHQkBwhT2gmmE9GlIeBRw7ImHEXQAAQAASzQOg2ID5ALQGoACo0igoNuYXoLuuMAQKAACCoBQQNSR24HhHUS1YkAAgAAoDAKAhOu5auLqVvuYFIQjEibgoSgAQggQES5CNuvCWR7Qw25pTvv2vC4lH0I4Laofa9q92jGcvacoBQpiz8irt/PlLqUV6shLRJsRbylALoRQQIAAIaIZA0iQLJXjAAxx8UAAVUv6mZT417/o/8fvn2uyaE2w+tQ+u6tN5e1+Jo2e4zn75s186O6l8oCupA/VA/1K9B/Y5j2Z2Omj071XW/BouKZR/rn7hJzN7UcRAYAAaAgapOQBjU4AJ0nyAgDEoGxRQCKB/K1+YAKM4l/kkHIAyqbP9hQCbHLqNxeTAhtn9AABDQt/1ngk3qcgFKWQCXsSGR6yHHJBFjVs78Ix8AEoAEutwBp6fPHdhARtkl2LAA7gAgAAiYcQfyNDU/jPCxEyAXUJpEiE0feofedeh9YNkdxxpo8vvzNFWx6TgRRE4eZlNkAYABYKAmDNh6rgAqY2Cl/UCMSZyQNxMAZX8AAABQBQC9mgFQ3PwdBmEYxCMoH8qH8o0pX/EYUJfy95Lpg+whe8i+kuwV0/0GPH64+1A/1G9W/f36034gAAgAAtRAgAkVzHyLj2297/L9UeoLtUPtBmp7LEu1tKfibl/oWMWiPg/isyAekeIniMdi+Z8sTXKBcz5w4BUOKNajaOZAOvvyj9nXq+uvf3cW0MVCzaDW8wa9flgsXmzh1Tndmm6xKLfwko++bYdf/gCEDWFD2E8MmlLvzLhL3znZ2rRYQKle/wROPTQPzWtt2lVB+RXd++KVlWwrn0iGI1KsCB49IAAImIIA58ORZek5wlcGAGfUnxJORZDEZBjEQTZmfkED0iYfLBuZfRABRDBEhJFfQ/vu7SWeUZL4jJe9ABvXeKB5aF7fmX6nq8UFGPlKCf6V6GXzbrnzJx8YJ2PGQgQDwAAwYBQDih18/0YcQAQADAADFTGgZ44XMAAMAAN/HwzoqfupTIFszMKQTBjxaewxQAAQAAQMQqAhIQEoAAqAArVRoCERASgACoACdVFAz7W/yhA4z1mWECFJEDESJRwgAAgAApMgaEhQABKABCBBrSRoSGAAEoAEIEFtJAjzj+bvD20MGuYfh4yTiI4E88aHJIi98mUiFBBC/VC/PvUPGW+fBSLT4g2E+cdXRgCUMVAsozQHAPKH/CF/TfKPWJxn7aX6tEwBesQXFRPvrAclxCABSGCKBEHm1RgHyLdnYUhjluRlFwARAIQP4esSvj3on2hx/aWklcb+jTgjbuASNhqRKPHzkBGaZSxywyl8AKAAKDDmA3Bm/gZxt791Ap6k/otHsflD8VC8FsWf2lZHU5PQiDOliJ8z0u2VmodQ7PugAChgkAK9BlLARR0AIAAIGIJAVkP7oG3j4CznH4IPCSc+DcJ1S7FyIvDNnYQBAAAAAHgpEdg50TMLNFOrCHwWAYUn0B6yCCEBYAAYmPMGBOVnQSaMuwTOdlzQZg2liiCMDILyoXxdyu85zmlXkyOwErSKZZ2jfnIhRwV6ZywmGQ2pT0IxIhGjoawTJP8jOJ3+L7wCsAFsMMWGfFRDi2Fn8LhUoHxAKB+FNwDFQ/F6hgg6PT0NhvORUlIgzGNvfOwHcSxvCbE4J3bnkGQsCtopSoTBArDA9NwhL4nzTNkR0EOFYiWyy6hcC3nqFeCkEBwAB/RyIGkSCBKQACQACYznAzJfsZ3QHhMCj9IB8u13TYhsAPQOvevUezulmdDTREy+/MuWPdnR/WoZuwbF3GGoH+rX2DNM8VywYpOArZ6V7gtmPiXFsw/JZERY6CaTjDjdYzt8U8UwgAAgAAgVgaA4gNgkEHgigjggtvNWICAdAB6AB9V44DSMB2lIg3jjI1hAApDwmnFFGqrZtVcRCYGKWcXv89tvN5IHtfqx+0ABXSzUDGk9b8jrh8Xi5aHj23tD8n3KE8fffE1o+QMQNATdCEE3YWunKfXOzPcH2+b8lgsoNQZDvg9Sh9T33Q3Asm1HNbCvmOEvVKxiziAWxKUxoWlIsihJxDhgxLasdp8kF8jyAQPAgBEMKMbzOjGQTQRJE0FGPJUoEOO9cACRPDAADKhiQM8dAGUMZHk8DJMJ48TNhWCcdHpW2z5yeoAAIAAIaIeAS83f+9v2Bpfvjo7gEDlEbmCn19MG0KVK5fzD0CXeOPGSkApGXMqJc+ScJhekTeyO45U7gSDwBwfAgb1f70miyHzbn9Ptfl8soNTz5xRbPqQOqe99y7dsy44V5V5xz5cyVvqWJlFUJPfeszCckq5lHdvI8UP/0L8Z/TtN0L8853vPQiLl37aR1oP8IX8T8u82Y/uX/f/T2CUdqB/qh/rNqb/TFPXLP944j4EBYAAYMImBTsey+rVCgJ7ntD2i3C8qewZ9Mirn/6B8KB/K33uiP6Yjbr6Bz8mj3X+5AnTxgNghds3bvG1beor6VypWsef7cUa8MRnm/oic9tv20Vsr+KB/6B/6V9W/nmr+qvqnnEYs3I/+4etD/pD/X9txVMN0T3tb0jNKEp/x8jxPG0U9kDqkvmepnziWJkd/pDbI0xsz36eceGPGMkYymnuM2F2r3T2y+nD3AQFAwAgE9Hj7ihCYjAPBJAJ8HRyA2w8MAANqGOjUiYHznGUJCAACgAD1EGDMgviixsu7y/fH9V0IHULXK/T4ol1ssFq2+0LGr1zf2w7l2a6jdIUPo3mgeqh+z6rvOYOupWcqx0bISh16jrIjMo4vSEbDjJK+1XaOLJztAwKAgAkInHaaAIHCSSAR5UFMOV2F+3tBAaJ9kAAk+Gs7BnEmzJ/zbwt65fsHIhdBEtOQxLnggfx7+dwfFb7QPrS/Z+2nsasl9JeafkX8G0umjMa5WHXoLCsegofgIfh9j9uyeprc/jR2lcp5k6lTXNh15IXdI7TtgfAhfP3CnyajnCv6+Xvd7LsbY66WsGvILnZ5iB1i36/Y5R7bs5Sr+Spu9Esdq1h0+UySCU4nLuN8SjrF7Z12d0DQmRcoAAqMoUCxok83CqLgI/NJiQVvQwHy/CABSKBAgvc1lvS9P3hPsph6Z2SYJH75Uh+K+6B36H3ft/f7ds/WM5rj/XulTN970mu7NPbXE7hsy7Ha1pHdfWufPjAADAADVBlwUi8DunoYALcfCAACFNz+vI7ynt6WAHkmgvhJG48eXH5oHVrfv9bb1rJBlpY9P3+1rOdkR/TrhaCOD8KH8DWX9XS7zqmWDP8jJauYdGARj4YJDxgZJzGbFpU+ds9qo2snWAAWGHMC7CO7V4sT0C05AauFlIp+4ARA+BD+noVv2wPrRM85/yMpK31V6XImj5uHZySVp37kpPc8CuADAAVAwd57eA26p3qq/CuSIBbECwkNI+IKTrJzkp7J273yBZD/BwqAAiMoUGztq9kpGCceGdMLkAAkAAlqIoGeGwFVSRDSLAu8IkSQIJABAlAAFAAFJlHQiExBLMjYimWA4K/9AqAAKAAKjKKg2wQUbM8LVz5BBhKABCCBMRJEQdhOxJiZn/rV3zYJiIIwEJRPyXIluybto1sAdA/d77sVqGUp9wOuWCuwQYqKRSPOCKdZurwdzGLGR1MyYiHpWla743xFywDwADwwxAM90wAr8yBKvDHdPwsQEgAFQIEiCvTMBKyMAnl+mIRUMOAAOAAOarlObFm2028GDlg8KggQsighYRCxoqFo3yIjkAAkAAkMkGDQLBJEwcdVZzGQACQACYyRoNOEbEEQpeSMCW+cp0VUYPegf+gf+jeifz3zwivrf3t68J5GBQUci4xIm0S8PFoULAALwAIdLNDTcrAyC7bpQllStGYBKAAKgALaKdBtAgVkboCmachIGjDisyxjXBS5AQcVhSABSKC/opAz860Hu/3HBCi3H5OPooQQQofQ930coCsJyJXmiMvNfsRT8n5VFIAW45A+pG9K+ppKhNSlT9Nwb9KHdw/lQ/mKytcU56srX/5xwzN58k8gf8gf8jcpf03FgNXknwleHPhB/pA/5G9S/npGC1Xd/d1zknkM8of8IX+T8rcV+4bok/+QCjLkjJGITpOl/iF/yB/yN3LGr6lnQMXdn3rEGzOfdKT6jyB/yB/yNyL/2s/75B9Z3Ff86cD5h/whf3Pyr/3Mr2gonjIa5wLqh/qhfpPq13Tjp9rm743z5aAhyB/yh/zNyD9mmQjN1/U69rZp+HIFu3aUj6OwF2KH2Pc6U9Cxe86ppSfRv9Sx0piA4pnEZTFbjxcmTrdtY6owQAAQGNn1hyPjW35nq38qgiSmIRkmiU9GPMnTkkE72P0heoh+76InaZJ7Yz3b/3CkpP3NIqB4KB6K16r4vtNxBnrGhW50rGLRC8bIBWMZiRMi8/tuLgTjh8TjjEbTQ2If2cmFvMuPmQDgArhghgt6hofuhwtBHNMoiYlIaCb2xgecCQAPwIMSHk46p/XjQT55nEdRnhGna3mCODgThP6hfxOJgmkyyrkwnyno7ah/tYpde/aQKoDmofl97/ndXk/xAuBP7PlLIVeKCTjzc4/5JMtHlMtbwXSy7Aa8fK1D0k0uSHeAlAH4AD6Y4YPiiJA6+PCBxkEY0r3CAfEC2AA2/LUdU5ZmQY31BMX7ewlOFCF1SF2v1IfDyLKsvqXpxkChZCWLJpkIRJKRiPlBHhV3B86mJKNhRknHIm3SORqgmhBQABRM7P+CceP7f/fR/i8Yz5KYDCmPspI1u3ADoHgofv+Kp2n6PvcUrw5V9gOE2lSQVPAsJkMeZavhIO/zwGNkclzkCzNy2veEzAXADwAVQAUDVHD51A3jt35P90cFV54YyBWtmbBCAq4XAwlAghEkjHizHIVisMhjN2EvXgKIACKACApEiF0vMZ4sGGxBULz/rhEHyBFA6BD6vhsLdTqaugoWGlaxZhYliRiTJGW86CzkFF1FbfQZAAPAAAMM4Ipfzz3u9NsCYu6jcBgSh8T1SrwY4N1WFXrFjZ77KsbcLAFbOvQOvWve0keh+U19G75z5pNREpa1jggeUofUNUi9HVEexJRTPfv7KHxlh7dPn8iebJaza1v5VAAAAAAA9goA5sfUufDsvp6bPzuAUTHtEwwQuz9oO0XjUOI9aSOICABUABU0UsFT/KbWzQUyGQsySZI3pQhwwg8+gA/qfBgo9hk3D4dBd08+A5AAJAAJVZDQXI9hBwpwGEAH0MEkHcYXntNvrMfg9OV8Egc+A6gAKhinQnOdhhIXyGQCNAANQIOBg8mi10cdp5KdpzxYrqV0JIkGRJA+pL9/ryDzdB9JFnKu5BAsGw/JQ4cOjiJBA9DAOA10xgj74AEyiuACuGCYCzqPIH8WCoNum+zDSQALwAKwoAoLmugiPKYBXARgAVgwiQXdh44/SwV5rEBslCiBB+CBeR400U8oEQGuAtAANBhCQxaMjN94Ptn2MApGMRU5ZySjucfK/c1PcMoIxUPxe+5d1ulbmnqXZcEr00+tx6onXiCmxHXPicvzbDwMVgggdq/vifZ+wgMgAUgAElSR4DQGCQkPRvI5+ycCogIAAUBQBIKeMWg/A4RswphYhgjAAXAAHJhOEkS5d1bDGLT+o2bHxQrKCYI+EgRQO9S+X7X37J5l2Va3Z+lxAJZSVmtxnpNiionL5KijrmW1j9DfHBgABkxiQFOusBoGRpymbD8EgNcPAAAACl6/YDwMYvPng/Yj6a/XULp/WDYmHH8IHoJ/81SjE8vWlPVb6Vhpu18+tygDkpMMyUmv3ZfZPkIizuD7gwQggQkS9JpCghHxxolHAk/+9aR33EcAAAqAAmYocNIcCkQ0DRnJpjxPCwyAAqAAKGCEAqfNoYA3Lg4DRJKSntW2LTgD/xkY+Pzn5z8PW79eXV9eXX/ls+uvc/nZb2/+OZ7PLue3hSXu7me39/zmn4UViv/xbhZF7ml+fVn8e9da/k/x753D1q18oez+9ur6q/xlOe+8rmW3/jxsfblZPPvC9uMX7m5f+NHL2r3y6/r2u2T5qvPF4rWVdl9Y6TMv6bxLVku9nN3P/ria//OVhb5kgaevS+3V6/552Lqd/7/5l/vhYvb1rvWu/+f/B8bdOwj3eAYA&quot;"/>
  </we:properties>
  <we:bindings>
    <we:binding id="PX{4FDC14FD-1E79-4A18-BC30-1E53AB37FF78}" type="matrix" appref="{C050F7AC-85BF-44BC-8721-333FA8056998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_xldudf_PROPHIX_GETVALUE</we:customFunctionIds>
        <we:customFunctionIds>_xldudf_PROPHIX_GETCOMMENT</we:customFunctionIds>
        <we:customFunctionIds>_xldudf_PROPHIX_GETMEMBER</we:customFunctionIds>
        <we:customFunctionIds>_xldudf_PROPHIX_SETVALUE</we:customFunctionIds>
        <we:customFunctionIds>_xldudf_PROPHIX_GETMEMBERKEY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8F73-E682-4F33-AFE2-D347E183A23C}">
  <sheetPr>
    <pageSetUpPr fitToPage="1"/>
  </sheetPr>
  <dimension ref="A1:AA106"/>
  <sheetViews>
    <sheetView showGridLines="0" zoomScale="80" zoomScaleNormal="80" workbookViewId="0">
      <pane xSplit="2" ySplit="14" topLeftCell="C15" activePane="bottomRight" state="frozen"/>
      <selection activeCell="A7" sqref="A7"/>
      <selection pane="topRight" activeCell="C7" sqref="C7"/>
      <selection pane="bottomLeft" activeCell="A15" sqref="A15"/>
      <selection pane="bottomRight" activeCell="Q25" sqref="Q25"/>
    </sheetView>
  </sheetViews>
  <sheetFormatPr defaultRowHeight="15" outlineLevelRow="1" outlineLevelCol="1" x14ac:dyDescent="0.25"/>
  <cols>
    <col min="1" max="1" width="8.7109375" bestFit="1" customWidth="1"/>
    <col min="2" max="2" width="22.140625" bestFit="1" customWidth="1"/>
    <col min="3" max="9" width="12.28515625" hidden="1" customWidth="1" outlineLevel="1"/>
    <col min="10" max="12" width="12.28515625" hidden="1" customWidth="1" outlineLevel="1" collapsed="1"/>
    <col min="13" max="13" width="12.28515625" hidden="1" customWidth="1" collapsed="1"/>
    <col min="14" max="14" width="12.28515625" hidden="1" customWidth="1"/>
    <col min="15" max="26" width="12.28515625" customWidth="1"/>
    <col min="27" max="27" width="7.7109375" bestFit="1" customWidth="1"/>
    <col min="28" max="28" width="71.28515625" bestFit="1" customWidth="1"/>
    <col min="29" max="29" width="11.5703125" bestFit="1" customWidth="1"/>
    <col min="30" max="30" width="22.85546875" bestFit="1" customWidth="1"/>
    <col min="31" max="31" width="16.85546875" bestFit="1" customWidth="1"/>
    <col min="32" max="32" width="6.85546875" bestFit="1" customWidth="1"/>
    <col min="33" max="33" width="6.42578125" bestFit="1" customWidth="1"/>
    <col min="34" max="34" width="5.85546875" bestFit="1" customWidth="1"/>
    <col min="35" max="36" width="6.7109375" bestFit="1" customWidth="1"/>
    <col min="37" max="37" width="6.42578125" bestFit="1" customWidth="1"/>
    <col min="38" max="38" width="11.28515625" bestFit="1" customWidth="1"/>
  </cols>
  <sheetData>
    <row r="1" spans="1:27" hidden="1" outlineLevel="1" x14ac:dyDescent="0.25">
      <c r="B1" s="50" t="s">
        <v>596</v>
      </c>
      <c r="C1" s="50" t="s">
        <v>538</v>
      </c>
      <c r="D1" s="50" t="s">
        <v>597</v>
      </c>
      <c r="E1" s="50" t="s">
        <v>540</v>
      </c>
      <c r="F1" s="50" t="s">
        <v>82</v>
      </c>
      <c r="G1" s="50" t="s">
        <v>83</v>
      </c>
      <c r="H1" s="50" t="s">
        <v>68</v>
      </c>
      <c r="I1" s="50" t="s">
        <v>69</v>
      </c>
      <c r="J1" s="50" t="s">
        <v>70</v>
      </c>
      <c r="K1" s="50" t="s">
        <v>71</v>
      </c>
      <c r="L1" s="50" t="s">
        <v>131</v>
      </c>
      <c r="M1" s="50" t="s">
        <v>132</v>
      </c>
      <c r="N1" s="50" t="s">
        <v>133</v>
      </c>
      <c r="O1" s="50" t="s">
        <v>538</v>
      </c>
      <c r="P1" s="50" t="s">
        <v>597</v>
      </c>
      <c r="Q1" s="50" t="s">
        <v>540</v>
      </c>
      <c r="R1" s="50" t="s">
        <v>82</v>
      </c>
      <c r="S1" s="50" t="s">
        <v>83</v>
      </c>
      <c r="T1" s="50" t="s">
        <v>68</v>
      </c>
      <c r="U1" s="50" t="s">
        <v>69</v>
      </c>
      <c r="V1" s="50" t="s">
        <v>541</v>
      </c>
      <c r="W1" s="50" t="s">
        <v>71</v>
      </c>
      <c r="X1" s="50" t="s">
        <v>131</v>
      </c>
      <c r="Y1" s="50" t="s">
        <v>132</v>
      </c>
      <c r="Z1" s="50" t="s">
        <v>133</v>
      </c>
    </row>
    <row r="2" spans="1:27" hidden="1" outlineLevel="1" x14ac:dyDescent="0.25">
      <c r="B2" t="s">
        <v>592</v>
      </c>
      <c r="C2">
        <f>SUM(C3:C5)</f>
        <v>31</v>
      </c>
      <c r="D2">
        <f t="shared" ref="D2:G2" si="0">SUM(D3:D5)</f>
        <v>28</v>
      </c>
      <c r="E2">
        <f t="shared" si="0"/>
        <v>31</v>
      </c>
      <c r="F2">
        <f t="shared" si="0"/>
        <v>30</v>
      </c>
      <c r="G2">
        <f t="shared" si="0"/>
        <v>31</v>
      </c>
      <c r="H2">
        <f>SUM(H3:H5)</f>
        <v>30</v>
      </c>
      <c r="I2">
        <f t="shared" ref="I2:N2" si="1">SUM(I3:I5)</f>
        <v>31</v>
      </c>
      <c r="J2">
        <f t="shared" si="1"/>
        <v>31</v>
      </c>
      <c r="K2">
        <f t="shared" si="1"/>
        <v>30</v>
      </c>
      <c r="L2">
        <f t="shared" si="1"/>
        <v>31</v>
      </c>
      <c r="M2">
        <f t="shared" si="1"/>
        <v>30</v>
      </c>
      <c r="N2">
        <f t="shared" si="1"/>
        <v>31</v>
      </c>
      <c r="O2">
        <f t="shared" ref="O2:T2" si="2">SUM(O3:O5)</f>
        <v>31</v>
      </c>
      <c r="P2">
        <f t="shared" si="2"/>
        <v>28</v>
      </c>
      <c r="Q2">
        <f t="shared" si="2"/>
        <v>31</v>
      </c>
      <c r="R2">
        <f t="shared" si="2"/>
        <v>30</v>
      </c>
      <c r="S2">
        <f t="shared" si="2"/>
        <v>31</v>
      </c>
      <c r="T2">
        <f t="shared" si="2"/>
        <v>30</v>
      </c>
      <c r="U2">
        <f t="shared" ref="U2" si="3">SUM(U3:U5)</f>
        <v>31</v>
      </c>
      <c r="V2">
        <f t="shared" ref="V2:Z2" si="4">SUM(V3:V5)</f>
        <v>31</v>
      </c>
      <c r="W2">
        <f t="shared" si="4"/>
        <v>30</v>
      </c>
      <c r="X2">
        <f t="shared" si="4"/>
        <v>31</v>
      </c>
      <c r="Y2">
        <f t="shared" si="4"/>
        <v>30</v>
      </c>
      <c r="Z2">
        <f t="shared" si="4"/>
        <v>31</v>
      </c>
    </row>
    <row r="3" spans="1:27" hidden="1" outlineLevel="1" x14ac:dyDescent="0.25">
      <c r="B3" t="s">
        <v>593</v>
      </c>
      <c r="C3">
        <v>23</v>
      </c>
      <c r="D3">
        <v>20</v>
      </c>
      <c r="E3">
        <v>21</v>
      </c>
      <c r="F3">
        <v>22</v>
      </c>
      <c r="G3">
        <v>22</v>
      </c>
      <c r="H3">
        <v>21</v>
      </c>
      <c r="I3">
        <v>23</v>
      </c>
      <c r="J3">
        <v>21</v>
      </c>
      <c r="K3">
        <v>22</v>
      </c>
      <c r="L3">
        <v>23</v>
      </c>
      <c r="M3">
        <v>20</v>
      </c>
      <c r="N3">
        <v>23</v>
      </c>
      <c r="O3">
        <v>22</v>
      </c>
      <c r="P3">
        <v>20</v>
      </c>
      <c r="Q3">
        <v>22</v>
      </c>
      <c r="R3">
        <v>22</v>
      </c>
      <c r="S3">
        <v>21</v>
      </c>
      <c r="T3">
        <v>22</v>
      </c>
      <c r="U3">
        <v>23</v>
      </c>
      <c r="V3">
        <v>21</v>
      </c>
      <c r="W3">
        <v>22</v>
      </c>
      <c r="X3">
        <v>22</v>
      </c>
      <c r="Y3">
        <v>21</v>
      </c>
      <c r="Z3">
        <v>23</v>
      </c>
    </row>
    <row r="4" spans="1:27" hidden="1" outlineLevel="1" x14ac:dyDescent="0.25">
      <c r="B4" t="s">
        <v>594</v>
      </c>
      <c r="C4">
        <v>4</v>
      </c>
      <c r="D4">
        <v>4</v>
      </c>
      <c r="E4">
        <v>5</v>
      </c>
      <c r="F4">
        <v>4</v>
      </c>
      <c r="G4">
        <v>5</v>
      </c>
      <c r="H4">
        <v>4</v>
      </c>
      <c r="I4">
        <v>4</v>
      </c>
      <c r="J4">
        <v>5</v>
      </c>
      <c r="K4">
        <v>4</v>
      </c>
      <c r="L4">
        <v>4</v>
      </c>
      <c r="M4">
        <v>5</v>
      </c>
      <c r="N4">
        <v>4</v>
      </c>
      <c r="O4">
        <v>5</v>
      </c>
      <c r="P4">
        <v>4</v>
      </c>
      <c r="Q4">
        <v>4</v>
      </c>
      <c r="R4">
        <v>4</v>
      </c>
      <c r="S4">
        <v>5</v>
      </c>
      <c r="T4">
        <v>4</v>
      </c>
      <c r="U4">
        <v>4</v>
      </c>
      <c r="V4">
        <v>5</v>
      </c>
      <c r="W4">
        <v>4</v>
      </c>
      <c r="X4">
        <v>5</v>
      </c>
      <c r="Y4">
        <v>4</v>
      </c>
      <c r="Z4">
        <v>4</v>
      </c>
    </row>
    <row r="5" spans="1:27" hidden="1" outlineLevel="1" x14ac:dyDescent="0.25">
      <c r="B5" t="s">
        <v>595</v>
      </c>
      <c r="C5">
        <v>4</v>
      </c>
      <c r="D5">
        <v>4</v>
      </c>
      <c r="E5">
        <v>5</v>
      </c>
      <c r="F5">
        <v>4</v>
      </c>
      <c r="G5">
        <v>4</v>
      </c>
      <c r="H5">
        <v>5</v>
      </c>
      <c r="I5">
        <v>4</v>
      </c>
      <c r="J5">
        <v>5</v>
      </c>
      <c r="K5">
        <v>4</v>
      </c>
      <c r="L5">
        <v>4</v>
      </c>
      <c r="M5">
        <v>5</v>
      </c>
      <c r="N5">
        <v>4</v>
      </c>
      <c r="O5">
        <v>4</v>
      </c>
      <c r="P5">
        <v>4</v>
      </c>
      <c r="Q5">
        <v>5</v>
      </c>
      <c r="R5">
        <v>4</v>
      </c>
      <c r="S5">
        <v>5</v>
      </c>
      <c r="T5">
        <v>4</v>
      </c>
      <c r="U5">
        <v>4</v>
      </c>
      <c r="V5">
        <v>5</v>
      </c>
      <c r="W5">
        <v>4</v>
      </c>
      <c r="X5">
        <v>4</v>
      </c>
      <c r="Y5">
        <v>5</v>
      </c>
      <c r="Z5">
        <v>4</v>
      </c>
    </row>
    <row r="6" spans="1:27" hidden="1" outlineLevel="1" x14ac:dyDescent="0.25"/>
    <row r="7" spans="1:27" collapsed="1" x14ac:dyDescent="0.25">
      <c r="B7" s="50" t="s">
        <v>598</v>
      </c>
      <c r="C7" s="50" t="s">
        <v>538</v>
      </c>
      <c r="D7" s="50" t="s">
        <v>597</v>
      </c>
      <c r="E7" s="50" t="s">
        <v>540</v>
      </c>
      <c r="F7" s="50" t="s">
        <v>82</v>
      </c>
      <c r="G7" s="50" t="s">
        <v>83</v>
      </c>
      <c r="H7" s="50" t="s">
        <v>68</v>
      </c>
      <c r="I7" s="50" t="s">
        <v>69</v>
      </c>
      <c r="J7" s="50" t="s">
        <v>70</v>
      </c>
      <c r="K7" s="50" t="s">
        <v>71</v>
      </c>
      <c r="L7" s="50" t="s">
        <v>131</v>
      </c>
      <c r="M7" s="50" t="s">
        <v>132</v>
      </c>
      <c r="N7" s="50" t="s">
        <v>133</v>
      </c>
      <c r="O7" s="50" t="str">
        <f>+O1</f>
        <v>January</v>
      </c>
      <c r="P7" s="50" t="str">
        <f t="shared" ref="P7:T7" si="5">+P1</f>
        <v xml:space="preserve">February </v>
      </c>
      <c r="Q7" s="50" t="str">
        <f t="shared" si="5"/>
        <v>March</v>
      </c>
      <c r="R7" s="50" t="str">
        <f t="shared" si="5"/>
        <v>April</v>
      </c>
      <c r="S7" s="50" t="str">
        <f t="shared" si="5"/>
        <v>May</v>
      </c>
      <c r="T7" s="50" t="str">
        <f t="shared" si="5"/>
        <v>June</v>
      </c>
      <c r="U7" s="50" t="s">
        <v>69</v>
      </c>
      <c r="V7" s="50" t="s">
        <v>541</v>
      </c>
      <c r="W7" s="50" t="s">
        <v>71</v>
      </c>
      <c r="X7" s="50" t="s">
        <v>131</v>
      </c>
      <c r="Y7" s="50" t="s">
        <v>132</v>
      </c>
      <c r="Z7" s="50" t="s">
        <v>133</v>
      </c>
    </row>
    <row r="8" spans="1:27" x14ac:dyDescent="0.25">
      <c r="B8" t="s">
        <v>593</v>
      </c>
      <c r="C8">
        <v>21</v>
      </c>
      <c r="D8">
        <v>20</v>
      </c>
      <c r="E8">
        <v>21</v>
      </c>
      <c r="F8">
        <v>21</v>
      </c>
      <c r="G8">
        <v>21</v>
      </c>
      <c r="H8">
        <v>21</v>
      </c>
      <c r="I8">
        <v>22</v>
      </c>
      <c r="J8">
        <v>21</v>
      </c>
      <c r="K8">
        <v>21</v>
      </c>
      <c r="L8">
        <v>23</v>
      </c>
      <c r="M8" s="158">
        <v>15</v>
      </c>
      <c r="N8" s="158">
        <v>19</v>
      </c>
      <c r="O8">
        <f>+O3-1</f>
        <v>21</v>
      </c>
      <c r="P8">
        <f>+P3</f>
        <v>20</v>
      </c>
      <c r="Q8">
        <f t="shared" ref="Q8:X8" si="6">+Q3</f>
        <v>22</v>
      </c>
      <c r="R8">
        <f t="shared" si="6"/>
        <v>22</v>
      </c>
      <c r="S8">
        <f>+S3-1</f>
        <v>20</v>
      </c>
      <c r="T8">
        <f t="shared" si="6"/>
        <v>22</v>
      </c>
      <c r="U8">
        <f>+U3-1</f>
        <v>22</v>
      </c>
      <c r="V8">
        <f>+V3</f>
        <v>21</v>
      </c>
      <c r="W8">
        <f>+W3-1</f>
        <v>21</v>
      </c>
      <c r="X8">
        <f t="shared" si="6"/>
        <v>22</v>
      </c>
      <c r="Y8">
        <f>+Y3-2</f>
        <v>19</v>
      </c>
      <c r="Z8">
        <f>+Z3-2</f>
        <v>21</v>
      </c>
    </row>
    <row r="9" spans="1:27" x14ac:dyDescent="0.25">
      <c r="B9" t="s">
        <v>594</v>
      </c>
      <c r="C9">
        <v>4</v>
      </c>
      <c r="D9">
        <v>4</v>
      </c>
      <c r="E9">
        <v>5</v>
      </c>
      <c r="F9">
        <v>4</v>
      </c>
      <c r="G9">
        <v>5</v>
      </c>
      <c r="H9">
        <v>4</v>
      </c>
      <c r="I9">
        <v>3</v>
      </c>
      <c r="J9">
        <v>4</v>
      </c>
      <c r="K9">
        <v>4</v>
      </c>
      <c r="L9">
        <v>4</v>
      </c>
      <c r="M9" s="158">
        <v>4</v>
      </c>
      <c r="N9" s="158">
        <v>3</v>
      </c>
      <c r="O9" s="158">
        <f>+O4</f>
        <v>5</v>
      </c>
      <c r="P9" s="158">
        <f t="shared" ref="P9:Z9" si="7">+P4</f>
        <v>4</v>
      </c>
      <c r="Q9" s="158">
        <f t="shared" si="7"/>
        <v>4</v>
      </c>
      <c r="R9" s="158">
        <f t="shared" si="7"/>
        <v>4</v>
      </c>
      <c r="S9" s="158">
        <f t="shared" si="7"/>
        <v>5</v>
      </c>
      <c r="T9" s="158">
        <f t="shared" si="7"/>
        <v>4</v>
      </c>
      <c r="U9" s="158">
        <f t="shared" si="7"/>
        <v>4</v>
      </c>
      <c r="V9" s="158">
        <f t="shared" si="7"/>
        <v>5</v>
      </c>
      <c r="W9" s="158">
        <f t="shared" si="7"/>
        <v>4</v>
      </c>
      <c r="X9" s="158">
        <f t="shared" si="7"/>
        <v>5</v>
      </c>
      <c r="Y9" s="158">
        <f t="shared" si="7"/>
        <v>4</v>
      </c>
      <c r="Z9" s="158">
        <f t="shared" si="7"/>
        <v>4</v>
      </c>
    </row>
    <row r="10" spans="1:27" x14ac:dyDescent="0.25">
      <c r="B10" t="s">
        <v>595</v>
      </c>
      <c r="C10">
        <v>1</v>
      </c>
      <c r="D10">
        <v>1</v>
      </c>
      <c r="F10">
        <v>2</v>
      </c>
      <c r="G10">
        <v>2</v>
      </c>
      <c r="H10">
        <v>4</v>
      </c>
    </row>
    <row r="11" spans="1:27" x14ac:dyDescent="0.25">
      <c r="B11" t="s">
        <v>592</v>
      </c>
      <c r="C11">
        <f t="shared" ref="C11:N11" si="8">SUM(C8:C10)</f>
        <v>26</v>
      </c>
      <c r="D11">
        <f t="shared" si="8"/>
        <v>25</v>
      </c>
      <c r="E11">
        <f t="shared" si="8"/>
        <v>26</v>
      </c>
      <c r="F11">
        <f t="shared" si="8"/>
        <v>27</v>
      </c>
      <c r="G11">
        <f t="shared" si="8"/>
        <v>28</v>
      </c>
      <c r="H11">
        <f t="shared" si="8"/>
        <v>29</v>
      </c>
      <c r="I11">
        <f t="shared" si="8"/>
        <v>25</v>
      </c>
      <c r="J11">
        <f t="shared" si="8"/>
        <v>25</v>
      </c>
      <c r="K11">
        <f>SUM(K8:K10)</f>
        <v>25</v>
      </c>
      <c r="L11">
        <f t="shared" si="8"/>
        <v>27</v>
      </c>
      <c r="M11">
        <f t="shared" si="8"/>
        <v>19</v>
      </c>
      <c r="N11">
        <f t="shared" si="8"/>
        <v>22</v>
      </c>
      <c r="O11">
        <f t="shared" ref="O11:T11" si="9">SUM(O8:O10)</f>
        <v>26</v>
      </c>
      <c r="P11">
        <f t="shared" si="9"/>
        <v>24</v>
      </c>
      <c r="Q11">
        <f t="shared" si="9"/>
        <v>26</v>
      </c>
      <c r="R11">
        <f t="shared" si="9"/>
        <v>26</v>
      </c>
      <c r="S11">
        <f t="shared" si="9"/>
        <v>25</v>
      </c>
      <c r="T11">
        <f t="shared" si="9"/>
        <v>26</v>
      </c>
      <c r="U11">
        <f t="shared" ref="U11" si="10">SUM(U8:U10)</f>
        <v>26</v>
      </c>
      <c r="V11">
        <f t="shared" ref="V11:Z11" si="11">SUM(V8:V10)</f>
        <v>26</v>
      </c>
      <c r="W11">
        <f t="shared" si="11"/>
        <v>25</v>
      </c>
      <c r="X11">
        <f t="shared" si="11"/>
        <v>27</v>
      </c>
      <c r="Y11">
        <f t="shared" si="11"/>
        <v>23</v>
      </c>
      <c r="Z11">
        <f t="shared" si="11"/>
        <v>25</v>
      </c>
    </row>
    <row r="12" spans="1:27" ht="15.75" thickBot="1" x14ac:dyDescent="0.3">
      <c r="K12">
        <v>17</v>
      </c>
    </row>
    <row r="13" spans="1:27" x14ac:dyDescent="0.25">
      <c r="A13" s="1"/>
      <c r="B13" s="2"/>
      <c r="C13" s="2">
        <f>+'Fds Units'!B1</f>
        <v>45688</v>
      </c>
      <c r="D13" s="2">
        <f>+'Fds Units'!C1</f>
        <v>45716</v>
      </c>
      <c r="E13" s="2">
        <f>+'Fds Units'!D1</f>
        <v>45747</v>
      </c>
      <c r="F13" s="2">
        <f>+'Fds Units'!E1</f>
        <v>45777</v>
      </c>
      <c r="G13" s="2">
        <f>+'Fds Units'!F1</f>
        <v>45808</v>
      </c>
      <c r="H13" s="2">
        <f>EOMONTH(G13,1)</f>
        <v>45838</v>
      </c>
      <c r="I13" s="113">
        <f t="shared" ref="I13:N13" si="12">EOMONTH(H13,1)</f>
        <v>45869</v>
      </c>
      <c r="J13" s="2">
        <f t="shared" si="12"/>
        <v>45900</v>
      </c>
      <c r="K13" s="2">
        <f t="shared" si="12"/>
        <v>45930</v>
      </c>
      <c r="L13" s="2">
        <f t="shared" si="12"/>
        <v>45961</v>
      </c>
      <c r="M13" s="2">
        <f t="shared" si="12"/>
        <v>45991</v>
      </c>
      <c r="N13" s="3">
        <f t="shared" si="12"/>
        <v>46022</v>
      </c>
      <c r="O13" s="2">
        <f>+'Fds Units'!U1</f>
        <v>46053</v>
      </c>
      <c r="P13" s="2">
        <f>+'Fds Units'!Y1</f>
        <v>46081</v>
      </c>
      <c r="Q13" s="2">
        <f>+'Fds Units'!AC1</f>
        <v>46112</v>
      </c>
      <c r="R13" s="2">
        <f>+'Fds Units'!AF1</f>
        <v>46142</v>
      </c>
      <c r="S13" s="2">
        <f>+'Fds Units'!AG1</f>
        <v>46173</v>
      </c>
      <c r="T13" s="2">
        <f>+'Fds Units'!AH1</f>
        <v>46203</v>
      </c>
      <c r="U13" s="2">
        <f>+'Fds Units'!AI1</f>
        <v>46234</v>
      </c>
      <c r="V13" s="2">
        <f>+'Fds Units'!AJ1</f>
        <v>46265</v>
      </c>
      <c r="W13" s="2">
        <f>+'Fds Units'!AK1</f>
        <v>46295</v>
      </c>
      <c r="X13" s="2">
        <f>+'Fds Units'!AL1</f>
        <v>46326</v>
      </c>
      <c r="Y13" s="2">
        <f>+'Fds Units'!AM1</f>
        <v>46356</v>
      </c>
      <c r="Z13" s="2">
        <f>+'Fds Units'!AN1</f>
        <v>46387</v>
      </c>
      <c r="AA13" t="s">
        <v>2315</v>
      </c>
    </row>
    <row r="14" spans="1:27" ht="15.75" thickBot="1" x14ac:dyDescent="0.3">
      <c r="A14" s="61" t="s">
        <v>588</v>
      </c>
      <c r="B14" s="62" t="s">
        <v>599</v>
      </c>
      <c r="C14" s="62" t="str">
        <f>+'Fds Units'!B2</f>
        <v>Actuals</v>
      </c>
      <c r="D14" s="62" t="str">
        <f>+'Fds Units'!C2</f>
        <v>Actuals</v>
      </c>
      <c r="E14" s="62" t="str">
        <f>+'Fds Units'!D2</f>
        <v>Actuals</v>
      </c>
      <c r="F14" s="62" t="str">
        <f>+'Fds Units'!E2</f>
        <v>Actuals</v>
      </c>
      <c r="G14" s="62" t="str">
        <f>+'Fds Units'!F2</f>
        <v>Actuals</v>
      </c>
      <c r="H14" s="62" t="str">
        <f>+'Fds Units'!G2</f>
        <v>Actuals</v>
      </c>
      <c r="I14" s="62" t="str">
        <f>+'Fds Units'!H2</f>
        <v>Actuals</v>
      </c>
      <c r="J14" s="62" t="str">
        <f>+'Fds Units'!I2</f>
        <v>Actuals</v>
      </c>
      <c r="K14" s="62" t="s">
        <v>1113</v>
      </c>
      <c r="L14" s="62" t="str">
        <f>+'Fds Units'!N2</f>
        <v>Schedule</v>
      </c>
      <c r="M14" s="62" t="str">
        <f>+'Fds Units'!R2</f>
        <v>Schedule</v>
      </c>
      <c r="N14" s="63" t="s">
        <v>649</v>
      </c>
      <c r="O14" s="62" t="s">
        <v>649</v>
      </c>
      <c r="P14" s="62" t="s">
        <v>649</v>
      </c>
      <c r="Q14" s="62" t="s">
        <v>586</v>
      </c>
      <c r="R14" s="62" t="str">
        <f t="shared" ref="R14:Z14" si="13">+Q14</f>
        <v>Forecast</v>
      </c>
      <c r="S14" s="62" t="str">
        <f t="shared" si="13"/>
        <v>Forecast</v>
      </c>
      <c r="T14" s="62" t="str">
        <f t="shared" si="13"/>
        <v>Forecast</v>
      </c>
      <c r="U14" s="62" t="str">
        <f t="shared" si="13"/>
        <v>Forecast</v>
      </c>
      <c r="V14" s="62" t="str">
        <f t="shared" si="13"/>
        <v>Forecast</v>
      </c>
      <c r="W14" s="62" t="str">
        <f t="shared" si="13"/>
        <v>Forecast</v>
      </c>
      <c r="X14" s="62" t="str">
        <f t="shared" si="13"/>
        <v>Forecast</v>
      </c>
      <c r="Y14" s="62" t="str">
        <f t="shared" si="13"/>
        <v>Forecast</v>
      </c>
      <c r="Z14" s="62" t="str">
        <f t="shared" si="13"/>
        <v>Forecast</v>
      </c>
    </row>
    <row r="15" spans="1:27" x14ac:dyDescent="0.25">
      <c r="A15" s="257" t="s">
        <v>78</v>
      </c>
      <c r="B15" s="51" t="s">
        <v>589</v>
      </c>
      <c r="C15" s="52">
        <f>SUMIF('Fds Units'!$AP:$AP,Summary!$A15,'Fds Units'!B:B)</f>
        <v>2060498</v>
      </c>
      <c r="D15" s="52">
        <f>SUMIF('Fds Units'!$AS:$AS,Summary!$A15,'Fds Units'!C:C)</f>
        <v>1771466</v>
      </c>
      <c r="E15" s="52">
        <f>SUMIF('Fds Units'!$AV:$AV,Summary!$A15,'Fds Units'!D:D)</f>
        <v>2067024</v>
      </c>
      <c r="F15" s="52">
        <f>SUMIF('Fds Units'!$AY:$AY,Summary!$A15,'Fds Units'!E:E)</f>
        <v>691416</v>
      </c>
      <c r="G15" s="52">
        <f>SUMIF('Fds Units'!$BB:$BB,Summary!$A15,'Fds Units'!F:F)</f>
        <v>2363343</v>
      </c>
      <c r="H15" s="52">
        <f>SUMIF('Fds Units'!$BE:$BE,Summary!$A15,'Fds Units'!G:G)</f>
        <v>2520072</v>
      </c>
      <c r="I15" s="52">
        <f>SUMIF('Fds Units'!$BH:$BH,Summary!$A15,'Fds Units'!H:H)</f>
        <v>1926173</v>
      </c>
      <c r="J15" s="52">
        <f>SUMIF('Fds Units'!$BK:$BK,Summary!$A15,'Fds Units'!I:I)</f>
        <v>294432</v>
      </c>
      <c r="K15" s="52">
        <f>SUMIF('Fds Units'!$BN:$BN,Summary!$A15,'Fds Units'!J:J)</f>
        <v>813718</v>
      </c>
      <c r="L15" s="52">
        <f>SUMIF('Fds Units'!$BQ:$BQ,Summary!$A15,'Fds Units'!K:K)</f>
        <v>1301364</v>
      </c>
      <c r="M15" s="52">
        <f>SUMIF('Fds Units'!$BT:$BT,Summary!$A15,'Fds Units'!L:L)+SUMIF('Fds Units'!$BT:$BT,Summary!$A15,'Fds Units'!N:N)</f>
        <v>2880696</v>
      </c>
      <c r="N15" s="53">
        <f>SUMIF('Fds Units'!$BW:$BW,Summary!$A15,'Fds Units'!R:R)</f>
        <v>1121412</v>
      </c>
      <c r="O15" s="114">
        <f>SUMIF('Fds Units'!$BZ:$BZ,Summary!$A15,'Fds Units'!V:V)</f>
        <v>49200</v>
      </c>
      <c r="P15" s="52">
        <f>SUMIF('Fds Units'!$CC:$CC,Summary!$A15,'Fds Units'!Z:Z)</f>
        <v>1470024</v>
      </c>
      <c r="Q15" s="52">
        <f>SUMIF('Fds Units'!$CF:$CF,Summary!$A15,'Fds Units'!AC:AC)</f>
        <v>705600</v>
      </c>
      <c r="R15" s="52">
        <f>SUMIF('Fds Units'!$CI:$CI,Summary!$A15,'Fds Units'!AF:AF)</f>
        <v>324000</v>
      </c>
      <c r="S15" s="52">
        <f>SUMIF('Fds Units'!$CL:$CL,Summary!$A15,'Fds Units'!AG:AG)</f>
        <v>1466028</v>
      </c>
      <c r="T15" s="52">
        <f>SUMIF('Fds Units'!$CO:$CO,Summary!$A15,'Fds Units'!AH:AH)</f>
        <v>108000</v>
      </c>
      <c r="U15" s="52">
        <f>SUMIF('Fds Units'!$CR:$CR,Summary!$A15,'Fds Units'!AI:AI)</f>
        <v>167536</v>
      </c>
      <c r="V15" s="52">
        <f>SUMIF('Fds Units'!$CU:$CU,Summary!$A15,'Fds Units'!AJ:AJ)</f>
        <v>1053000</v>
      </c>
      <c r="W15" s="52">
        <f>SUMIF('Fds Units'!$CX:$CX,Summary!$A15,'Fds Units'!AK:AK)</f>
        <v>300024</v>
      </c>
      <c r="X15" s="52">
        <f>SUMIF('Fds Units'!$DA:$DA,Summary!$A15,'Fds Units'!AL:AL)</f>
        <v>936000</v>
      </c>
      <c r="Y15" s="52">
        <f>SUMIF('Fds Units'!$DD:$DD,Summary!$A15,'Fds Units'!AM:AM)</f>
        <v>108000</v>
      </c>
      <c r="Z15" s="53">
        <f>SUMIF('Fds Units'!$DG:$DG,Summary!$A15,'Fds Units'!AN:AN)</f>
        <v>261000</v>
      </c>
    </row>
    <row r="16" spans="1:27" x14ac:dyDescent="0.25">
      <c r="A16" s="258"/>
      <c r="B16" t="s">
        <v>80</v>
      </c>
      <c r="C16">
        <f>SUMIF('Fds Units'!$AP:$AP,Summary!$A15,'Fds Units'!DK:DK)</f>
        <v>24</v>
      </c>
      <c r="D16">
        <f>SUMIF('Fds Units'!$AS:$AS,Summary!$A15,'Fds Units'!DL:DL)</f>
        <v>24</v>
      </c>
      <c r="E16">
        <f>SUMIF('Fds Units'!$AV:$AV,Summary!$A15,'Fds Units'!DM:DM)</f>
        <v>25</v>
      </c>
      <c r="F16">
        <f>SUMIF('Fds Units'!$AY:$AY,Summary!$A15,'Fds Units'!DN:DN)</f>
        <v>22</v>
      </c>
      <c r="G16">
        <f>SUMIF('Fds Units'!$BB:$BB,Summary!$A15,'Fds Units'!DO:DO)</f>
        <v>27</v>
      </c>
      <c r="H16">
        <f>SUMIF('Fds Units'!$BE:$BE,Summary!$A15,'Fds Units'!DP:DP)</f>
        <v>27</v>
      </c>
      <c r="I16">
        <f>SUMIF('Fds Units'!$BH:$BH,Summary!$A15,'Fds Units'!DQ:DQ)</f>
        <v>22</v>
      </c>
      <c r="J16">
        <f>SUMIF('Fds Units'!$BK:$BK,Summary!$A15,'Fds Units'!DR:DR)</f>
        <v>4</v>
      </c>
      <c r="K16">
        <f>SUMIF('Fds Units'!$BN:$BN,Summary!$A15,'Fds Units'!DS:DS)</f>
        <v>14</v>
      </c>
      <c r="L16">
        <f>SUMIF('Fds Units'!$BQ:$BQ,Summary!$A15,'Fds Units'!DT:DT)</f>
        <v>25</v>
      </c>
      <c r="M16">
        <f>SUMIF('Fds Units'!$BT:$BT,Summary!$A15,'Fds Units'!DU:DU)</f>
        <v>17</v>
      </c>
      <c r="N16" s="46">
        <f>SUMIF('Fds Units'!$BW:$BW,Summary!$A15,'Fds Units'!DV:DV)</f>
        <v>12</v>
      </c>
      <c r="O16" s="45">
        <f>SUMIF('Fds Units'!$BZ:$BZ,Summary!$A15,'Fds Units'!DW:DW)</f>
        <v>1</v>
      </c>
      <c r="P16">
        <f>SUMIF('Fds Units'!$CC:$CC,Summary!$A15,'Fds Units'!DX:DX)</f>
        <v>17</v>
      </c>
      <c r="Q16">
        <f>SUMIF('Fds Units'!$CF:$CF,Summary!$A15,'Fds Units'!DY:DY)</f>
        <v>9</v>
      </c>
      <c r="R16">
        <f>SUMIF('Fds Units'!$CI:$CI,Summary!$A15,'Fds Units'!DZ:DZ)</f>
        <v>4</v>
      </c>
      <c r="S16">
        <f>SUMIF('Fds Units'!$CL:$CL,Summary!$A15,'Fds Units'!EA:EA)</f>
        <v>18</v>
      </c>
      <c r="T16">
        <f>SUMIF('Fds Units'!$CO:$CO,Summary!$A15,'Fds Units'!EB:EB)</f>
        <v>2</v>
      </c>
      <c r="U16">
        <f>SUMIF('Fds Units'!$CR:$CR,Summary!$A15,'Fds Units'!EC:EC)</f>
        <v>2</v>
      </c>
      <c r="V16">
        <f>SUMIF('Fds Units'!$CU:$CU,Summary!$A15,'Fds Units'!ED:ED)</f>
        <v>13</v>
      </c>
      <c r="W16">
        <f>SUMIF('Fds Units'!$CX:$CX,Summary!$A15,'Fds Units'!EE:EE)</f>
        <v>4</v>
      </c>
      <c r="X16">
        <f>SUMIF('Fds Units'!$DA:$DA,Summary!$A15,'Fds Units'!EF:EF)</f>
        <v>11</v>
      </c>
      <c r="Y16">
        <f>SUMIF('Fds Units'!$DD:$DD,Summary!$A15,'Fds Units'!EG:EG)</f>
        <v>2</v>
      </c>
      <c r="Z16" s="46">
        <f>SUMIF('Fds Units'!$DG:$DG,Summary!$A15,'Fds Units'!EH:EH)</f>
        <v>4</v>
      </c>
    </row>
    <row r="17" spans="1:26" x14ac:dyDescent="0.25">
      <c r="A17" s="258"/>
      <c r="B17" t="s">
        <v>590</v>
      </c>
      <c r="C17">
        <f t="shared" ref="C17:N17" si="14">+C$11-C16</f>
        <v>2</v>
      </c>
      <c r="D17">
        <f t="shared" si="14"/>
        <v>1</v>
      </c>
      <c r="E17">
        <f t="shared" si="14"/>
        <v>1</v>
      </c>
      <c r="F17">
        <f t="shared" si="14"/>
        <v>5</v>
      </c>
      <c r="G17">
        <f t="shared" si="14"/>
        <v>1</v>
      </c>
      <c r="H17">
        <f t="shared" si="14"/>
        <v>2</v>
      </c>
      <c r="I17">
        <f t="shared" ref="I17" si="15">+I$11-I16</f>
        <v>3</v>
      </c>
      <c r="J17">
        <f t="shared" si="14"/>
        <v>21</v>
      </c>
      <c r="K17">
        <f t="shared" ref="K17:L17" si="16">+K$11-K16</f>
        <v>11</v>
      </c>
      <c r="L17">
        <f t="shared" si="16"/>
        <v>2</v>
      </c>
      <c r="M17">
        <f t="shared" si="14"/>
        <v>2</v>
      </c>
      <c r="N17" s="46">
        <f t="shared" si="14"/>
        <v>10</v>
      </c>
      <c r="O17" s="45">
        <f>+O$8-O16</f>
        <v>20</v>
      </c>
      <c r="P17">
        <f t="shared" ref="P17:Z17" si="17">+P$8-P16</f>
        <v>3</v>
      </c>
      <c r="Q17">
        <f t="shared" si="17"/>
        <v>13</v>
      </c>
      <c r="R17">
        <f t="shared" si="17"/>
        <v>18</v>
      </c>
      <c r="S17">
        <f t="shared" si="17"/>
        <v>2</v>
      </c>
      <c r="T17">
        <f t="shared" si="17"/>
        <v>20</v>
      </c>
      <c r="U17">
        <f t="shared" si="17"/>
        <v>20</v>
      </c>
      <c r="V17">
        <f t="shared" si="17"/>
        <v>8</v>
      </c>
      <c r="W17">
        <f t="shared" si="17"/>
        <v>17</v>
      </c>
      <c r="X17">
        <f t="shared" si="17"/>
        <v>11</v>
      </c>
      <c r="Y17">
        <f t="shared" si="17"/>
        <v>17</v>
      </c>
      <c r="Z17" s="46">
        <f t="shared" si="17"/>
        <v>17</v>
      </c>
    </row>
    <row r="18" spans="1:26" ht="15.75" thickBot="1" x14ac:dyDescent="0.3">
      <c r="A18" s="259"/>
      <c r="B18" s="54" t="s">
        <v>591</v>
      </c>
      <c r="C18" s="55">
        <f>SUMIF('Fds Units'!$AP:$AP,Summary!$A15,'Fds Units'!EJ:EJ)</f>
        <v>152</v>
      </c>
      <c r="D18" s="55">
        <f>SUMIF('Fds Units'!$AS:$AS,Summary!$A15,'Fds Units'!EK:EK)</f>
        <v>160</v>
      </c>
      <c r="E18" s="55">
        <f>SUMIF('Fds Units'!$AV:$AV,Summary!$A15,'Fds Units'!EL:EL)</f>
        <v>136</v>
      </c>
      <c r="F18" s="55">
        <f>SUMIF('Fds Units'!$AY:$AY,Summary!$A15,'Fds Units'!EM:EM)</f>
        <v>222</v>
      </c>
      <c r="G18" s="55">
        <f>SUMIF('Fds Units'!$BB:$BB,Summary!$A15,'Fds Units'!EN:EN)</f>
        <v>136</v>
      </c>
      <c r="H18" s="55">
        <f>SUMIF('Fds Units'!$BE:$BE,Summary!$A15,'Fds Units'!EO:EO)</f>
        <v>128</v>
      </c>
      <c r="I18" s="55">
        <f>SUMIF('Fds Units'!$BH:$BH,Summary!$A15,'Fds Units'!EP:EP)</f>
        <v>138</v>
      </c>
      <c r="J18" s="55">
        <f>SUMIF('Fds Units'!$BK:$BK,Summary!$A15,'Fds Units'!EQ:EQ)</f>
        <v>32</v>
      </c>
      <c r="K18" s="55">
        <f>SUMIF('Fds Units'!$BN:$BN,Summary!$A15,'Fds Units'!ER:ER)</f>
        <v>119</v>
      </c>
      <c r="L18" s="55">
        <f>SUMIF('Fds Units'!$BQ:$BQ,Summary!$A15,'Fds Units'!ES:ES)</f>
        <v>264</v>
      </c>
      <c r="M18" s="55">
        <f>SUMIF('Fds Units'!$BT:$BT,Summary!$A15,'Fds Units'!ET:ET)</f>
        <v>177</v>
      </c>
      <c r="N18" s="56">
        <f>SUMIF('Fds Units'!$BW:$BW,Summary!$A15,'Fds Units'!EU:EU)</f>
        <v>108</v>
      </c>
      <c r="O18" s="115">
        <f>SUMIF('Fds Units'!$BZ:$BZ,Summary!$A15,'Fds Units'!EV:EV)</f>
        <v>10</v>
      </c>
      <c r="P18" s="55">
        <f>SUMIF('Fds Units'!$CC:$CC,Summary!$A15,'Fds Units'!EW:EW)</f>
        <v>136</v>
      </c>
      <c r="Q18" s="55">
        <f>SUMIF('Fds Units'!$CF:$CF,Summary!$A15,'Fds Units'!EX:EX)</f>
        <v>72</v>
      </c>
      <c r="R18" s="55">
        <f>SUMIF('Fds Units'!$CI:$CI,Summary!$A15,'Fds Units'!EY:EY)</f>
        <v>32</v>
      </c>
      <c r="S18" s="55">
        <f>SUMIF('Fds Units'!$CL:$CL,Summary!$A15,'Fds Units'!EZ:EZ)</f>
        <v>144</v>
      </c>
      <c r="T18" s="55">
        <f>SUMIF('Fds Units'!$CO:$CO,Summary!$A15,'Fds Units'!FA:FA)</f>
        <v>16</v>
      </c>
      <c r="U18" s="55">
        <f>SUMIF('Fds Units'!$CR:$CR,Summary!$A15,'Fds Units'!FB:FB)</f>
        <v>16</v>
      </c>
      <c r="V18" s="55">
        <f>SUMIF('Fds Units'!$CU:$CU,Summary!$A15,'Fds Units'!FC:FC)</f>
        <v>104</v>
      </c>
      <c r="W18" s="55">
        <f>SUMIF('Fds Units'!$CX:$CX,Summary!$A15,'Fds Units'!FD:FD)</f>
        <v>32</v>
      </c>
      <c r="X18" s="55">
        <f>SUMIF('Fds Units'!$DA:$DA,Summary!$A15,'Fds Units'!FE:FE)</f>
        <v>88</v>
      </c>
      <c r="Y18" s="55">
        <f>SUMIF('Fds Units'!$DD:$DD,Summary!$A15,'Fds Units'!FF:FF)</f>
        <v>16</v>
      </c>
      <c r="Z18" s="56">
        <f>SUMIF('Fds Units'!$DG:$DG,Summary!$A15,'Fds Units'!FG:FG)</f>
        <v>32</v>
      </c>
    </row>
    <row r="19" spans="1:26" ht="15.75" thickBot="1" x14ac:dyDescent="0.3">
      <c r="C19" s="96">
        <f t="shared" ref="C19:N19" si="18">+C15/C$74</f>
        <v>0.1536112508105508</v>
      </c>
      <c r="D19" s="96">
        <f t="shared" si="18"/>
        <v>0.14775247203429492</v>
      </c>
      <c r="E19" s="96">
        <f t="shared" si="18"/>
        <v>0.16055368396131595</v>
      </c>
      <c r="F19" s="96">
        <f t="shared" si="18"/>
        <v>5.1500734207390458E-2</v>
      </c>
      <c r="G19" s="96">
        <f t="shared" si="18"/>
        <v>0.16896513117312417</v>
      </c>
      <c r="H19" s="96">
        <f t="shared" si="18"/>
        <v>0.17956598857978689</v>
      </c>
      <c r="I19" s="96">
        <f t="shared" ref="I19" si="19">+I15/I$74</f>
        <v>0.1708697348838443</v>
      </c>
      <c r="J19" s="96">
        <f t="shared" si="18"/>
        <v>3.9134914651561666E-2</v>
      </c>
      <c r="K19" s="96">
        <f t="shared" ref="K19" si="20">+K15/K$74</f>
        <v>0.10509187748291342</v>
      </c>
      <c r="L19" s="96">
        <f t="shared" si="18"/>
        <v>0.12961665019438554</v>
      </c>
      <c r="M19" s="96">
        <f t="shared" si="18"/>
        <v>0.17183267946315978</v>
      </c>
      <c r="N19" s="96">
        <f t="shared" si="18"/>
        <v>0.10735410853389976</v>
      </c>
      <c r="O19" s="96">
        <f t="shared" ref="O19:T19" si="21">+O15/O$74</f>
        <v>3.9208598349987425E-3</v>
      </c>
      <c r="P19" s="96">
        <f t="shared" si="21"/>
        <v>9.6471814283633009E-2</v>
      </c>
      <c r="Q19" s="96">
        <f t="shared" si="21"/>
        <v>5.3076803473581916E-2</v>
      </c>
      <c r="R19" s="96">
        <f t="shared" si="21"/>
        <v>1.6888556585108839E-2</v>
      </c>
      <c r="S19" s="96">
        <f t="shared" si="21"/>
        <v>6.8904986256866863E-2</v>
      </c>
      <c r="T19" s="96">
        <f t="shared" si="21"/>
        <v>1.1230598556067386E-2</v>
      </c>
      <c r="U19" s="96">
        <f t="shared" ref="U19" si="22">+U15/U$74</f>
        <v>1.498873961274288E-2</v>
      </c>
      <c r="V19" s="96">
        <f t="shared" ref="V19:Y19" si="23">+V15/V$74</f>
        <v>0.10055958352288727</v>
      </c>
      <c r="W19" s="96">
        <f t="shared" si="23"/>
        <v>3.1066523975729978E-2</v>
      </c>
      <c r="X19" s="96">
        <f t="shared" si="23"/>
        <v>8.272347418440984E-2</v>
      </c>
      <c r="Y19" s="96">
        <f t="shared" si="23"/>
        <v>1.1288751874566497E-2</v>
      </c>
      <c r="Z19" s="96">
        <f>+Z15/Z$74</f>
        <v>3.2896224228730848E-2</v>
      </c>
    </row>
    <row r="20" spans="1:26" x14ac:dyDescent="0.25">
      <c r="A20" s="257" t="s">
        <v>93</v>
      </c>
      <c r="B20" s="51" t="s">
        <v>589</v>
      </c>
      <c r="C20" s="52">
        <f>SUMIF('Fds Units'!$AP:$AP,Summary!$A20,'Fds Units'!B:B)</f>
        <v>1374874</v>
      </c>
      <c r="D20" s="52">
        <f>SUMIF('Fds Units'!$AS:$AS,Summary!$A20,'Fds Units'!C:C)</f>
        <v>558896</v>
      </c>
      <c r="E20" s="52">
        <f>SUMIF('Fds Units'!$AV:$AV,Summary!$A20,'Fds Units'!D:D)</f>
        <v>2013402</v>
      </c>
      <c r="F20" s="52">
        <f>SUMIF('Fds Units'!$AY:$AY,Summary!$A20,'Fds Units'!E:E)</f>
        <v>2389910</v>
      </c>
      <c r="G20" s="52">
        <f>SUMIF('Fds Units'!$BB:$BB,Summary!$A20,'Fds Units'!F:F)</f>
        <v>2051490</v>
      </c>
      <c r="H20" s="52">
        <f>SUMIF('Fds Units'!$BE:$BE,Summary!$A20,'Fds Units'!G:G)</f>
        <v>2042244</v>
      </c>
      <c r="I20" s="52">
        <f>SUMIF('Fds Units'!$BH:$BH,Summary!$A20,'Fds Units'!H:H)</f>
        <v>2090352</v>
      </c>
      <c r="J20" s="52">
        <f>SUMIF('Fds Units'!$BK:$BK,Summary!$A20,'Fds Units'!I:I)</f>
        <v>2187332</v>
      </c>
      <c r="K20" s="52">
        <f>SUMIF('Fds Units'!$BN:$BN,Summary!$A20,'Fds Units'!J:J)</f>
        <v>1739870</v>
      </c>
      <c r="L20" s="52">
        <f>SUMIF('Fds Units'!$BQ:$BQ,Summary!$A20,'Fds Units'!K:K)</f>
        <v>1863422</v>
      </c>
      <c r="M20" s="52">
        <f>SUMIF('Fds Units'!$BT:$BT,Summary!$A20,'Fds Units'!L:L)+SUMIF('Fds Units'!$BT:$BT,Summary!$A20,'Fds Units'!N:N)</f>
        <v>4251644</v>
      </c>
      <c r="N20" s="53">
        <f>SUMIF('Fds Units'!$BW:$BW,Summary!$A20,'Fds Units'!R:R)</f>
        <v>1773212</v>
      </c>
      <c r="O20" s="114">
        <f>SUMIF('Fds Units'!$BZ:$BZ,Summary!$A20,'Fds Units'!V:V)</f>
        <v>1787000</v>
      </c>
      <c r="P20" s="52">
        <f>SUMIF('Fds Units'!$CC:$CC,Summary!$A20,'Fds Units'!Z:Z)</f>
        <v>2206988</v>
      </c>
      <c r="Q20" s="52">
        <f>SUMIF('Fds Units'!$CF:$CF,Summary!$A20,'Fds Units'!AC:AC)</f>
        <v>2802024</v>
      </c>
      <c r="R20" s="52">
        <f>SUMIF('Fds Units'!$CI:$CI,Summary!$A20,'Fds Units'!AF:AF)</f>
        <v>2997012</v>
      </c>
      <c r="S20" s="52">
        <f>SUMIF('Fds Units'!$CL:$CL,Summary!$A20,'Fds Units'!AG:AG)</f>
        <v>2576052</v>
      </c>
      <c r="T20" s="52">
        <f>SUMIF('Fds Units'!$CO:$CO,Summary!$A20,'Fds Units'!AH:AH)</f>
        <v>2186004</v>
      </c>
      <c r="U20" s="52">
        <f>SUMIF('Fds Units'!$CR:$CR,Summary!$A20,'Fds Units'!AI:AI)</f>
        <v>3105012</v>
      </c>
      <c r="V20" s="52">
        <f>SUMIF('Fds Units'!$CU:$CU,Summary!$A20,'Fds Units'!AJ:AJ)</f>
        <v>2266008</v>
      </c>
      <c r="W20" s="52">
        <f>SUMIF('Fds Units'!$CX:$CX,Summary!$A20,'Fds Units'!AK:AK)</f>
        <v>1797048</v>
      </c>
      <c r="X20" s="52">
        <f>SUMIF('Fds Units'!$DA:$DA,Summary!$A20,'Fds Units'!AL:AL)</f>
        <v>2015004</v>
      </c>
      <c r="Y20" s="52">
        <f>SUMIF('Fds Units'!$DD:$DD,Summary!$A20,'Fds Units'!AM:AM)</f>
        <v>2028048</v>
      </c>
      <c r="Z20" s="53">
        <f>SUMIF('Fds Units'!$DG:$DG,Summary!$A20,'Fds Units'!AN:AN)</f>
        <v>942048</v>
      </c>
    </row>
    <row r="21" spans="1:26" x14ac:dyDescent="0.25">
      <c r="A21" s="258"/>
      <c r="B21" t="s">
        <v>80</v>
      </c>
      <c r="C21">
        <f>SUMIF('Fds Units'!$AP:$AP,Summary!$A20,'Fds Units'!DK:DK)</f>
        <v>14</v>
      </c>
      <c r="D21">
        <f>SUMIF('Fds Units'!$AS:$AS,Summary!$A20,'Fds Units'!DL:DL)</f>
        <v>10</v>
      </c>
      <c r="E21">
        <f>SUMIF('Fds Units'!$AV:$AV,Summary!$A20,'Fds Units'!DM:DM)</f>
        <v>24</v>
      </c>
      <c r="F21">
        <f>SUMIF('Fds Units'!$AY:$AY,Summary!$A20,'Fds Units'!DN:DN)</f>
        <v>26</v>
      </c>
      <c r="G21">
        <f>SUMIF('Fds Units'!$BB:$BB,Summary!$A20,'Fds Units'!DO:DO)</f>
        <v>19</v>
      </c>
      <c r="H21">
        <f>SUMIF('Fds Units'!$BE:$BE,Summary!$A20,'Fds Units'!DP:DP)</f>
        <v>25</v>
      </c>
      <c r="I21">
        <f>SUMIF('Fds Units'!$BH:$BH,Summary!$A20,'Fds Units'!DQ:DQ)</f>
        <v>24</v>
      </c>
      <c r="J21">
        <f>SUMIF('Fds Units'!$BK:$BK,Summary!$A20,'Fds Units'!DR:DR)</f>
        <v>22</v>
      </c>
      <c r="K21">
        <f>SUMIF('Fds Units'!$BN:$BN,Summary!$A20,'Fds Units'!DS:DS)</f>
        <v>21</v>
      </c>
      <c r="L21">
        <f>SUMIF('Fds Units'!$BQ:$BQ,Summary!$A20,'Fds Units'!DT:DT)</f>
        <v>25</v>
      </c>
      <c r="M21">
        <f>SUMIF('Fds Units'!$BT:$BT,Summary!$A20,'Fds Units'!DU:DU)</f>
        <v>19</v>
      </c>
      <c r="N21" s="46">
        <f>SUMIF('Fds Units'!$BW:$BW,Summary!$A20,'Fds Units'!DV:DV)</f>
        <v>16</v>
      </c>
      <c r="O21" s="45">
        <f>SUMIF('Fds Units'!$BZ:$BZ,Summary!$A20,'Fds Units'!DW:DW)</f>
        <v>14</v>
      </c>
      <c r="P21">
        <f>SUMIF('Fds Units'!$CC:$CC,Summary!$A20,'Fds Units'!DX:DX)</f>
        <v>16</v>
      </c>
      <c r="Q21">
        <f>SUMIF('Fds Units'!$CF:$CF,Summary!$A20,'Fds Units'!DY:DY)</f>
        <v>20</v>
      </c>
      <c r="R21">
        <f>SUMIF('Fds Units'!$CI:$CI,Summary!$A20,'Fds Units'!DZ:DZ)</f>
        <v>22</v>
      </c>
      <c r="S21">
        <f>SUMIF('Fds Units'!$CL:$CL,Summary!$A20,'Fds Units'!EA:EA)</f>
        <v>19</v>
      </c>
      <c r="T21">
        <f>SUMIF('Fds Units'!$CO:$CO,Summary!$A20,'Fds Units'!EB:EB)</f>
        <v>16</v>
      </c>
      <c r="U21">
        <f>SUMIF('Fds Units'!$CR:$CR,Summary!$A20,'Fds Units'!EC:EC)</f>
        <v>22</v>
      </c>
      <c r="V21">
        <f>SUMIF('Fds Units'!$CU:$CU,Summary!$A20,'Fds Units'!ED:ED)</f>
        <v>17</v>
      </c>
      <c r="W21">
        <f>SUMIF('Fds Units'!$CX:$CX,Summary!$A20,'Fds Units'!EE:EE)</f>
        <v>13</v>
      </c>
      <c r="X21">
        <f>SUMIF('Fds Units'!$DA:$DA,Summary!$A20,'Fds Units'!EF:EF)</f>
        <v>15</v>
      </c>
      <c r="Y21">
        <f>SUMIF('Fds Units'!$DD:$DD,Summary!$A20,'Fds Units'!EG:EG)</f>
        <v>14</v>
      </c>
      <c r="Z21" s="46">
        <f>SUMIF('Fds Units'!$DG:$DG,Summary!$A20,'Fds Units'!EH:EH)</f>
        <v>7</v>
      </c>
    </row>
    <row r="22" spans="1:26" x14ac:dyDescent="0.25">
      <c r="A22" s="258"/>
      <c r="B22" t="s">
        <v>590</v>
      </c>
      <c r="C22">
        <f t="shared" ref="C22:H22" si="24">+C$11-C21</f>
        <v>12</v>
      </c>
      <c r="D22">
        <f t="shared" si="24"/>
        <v>15</v>
      </c>
      <c r="E22">
        <f t="shared" si="24"/>
        <v>2</v>
      </c>
      <c r="F22">
        <f t="shared" si="24"/>
        <v>1</v>
      </c>
      <c r="G22">
        <f t="shared" si="24"/>
        <v>9</v>
      </c>
      <c r="H22">
        <f t="shared" si="24"/>
        <v>4</v>
      </c>
      <c r="I22">
        <f t="shared" ref="I22" si="25">+I$11-I21</f>
        <v>1</v>
      </c>
      <c r="J22">
        <f t="shared" ref="J22:N22" si="26">+J$11-J21</f>
        <v>3</v>
      </c>
      <c r="K22">
        <f t="shared" si="26"/>
        <v>4</v>
      </c>
      <c r="L22">
        <f t="shared" si="26"/>
        <v>2</v>
      </c>
      <c r="M22">
        <f t="shared" si="26"/>
        <v>0</v>
      </c>
      <c r="N22" s="46">
        <f t="shared" si="26"/>
        <v>6</v>
      </c>
      <c r="O22" s="45">
        <f>+O$8-O21</f>
        <v>7</v>
      </c>
      <c r="P22">
        <f t="shared" ref="P22:Z22" si="27">+P$8-P21</f>
        <v>4</v>
      </c>
      <c r="Q22">
        <f>+Q$8-Q21</f>
        <v>2</v>
      </c>
      <c r="R22">
        <f t="shared" si="27"/>
        <v>0</v>
      </c>
      <c r="S22">
        <f t="shared" si="27"/>
        <v>1</v>
      </c>
      <c r="T22">
        <f t="shared" si="27"/>
        <v>6</v>
      </c>
      <c r="U22">
        <f t="shared" si="27"/>
        <v>0</v>
      </c>
      <c r="V22">
        <f t="shared" si="27"/>
        <v>4</v>
      </c>
      <c r="W22">
        <f t="shared" si="27"/>
        <v>8</v>
      </c>
      <c r="X22">
        <f t="shared" si="27"/>
        <v>7</v>
      </c>
      <c r="Y22">
        <f t="shared" si="27"/>
        <v>5</v>
      </c>
      <c r="Z22" s="46">
        <f t="shared" si="27"/>
        <v>14</v>
      </c>
    </row>
    <row r="23" spans="1:26" ht="15.75" thickBot="1" x14ac:dyDescent="0.3">
      <c r="A23" s="259"/>
      <c r="B23" s="54" t="s">
        <v>591</v>
      </c>
      <c r="C23" s="55">
        <f>SUMIF('Fds Units'!$AP:$AP,Summary!$A20,'Fds Units'!EJ:EJ)</f>
        <v>44</v>
      </c>
      <c r="D23" s="55">
        <f>SUMIF('Fds Units'!$AS:$AS,Summary!$A20,'Fds Units'!EK:EK)</f>
        <v>40</v>
      </c>
      <c r="E23" s="55">
        <f>SUMIF('Fds Units'!$AV:$AV,Summary!$A20,'Fds Units'!EL:EL)</f>
        <v>48</v>
      </c>
      <c r="F23" s="55">
        <f>SUMIF('Fds Units'!$AY:$AY,Summary!$A20,'Fds Units'!EM:EM)</f>
        <v>104</v>
      </c>
      <c r="G23" s="55">
        <f>SUMIF('Fds Units'!$BB:$BB,Summary!$A20,'Fds Units'!EN:EN)</f>
        <v>74</v>
      </c>
      <c r="H23" s="55">
        <f>SUMIF('Fds Units'!$BE:$BE,Summary!$A20,'Fds Units'!EO:EO)</f>
        <v>66</v>
      </c>
      <c r="I23" s="55">
        <f>SUMIF('Fds Units'!$BH:$BH,Summary!$A20,'Fds Units'!EP:EP)</f>
        <v>96</v>
      </c>
      <c r="J23" s="55">
        <f>SUMIF('Fds Units'!$BK:$BK,Summary!$A20,'Fds Units'!EQ:EQ)</f>
        <v>88</v>
      </c>
      <c r="K23" s="55">
        <f>SUMIF('Fds Units'!$BN:$BN,Summary!$A20,'Fds Units'!ER:ER)</f>
        <v>84</v>
      </c>
      <c r="L23" s="55">
        <f>SUMIF('Fds Units'!$BQ:$BQ,Summary!$A20,'Fds Units'!ES:ES)</f>
        <v>100</v>
      </c>
      <c r="M23" s="55">
        <f>SUMIF('Fds Units'!$BT:$BT,Summary!$A20,'Fds Units'!ET:ET)</f>
        <v>76</v>
      </c>
      <c r="N23" s="56">
        <f>SUMIF('Fds Units'!$BW:$BW,Summary!$A20,'Fds Units'!EU:EU)</f>
        <v>64</v>
      </c>
      <c r="O23" s="115">
        <f>SUMIF('Fds Units'!$BZ:$BZ,Summary!$A20,'Fds Units'!EV:EV)</f>
        <v>56</v>
      </c>
      <c r="P23" s="55">
        <f>SUMIF('Fds Units'!$CC:$CC,Summary!$A20,'Fds Units'!EW:EW)</f>
        <v>64</v>
      </c>
      <c r="Q23" s="55">
        <f>SUMIF('Fds Units'!$CF:$CF,Summary!$A20,'Fds Units'!EX:EX)</f>
        <v>80</v>
      </c>
      <c r="R23" s="55">
        <f>SUMIF('Fds Units'!$CI:$CI,Summary!$A20,'Fds Units'!EY:EY)</f>
        <v>88</v>
      </c>
      <c r="S23" s="55">
        <f>SUMIF('Fds Units'!$CL:$CL,Summary!$A20,'Fds Units'!EZ:EZ)</f>
        <v>76</v>
      </c>
      <c r="T23" s="55">
        <f>SUMIF('Fds Units'!$CO:$CO,Summary!$A20,'Fds Units'!FA:FA)</f>
        <v>64</v>
      </c>
      <c r="U23" s="55">
        <f>SUMIF('Fds Units'!$CR:$CR,Summary!$A20,'Fds Units'!FB:FB)</f>
        <v>88</v>
      </c>
      <c r="V23" s="55">
        <f>SUMIF('Fds Units'!$CU:$CU,Summary!$A20,'Fds Units'!FC:FC)</f>
        <v>68</v>
      </c>
      <c r="W23" s="55">
        <f>SUMIF('Fds Units'!$CX:$CX,Summary!$A20,'Fds Units'!FD:FD)</f>
        <v>52</v>
      </c>
      <c r="X23" s="55">
        <f>SUMIF('Fds Units'!$DA:$DA,Summary!$A20,'Fds Units'!FE:FE)</f>
        <v>60</v>
      </c>
      <c r="Y23" s="55">
        <f>SUMIF('Fds Units'!$DD:$DD,Summary!$A20,'Fds Units'!FF:FF)</f>
        <v>56</v>
      </c>
      <c r="Z23" s="56">
        <f>SUMIF('Fds Units'!$DG:$DG,Summary!$A20,'Fds Units'!FG:FG)</f>
        <v>28</v>
      </c>
    </row>
    <row r="24" spans="1:26" ht="15.75" thickBot="1" x14ac:dyDescent="0.3">
      <c r="C24" s="96">
        <f t="shared" ref="C24:N24" si="28">+C20/C$74</f>
        <v>0.10249760730022801</v>
      </c>
      <c r="D24" s="96">
        <f t="shared" si="28"/>
        <v>4.6615777898124655E-2</v>
      </c>
      <c r="E24" s="96">
        <f t="shared" si="28"/>
        <v>0.15638865750716074</v>
      </c>
      <c r="F24" s="96">
        <f t="shared" si="28"/>
        <v>0.17801456675805091</v>
      </c>
      <c r="G24" s="96">
        <f t="shared" si="28"/>
        <v>0.14666947495575228</v>
      </c>
      <c r="H24" s="96">
        <f t="shared" si="28"/>
        <v>0.14551868469676196</v>
      </c>
      <c r="I24" s="96">
        <f t="shared" ref="I24" si="29">+I20/I$74</f>
        <v>0.18543396260559861</v>
      </c>
      <c r="J24" s="96">
        <f t="shared" si="28"/>
        <v>0.29073283859984539</v>
      </c>
      <c r="K24" s="96">
        <f t="shared" si="28"/>
        <v>0.22470463339412006</v>
      </c>
      <c r="L24" s="96">
        <f t="shared" si="28"/>
        <v>0.18559797069730088</v>
      </c>
      <c r="M24" s="96">
        <f t="shared" si="28"/>
        <v>0.25360932935771996</v>
      </c>
      <c r="N24" s="96">
        <f t="shared" si="28"/>
        <v>0.16975170009025536</v>
      </c>
      <c r="O24" s="96">
        <f t="shared" ref="O24:T24" si="30">+O20/O$74</f>
        <v>0.14241009197444621</v>
      </c>
      <c r="P24" s="96">
        <f t="shared" si="30"/>
        <v>0.14483582340302378</v>
      </c>
      <c r="Q24" s="96">
        <f t="shared" si="30"/>
        <v>0.21077448579401914</v>
      </c>
      <c r="R24" s="96">
        <f t="shared" si="30"/>
        <v>0.15621977391435249</v>
      </c>
      <c r="S24" s="96">
        <f t="shared" si="30"/>
        <v>0.12107737891566492</v>
      </c>
      <c r="T24" s="96">
        <f t="shared" si="30"/>
        <v>0.22731604968479194</v>
      </c>
      <c r="U24" s="96">
        <f t="shared" ref="U24" si="31">+U20/U$74</f>
        <v>0.27779233336382625</v>
      </c>
      <c r="V24" s="96">
        <f t="shared" ref="V24:Z24" si="32">+V20/V$74</f>
        <v>0.21639963982861418</v>
      </c>
      <c r="W24" s="96">
        <f t="shared" si="32"/>
        <v>0.18607856297342082</v>
      </c>
      <c r="X24" s="96">
        <f t="shared" si="32"/>
        <v>0.17808561044389165</v>
      </c>
      <c r="Y24" s="96">
        <f t="shared" si="32"/>
        <v>0.21198269131213737</v>
      </c>
      <c r="Z24" s="96">
        <f t="shared" si="32"/>
        <v>0.11873495111964537</v>
      </c>
    </row>
    <row r="25" spans="1:26" x14ac:dyDescent="0.25">
      <c r="A25" s="257" t="s">
        <v>77</v>
      </c>
      <c r="B25" s="51" t="s">
        <v>589</v>
      </c>
      <c r="C25" s="52">
        <f>SUMIF('Fds Units'!$AP:$AP,Summary!$A25,'Fds Units'!B:B)</f>
        <v>4598995</v>
      </c>
      <c r="D25" s="52">
        <f>SUMIF('Fds Units'!$AS:$AS,Summary!$A25,'Fds Units'!C:C)</f>
        <v>4451256</v>
      </c>
      <c r="E25" s="52">
        <f>SUMIF('Fds Units'!$AV:$AV,Summary!$A25,'Fds Units'!D:D)</f>
        <v>3854244</v>
      </c>
      <c r="F25" s="52">
        <f>SUMIF('Fds Units'!$AY:$AY,Summary!$A25,'Fds Units'!E:E)-F40</f>
        <v>5576652</v>
      </c>
      <c r="G25" s="52">
        <f>SUMIF('Fds Units'!$BB:$BB,Summary!$A25,'Fds Units'!F:F)</f>
        <v>4010496</v>
      </c>
      <c r="H25" s="52">
        <f>SUMIF('Fds Units'!$BE:$BE,Summary!$A25,'Fds Units'!G:G)</f>
        <v>4240032</v>
      </c>
      <c r="I25" s="52">
        <f>SUMIF('Fds Units'!$BH:$BH,Summary!$A25,'Fds Units'!H:H)</f>
        <v>4180995</v>
      </c>
      <c r="J25" s="52">
        <f>SUMIF('Fds Units'!$BK:$BK,Summary!$A25,'Fds Units'!I:I)</f>
        <v>3224871</v>
      </c>
      <c r="K25" s="52">
        <f>SUMIF('Fds Units'!$BN:$BN,Summary!$A25,'Fds Units'!J:J)</f>
        <v>3687920</v>
      </c>
      <c r="L25" s="52">
        <f>SUMIF('Fds Units'!$BQ:$BQ,Summary!$A25,'Fds Units'!K:K)</f>
        <v>4136574</v>
      </c>
      <c r="M25" s="52">
        <f>SUMIF('Fds Units'!$BT:$BT,Summary!$A25,'Fds Units'!L:L)+SUMIF('Fds Units'!$BT:$BT,Summary!$A25,'Fds Units'!N:N)</f>
        <v>5381544</v>
      </c>
      <c r="N25" s="53">
        <f>SUMIF('Fds Units'!$BW:$BW,Summary!$A25,'Fds Units'!R:R)</f>
        <v>2944080</v>
      </c>
      <c r="O25" s="114">
        <f>SUMIF('Fds Units'!$BZ:$BZ,Summary!$A25,'Fds Units'!V:V)</f>
        <v>3906360</v>
      </c>
      <c r="P25" s="52">
        <f>SUMIF('Fds Units'!$CC:$CC,Summary!$A25,'Fds Units'!Z:Z)</f>
        <v>4344468</v>
      </c>
      <c r="Q25" s="52">
        <f>SUMIF('Fds Units'!$CF:$CF,Summary!$A25,'Fds Units'!AC:AC)</f>
        <v>4907948</v>
      </c>
      <c r="R25" s="52">
        <f>SUMIF('Fds Units'!$CI:$CI,Summary!$A25,'Fds Units'!AF:AF)</f>
        <v>9064104</v>
      </c>
      <c r="S25" s="52">
        <f>SUMIF('Fds Units'!$CL:$CL,Summary!$A25,'Fds Units'!AG:AG)</f>
        <v>5700000</v>
      </c>
      <c r="T25" s="52">
        <f>SUMIF('Fds Units'!$CO:$CO,Summary!$A25,'Fds Units'!AH:AH)</f>
        <v>3249138.75</v>
      </c>
      <c r="U25" s="52">
        <f>SUMIF('Fds Units'!$CR:$CR,Summary!$A25,'Fds Units'!AI:AI)</f>
        <v>3274134.75</v>
      </c>
      <c r="V25" s="52">
        <f>SUMIF('Fds Units'!$CU:$CU,Summary!$A25,'Fds Units'!AJ:AJ)</f>
        <v>2961621</v>
      </c>
      <c r="W25" s="52">
        <f>SUMIF('Fds Units'!$CX:$CX,Summary!$A25,'Fds Units'!AK:AK)</f>
        <v>2961622.5</v>
      </c>
      <c r="X25" s="52">
        <f>SUMIF('Fds Units'!$DA:$DA,Summary!$A25,'Fds Units'!AL:AL)</f>
        <v>3836626.5</v>
      </c>
      <c r="Y25" s="52">
        <f>SUMIF('Fds Units'!$DD:$DD,Summary!$A25,'Fds Units'!AM:AM)</f>
        <v>2736622.5</v>
      </c>
      <c r="Z25" s="53">
        <f>SUMIF('Fds Units'!$DG:$DG,Summary!$A25,'Fds Units'!AN:AN)</f>
        <v>2761618.5</v>
      </c>
    </row>
    <row r="26" spans="1:26" x14ac:dyDescent="0.25">
      <c r="A26" s="258"/>
      <c r="B26" t="s">
        <v>80</v>
      </c>
      <c r="C26">
        <f>SUMIF('Fds Units'!$AP:$AP,Summary!$A25,'Fds Units'!DK:DK)</f>
        <v>26</v>
      </c>
      <c r="D26">
        <f>SUMIF('Fds Units'!$AS:$AS,Summary!$A25,'Fds Units'!DL:DL)</f>
        <v>23</v>
      </c>
      <c r="E26">
        <f>SUMIF('Fds Units'!$AV:$AV,Summary!$A25,'Fds Units'!DM:DM)</f>
        <v>26</v>
      </c>
      <c r="F26">
        <f>SUMIF('Fds Units'!$AY:$AY,Summary!$A25,'Fds Units'!DN:DN)</f>
        <v>25</v>
      </c>
      <c r="G26">
        <f>SUMIF('Fds Units'!$BB:$BB,Summary!$A25,'Fds Units'!DO:DO)</f>
        <v>25</v>
      </c>
      <c r="H26">
        <f>SUMIF('Fds Units'!$BE:$BE,Summary!$A25,'Fds Units'!DP:DP)</f>
        <v>25</v>
      </c>
      <c r="I26">
        <f>SUMIF('Fds Units'!$BH:$BH,Summary!$A25,'Fds Units'!DQ:DQ)</f>
        <v>25</v>
      </c>
      <c r="J26">
        <f>SUMIF('Fds Units'!$BK:$BK,Summary!$A25,'Fds Units'!DR:DR)</f>
        <v>25</v>
      </c>
      <c r="K26">
        <f>SUMIF('Fds Units'!$BN:$BN,Summary!$A25,'Fds Units'!DS:DS)</f>
        <v>25</v>
      </c>
      <c r="L26">
        <f>SUMIF('Fds Units'!$BQ:$BQ,Summary!$A25,'Fds Units'!DT:DT)</f>
        <v>26</v>
      </c>
      <c r="M26">
        <f>SUMIF('Fds Units'!$BT:$BT,Summary!$A25,'Fds Units'!DU:DU)</f>
        <v>18</v>
      </c>
      <c r="N26" s="46">
        <f>SUMIF('Fds Units'!$BW:$BW,Summary!$A25,'Fds Units'!DV:DV)</f>
        <v>18</v>
      </c>
      <c r="O26" s="45">
        <f>SUMIF('Fds Units'!$BZ:$BZ,Summary!$A25,'Fds Units'!DW:DW)</f>
        <v>24</v>
      </c>
      <c r="P26">
        <f>SUMIF('Fds Units'!$CC:$CC,Summary!$A25,'Fds Units'!DX:DX)</f>
        <v>17</v>
      </c>
      <c r="Q26">
        <f>SUMIF('Fds Units'!$CF:$CF,Summary!$A25,'Fds Units'!DY:DY)</f>
        <v>28</v>
      </c>
      <c r="R26">
        <f>SUMIF('Fds Units'!$CI:$CI,Summary!$A25,'Fds Units'!DZ:DZ)</f>
        <v>53</v>
      </c>
      <c r="S26">
        <f>SUMIF('Fds Units'!$CL:$CL,Summary!$A25,'Fds Units'!EA:EA)</f>
        <v>27</v>
      </c>
      <c r="T26">
        <f>SUMIF('Fds Units'!$CO:$CO,Summary!$A25,'Fds Units'!EB:EB)</f>
        <v>20</v>
      </c>
      <c r="U26">
        <f>SUMIF('Fds Units'!$CR:$CR,Summary!$A25,'Fds Units'!EC:EC)</f>
        <v>21</v>
      </c>
      <c r="V26">
        <f>SUMIF('Fds Units'!$CU:$CU,Summary!$A25,'Fds Units'!ED:ED)</f>
        <v>19</v>
      </c>
      <c r="W26">
        <f>SUMIF('Fds Units'!$CX:$CX,Summary!$A25,'Fds Units'!EE:EE)</f>
        <v>19</v>
      </c>
      <c r="X26">
        <f>SUMIF('Fds Units'!$DA:$DA,Summary!$A25,'Fds Units'!EF:EF)</f>
        <v>24</v>
      </c>
      <c r="Y26">
        <f>SUMIF('Fds Units'!$DD:$DD,Summary!$A25,'Fds Units'!EG:EG)</f>
        <v>18</v>
      </c>
      <c r="Z26" s="46">
        <f>SUMIF('Fds Units'!$DG:$DG,Summary!$A25,'Fds Units'!EH:EH)</f>
        <v>11</v>
      </c>
    </row>
    <row r="27" spans="1:26" x14ac:dyDescent="0.25">
      <c r="A27" s="258"/>
      <c r="B27" t="s">
        <v>590</v>
      </c>
      <c r="C27">
        <f t="shared" ref="C27" si="33">+C$11-C26</f>
        <v>0</v>
      </c>
      <c r="D27">
        <f>+D$11-D26-D10</f>
        <v>1</v>
      </c>
      <c r="E27">
        <f t="shared" ref="E27:J27" si="34">+E$11-E26-E10</f>
        <v>0</v>
      </c>
      <c r="F27">
        <f t="shared" si="34"/>
        <v>0</v>
      </c>
      <c r="G27">
        <f t="shared" si="34"/>
        <v>1</v>
      </c>
      <c r="H27">
        <f>+H$11-H26-H10</f>
        <v>0</v>
      </c>
      <c r="I27">
        <f>+I$11-I26-I10</f>
        <v>0</v>
      </c>
      <c r="J27">
        <f t="shared" si="34"/>
        <v>0</v>
      </c>
      <c r="K27">
        <f t="shared" ref="K27:N27" si="35">+K$11-K26</f>
        <v>0</v>
      </c>
      <c r="L27">
        <f t="shared" si="35"/>
        <v>1</v>
      </c>
      <c r="M27">
        <f t="shared" si="35"/>
        <v>1</v>
      </c>
      <c r="N27" s="46">
        <f t="shared" si="35"/>
        <v>4</v>
      </c>
      <c r="O27" s="45">
        <f>+O$11-O26</f>
        <v>2</v>
      </c>
      <c r="P27">
        <f t="shared" ref="P27" si="36">+P$11-P26</f>
        <v>7</v>
      </c>
      <c r="Q27">
        <f t="shared" ref="Q27" si="37">+Q$11-Q26</f>
        <v>-2</v>
      </c>
      <c r="R27">
        <f t="shared" ref="R27" si="38">+R$11-R26</f>
        <v>-27</v>
      </c>
      <c r="S27">
        <f t="shared" ref="S27" si="39">+S$11-S26</f>
        <v>-2</v>
      </c>
      <c r="T27">
        <f t="shared" ref="T27" si="40">+T$11-T26</f>
        <v>6</v>
      </c>
      <c r="U27">
        <f t="shared" ref="U27" si="41">+U$11-U26</f>
        <v>5</v>
      </c>
      <c r="V27">
        <f t="shared" ref="V27" si="42">+V$11-V26</f>
        <v>7</v>
      </c>
      <c r="W27">
        <f t="shared" ref="W27" si="43">+W$11-W26</f>
        <v>6</v>
      </c>
      <c r="X27">
        <f t="shared" ref="X27" si="44">+X$11-X26</f>
        <v>3</v>
      </c>
      <c r="Y27">
        <f t="shared" ref="Y27" si="45">+Y$11-Y26</f>
        <v>5</v>
      </c>
      <c r="Z27" s="46">
        <f t="shared" ref="Z27" si="46">+Z$11-Z26</f>
        <v>14</v>
      </c>
    </row>
    <row r="28" spans="1:26" ht="15.75" thickBot="1" x14ac:dyDescent="0.3">
      <c r="A28" s="259"/>
      <c r="B28" s="54" t="s">
        <v>591</v>
      </c>
      <c r="C28" s="55">
        <f>SUMIF('Fds Units'!$AP:$AP,Summary!$A25,'Fds Units'!EJ:EJ)</f>
        <v>182</v>
      </c>
      <c r="D28" s="55">
        <f>SUMIF('Fds Units'!$AS:$AS,Summary!$A25,'Fds Units'!EK:EK)</f>
        <v>161</v>
      </c>
      <c r="E28" s="55">
        <f>SUMIF('Fds Units'!$AV:$AV,Summary!$A25,'Fds Units'!EL:EL)</f>
        <v>206</v>
      </c>
      <c r="F28" s="55">
        <f>SUMIF('Fds Units'!$AY:$AY,Summary!$A25,'Fds Units'!EM:EM)</f>
        <v>175</v>
      </c>
      <c r="G28" s="55">
        <f>SUMIF('Fds Units'!$BB:$BB,Summary!$A25,'Fds Units'!EN:EN)</f>
        <v>172</v>
      </c>
      <c r="H28" s="55">
        <f>SUMIF('Fds Units'!$BE:$BE,Summary!$A25,'Fds Units'!EO:EO)</f>
        <v>175</v>
      </c>
      <c r="I28" s="55">
        <f>SUMIF('Fds Units'!$BH:$BH,Summary!$A25,'Fds Units'!EP:EP)</f>
        <v>175</v>
      </c>
      <c r="J28" s="55">
        <f>SUMIF('Fds Units'!$BK:$BK,Summary!$A25,'Fds Units'!EQ:EQ)</f>
        <v>187</v>
      </c>
      <c r="K28" s="55">
        <f>SUMIF('Fds Units'!$BN:$BN,Summary!$A25,'Fds Units'!ER:ER)</f>
        <v>175</v>
      </c>
      <c r="L28" s="55">
        <f>SUMIF('Fds Units'!$BQ:$BQ,Summary!$A25,'Fds Units'!ES:ES)</f>
        <v>182</v>
      </c>
      <c r="M28" s="55">
        <f>SUMIF('Fds Units'!$BT:$BT,Summary!$A25,'Fds Units'!ET:ET)</f>
        <v>126</v>
      </c>
      <c r="N28" s="56">
        <f>SUMIF('Fds Units'!$BW:$BW,Summary!$A25,'Fds Units'!EU:EU)</f>
        <v>130</v>
      </c>
      <c r="O28" s="115">
        <f>SUMIF('Fds Units'!$BZ:$BZ,Summary!$A25,'Fds Units'!EV:EV)</f>
        <v>168</v>
      </c>
      <c r="P28" s="55">
        <f>SUMIF('Fds Units'!$CC:$CC,Summary!$A25,'Fds Units'!EW:EW)</f>
        <v>119</v>
      </c>
      <c r="Q28" s="55">
        <f>SUMIF('Fds Units'!$CF:$CF,Summary!$A25,'Fds Units'!EX:EX)</f>
        <v>196</v>
      </c>
      <c r="R28" s="55">
        <f>SUMIF('Fds Units'!$CI:$CI,Summary!$A25,'Fds Units'!EY:EY)</f>
        <v>371</v>
      </c>
      <c r="S28" s="55">
        <f>SUMIF('Fds Units'!$CL:$CL,Summary!$A25,'Fds Units'!EZ:EZ)</f>
        <v>189</v>
      </c>
      <c r="T28" s="55">
        <f>SUMIF('Fds Units'!$CO:$CO,Summary!$A25,'Fds Units'!FA:FA)</f>
        <v>140</v>
      </c>
      <c r="U28" s="55">
        <f>SUMIF('Fds Units'!$CR:$CR,Summary!$A25,'Fds Units'!FB:FB)</f>
        <v>147</v>
      </c>
      <c r="V28" s="55">
        <f>SUMIF('Fds Units'!$CU:$CU,Summary!$A25,'Fds Units'!FC:FC)</f>
        <v>133</v>
      </c>
      <c r="W28" s="55">
        <f>SUMIF('Fds Units'!$CX:$CX,Summary!$A25,'Fds Units'!FD:FD)</f>
        <v>133</v>
      </c>
      <c r="X28" s="55">
        <f>SUMIF('Fds Units'!$DA:$DA,Summary!$A25,'Fds Units'!FE:FE)</f>
        <v>168</v>
      </c>
      <c r="Y28" s="55">
        <f>SUMIF('Fds Units'!$DD:$DD,Summary!$A25,'Fds Units'!FF:FF)</f>
        <v>126</v>
      </c>
      <c r="Z28" s="56">
        <f>SUMIF('Fds Units'!$DG:$DG,Summary!$A25,'Fds Units'!FG:FG)</f>
        <v>77</v>
      </c>
    </row>
    <row r="29" spans="1:26" ht="15.75" thickBot="1" x14ac:dyDescent="0.3">
      <c r="C29" s="96">
        <f t="shared" ref="C29:Z29" si="47">+C25/C$74</f>
        <v>0.34285758803040289</v>
      </c>
      <c r="D29" s="96">
        <f t="shared" si="47"/>
        <v>0.37126542516621119</v>
      </c>
      <c r="E29" s="96">
        <f t="shared" si="47"/>
        <v>0.29937391780927469</v>
      </c>
      <c r="F29" s="96">
        <f t="shared" si="47"/>
        <v>0.41538187201209176</v>
      </c>
      <c r="G29" s="96">
        <f t="shared" si="47"/>
        <v>0.28672688759494064</v>
      </c>
      <c r="H29" s="96">
        <f t="shared" si="47"/>
        <v>0.30212054960728546</v>
      </c>
      <c r="I29" s="96">
        <f t="shared" ref="I29" si="48">+I25/I$74</f>
        <v>0.37089373965925104</v>
      </c>
      <c r="J29" s="96">
        <f t="shared" si="47"/>
        <v>0.42863904516933049</v>
      </c>
      <c r="K29" s="96">
        <f t="shared" si="47"/>
        <v>0.47629576438862858</v>
      </c>
      <c r="L29" s="96">
        <f t="shared" si="47"/>
        <v>0.41200529994773955</v>
      </c>
      <c r="M29" s="96">
        <f t="shared" si="47"/>
        <v>0.32100753608464438</v>
      </c>
      <c r="N29" s="96">
        <f t="shared" si="47"/>
        <v>0.28184029050204884</v>
      </c>
      <c r="O29" s="96">
        <f t="shared" si="47"/>
        <v>0.31130670782613185</v>
      </c>
      <c r="P29" s="96">
        <f t="shared" si="47"/>
        <v>0.28511011388738311</v>
      </c>
      <c r="Q29" s="96">
        <f>+Q25/Q$74</f>
        <v>0.36918677927233479</v>
      </c>
      <c r="R29" s="96">
        <f t="shared" si="47"/>
        <v>0.47246800400404743</v>
      </c>
      <c r="S29" s="96">
        <f t="shared" si="47"/>
        <v>0.26790649405341588</v>
      </c>
      <c r="T29" s="96">
        <f t="shared" si="47"/>
        <v>0.337868268094561</v>
      </c>
      <c r="U29" s="96">
        <f t="shared" si="47"/>
        <v>0.29292303280956333</v>
      </c>
      <c r="V29" s="96">
        <f t="shared" si="47"/>
        <v>0.28282941530164951</v>
      </c>
      <c r="W29" s="96">
        <f t="shared" si="47"/>
        <v>0.30666652135599604</v>
      </c>
      <c r="X29" s="96">
        <f t="shared" si="47"/>
        <v>0.33908020644014175</v>
      </c>
      <c r="Y29" s="96">
        <f t="shared" si="47"/>
        <v>0.2860467812671838</v>
      </c>
      <c r="Z29" s="96">
        <f t="shared" si="47"/>
        <v>0.34807211268280208</v>
      </c>
    </row>
    <row r="30" spans="1:26" x14ac:dyDescent="0.25">
      <c r="A30" s="257" t="s">
        <v>74</v>
      </c>
      <c r="B30" s="51" t="s">
        <v>589</v>
      </c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>
        <f>SUMIF('Fds Units'!$BT:$BT,Summary!$A30,'Fds Units'!L:L)+SUMIF('Fds Units'!$BT:$BT,Summary!$A30,'Fds Units'!N:N)</f>
        <v>199968</v>
      </c>
      <c r="N30" s="53">
        <f>SUMIF('Fds Units'!$BW:$BW,Summary!$A30,'Fds Units'!R:R)</f>
        <v>2378412</v>
      </c>
      <c r="O30" s="114">
        <f>SUMIF('Fds Units'!$BZ:$BZ,Summary!$A30,'Fds Units'!V:V)</f>
        <v>3923508</v>
      </c>
      <c r="P30" s="52">
        <f>SUMIF('Fds Units'!$CC:$CC,Summary!$A30,'Fds Units'!Z:Z)</f>
        <v>4927080</v>
      </c>
      <c r="Q30" s="52">
        <f>SUMIF('Fds Units'!$CF:$CF,Summary!$A30,'Fds Units'!AC:AC)</f>
        <v>3245996</v>
      </c>
      <c r="R30" s="52">
        <f>SUMIF('Fds Units'!$CI:$CI,Summary!$A30,'Fds Units'!AF:AF)</f>
        <v>5039472</v>
      </c>
      <c r="S30" s="52">
        <f>SUMIF('Fds Units'!$CL:$CL,Summary!$A30,'Fds Units'!AG:AG)</f>
        <v>10104000</v>
      </c>
      <c r="T30" s="52">
        <f>SUMIF('Fds Units'!$CO:$CO,Summary!$A30,'Fds Units'!AH:AH)</f>
        <v>3253441.75</v>
      </c>
      <c r="U30" s="52">
        <f>SUMIF('Fds Units'!$CR:$CR,Summary!$A30,'Fds Units'!AI:AI)</f>
        <v>3457441.75</v>
      </c>
      <c r="V30" s="52">
        <f>SUMIF('Fds Units'!$CU:$CU,Summary!$A30,'Fds Units'!AJ:AJ)</f>
        <v>3457441.75</v>
      </c>
      <c r="W30" s="52">
        <f>SUMIF('Fds Units'!$CX:$CX,Summary!$A30,'Fds Units'!AK:AK)</f>
        <v>3445441.75</v>
      </c>
      <c r="X30" s="52">
        <f>SUMIF('Fds Units'!$DA:$DA,Summary!$A30,'Fds Units'!AL:AL)</f>
        <v>3603841.75</v>
      </c>
      <c r="Y30" s="52">
        <f>SUMIF('Fds Units'!$DD:$DD,Summary!$A30,'Fds Units'!AM:AM)</f>
        <v>3551041.75</v>
      </c>
      <c r="Z30" s="53">
        <f>SUMIF('Fds Units'!$DG:$DG,Summary!$A30,'Fds Units'!AN:AN)</f>
        <v>3551041.75</v>
      </c>
    </row>
    <row r="31" spans="1:26" x14ac:dyDescent="0.25">
      <c r="A31" s="258"/>
      <c r="B31" t="s">
        <v>80</v>
      </c>
      <c r="M31">
        <f>SUMIF('Fds Units'!$BT:$BT,Summary!$A30,'Fds Units'!DU:DU)</f>
        <v>3</v>
      </c>
      <c r="N31" s="46">
        <f>SUMIF('Fds Units'!$BW:$BW,Summary!$A30,'Fds Units'!DV:DV)</f>
        <v>19</v>
      </c>
      <c r="O31" s="45">
        <f>SUMIF('Fds Units'!$BZ:$BZ,Summary!$A30,'Fds Units'!DW:DW)</f>
        <v>30</v>
      </c>
      <c r="P31">
        <f>SUMIF('Fds Units'!$CC:$CC,Summary!$A30,'Fds Units'!DX:DX)</f>
        <v>33</v>
      </c>
      <c r="Q31">
        <f>SUMIF('Fds Units'!$CF:$CF,Summary!$A30,'Fds Units'!DY:DY)</f>
        <v>40</v>
      </c>
      <c r="R31">
        <f>SUMIF('Fds Units'!$CI:$CI,Summary!$A30,'Fds Units'!DZ:DZ)</f>
        <v>55</v>
      </c>
      <c r="S31">
        <f>SUMIF('Fds Units'!$CL:$CL,Summary!$A30,'Fds Units'!EA:EA)</f>
        <v>55</v>
      </c>
      <c r="T31">
        <f>SUMIF('Fds Units'!$CO:$CO,Summary!$A30,'Fds Units'!EB:EB)</f>
        <v>26</v>
      </c>
      <c r="U31">
        <f>SUMIF('Fds Units'!$CR:$CR,Summary!$A30,'Fds Units'!EC:EC)</f>
        <v>27</v>
      </c>
      <c r="V31">
        <f>SUMIF('Fds Units'!$CU:$CU,Summary!$A30,'Fds Units'!ED:ED)</f>
        <v>27</v>
      </c>
      <c r="W31">
        <f>SUMIF('Fds Units'!$CX:$CX,Summary!$A30,'Fds Units'!EE:EE)</f>
        <v>27</v>
      </c>
      <c r="X31">
        <f>SUMIF('Fds Units'!$DA:$DA,Summary!$A30,'Fds Units'!EF:EF)</f>
        <v>29</v>
      </c>
      <c r="Y31">
        <f>SUMIF('Fds Units'!$DD:$DD,Summary!$A30,'Fds Units'!EG:EG)</f>
        <v>29</v>
      </c>
      <c r="Z31" s="46">
        <f>SUMIF('Fds Units'!$DG:$DG,Summary!$A30,'Fds Units'!EH:EH)</f>
        <v>12</v>
      </c>
    </row>
    <row r="32" spans="1:26" x14ac:dyDescent="0.25">
      <c r="A32" s="258"/>
      <c r="B32" t="s">
        <v>590</v>
      </c>
      <c r="M32">
        <f t="shared" ref="M32:N32" si="49">+M$11-M31</f>
        <v>16</v>
      </c>
      <c r="N32" s="46">
        <f t="shared" si="49"/>
        <v>3</v>
      </c>
      <c r="O32" s="45">
        <f>+O$11-O31</f>
        <v>-4</v>
      </c>
      <c r="P32">
        <f t="shared" ref="P32" si="50">+P$11-P31</f>
        <v>-9</v>
      </c>
      <c r="Q32">
        <f t="shared" ref="Q32" si="51">+Q$11-Q31</f>
        <v>-14</v>
      </c>
      <c r="R32">
        <f t="shared" ref="R32" si="52">+R$11-R31</f>
        <v>-29</v>
      </c>
      <c r="S32">
        <f t="shared" ref="S32" si="53">+S$11-S31</f>
        <v>-30</v>
      </c>
      <c r="T32">
        <f t="shared" ref="T32" si="54">+T$11-T31</f>
        <v>0</v>
      </c>
      <c r="U32">
        <f t="shared" ref="U32" si="55">+U$11-U31</f>
        <v>-1</v>
      </c>
      <c r="V32">
        <f t="shared" ref="V32" si="56">+V$11-V31</f>
        <v>-1</v>
      </c>
      <c r="W32">
        <f t="shared" ref="W32" si="57">+W$11-W31</f>
        <v>-2</v>
      </c>
      <c r="X32">
        <f t="shared" ref="X32" si="58">+X$11-X31</f>
        <v>-2</v>
      </c>
      <c r="Y32">
        <f t="shared" ref="Y32" si="59">+Y$11-Y31</f>
        <v>-6</v>
      </c>
      <c r="Z32" s="46">
        <f t="shared" ref="Z32" si="60">+Z$11-Z31</f>
        <v>13</v>
      </c>
    </row>
    <row r="33" spans="1:26" ht="15.75" thickBot="1" x14ac:dyDescent="0.3">
      <c r="A33" s="259"/>
      <c r="B33" s="54" t="s">
        <v>591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>
        <f>SUMIF('Fds Units'!$BT:$BT,Summary!$A30,'Fds Units'!ET:ET)</f>
        <v>27</v>
      </c>
      <c r="N33" s="56">
        <f>SUMIF('Fds Units'!$BW:$BW,Summary!$A30,'Fds Units'!EU:EU)</f>
        <v>173</v>
      </c>
      <c r="O33" s="115">
        <f>SUMIF('Fds Units'!$BZ:$BZ,Summary!$A30,'Fds Units'!EV:EV)</f>
        <v>360</v>
      </c>
      <c r="P33" s="55">
        <f>SUMIF('Fds Units'!$CC:$CC,Summary!$A30,'Fds Units'!EW:EW)</f>
        <v>307</v>
      </c>
      <c r="Q33" s="55">
        <f>SUMIF('Fds Units'!$CF:$CF,Summary!$A30,'Fds Units'!EX:EX)</f>
        <v>375</v>
      </c>
      <c r="R33" s="55">
        <f>SUMIF('Fds Units'!$CI:$CI,Summary!$A30,'Fds Units'!EY:EY)</f>
        <v>594</v>
      </c>
      <c r="S33" s="55">
        <f>SUMIF('Fds Units'!$CL:$CL,Summary!$A30,'Fds Units'!EZ:EZ)</f>
        <v>659</v>
      </c>
      <c r="T33" s="55">
        <f>SUMIF('Fds Units'!$CO:$CO,Summary!$A30,'Fds Units'!FA:FA)</f>
        <v>345</v>
      </c>
      <c r="U33" s="55">
        <f>SUMIF('Fds Units'!$CR:$CR,Summary!$A30,'Fds Units'!FB:FB)</f>
        <v>347</v>
      </c>
      <c r="V33" s="55">
        <f>SUMIF('Fds Units'!$CU:$CU,Summary!$A30,'Fds Units'!FC:FC)</f>
        <v>347</v>
      </c>
      <c r="W33" s="55">
        <f>SUMIF('Fds Units'!$CX:$CX,Summary!$A30,'Fds Units'!FD:FD)</f>
        <v>347</v>
      </c>
      <c r="X33" s="55">
        <f>SUMIF('Fds Units'!$DA:$DA,Summary!$A30,'Fds Units'!FE:FE)</f>
        <v>372</v>
      </c>
      <c r="Y33" s="55">
        <f>SUMIF('Fds Units'!$DD:$DD,Summary!$A30,'Fds Units'!FF:FF)</f>
        <v>372</v>
      </c>
      <c r="Z33" s="56">
        <f>SUMIF('Fds Units'!$DG:$DG,Summary!$A30,'Fds Units'!FG:FG)</f>
        <v>166</v>
      </c>
    </row>
    <row r="34" spans="1:26" ht="15.75" thickBot="1" x14ac:dyDescent="0.3">
      <c r="C34" s="96">
        <f t="shared" ref="C34:Z34" si="61">+C30/C$74</f>
        <v>0</v>
      </c>
      <c r="D34" s="96">
        <f t="shared" si="61"/>
        <v>0</v>
      </c>
      <c r="E34" s="96">
        <f t="shared" si="61"/>
        <v>0</v>
      </c>
      <c r="F34" s="96">
        <f t="shared" si="61"/>
        <v>0</v>
      </c>
      <c r="G34" s="96">
        <f t="shared" si="61"/>
        <v>0</v>
      </c>
      <c r="H34" s="96">
        <f t="shared" si="61"/>
        <v>0</v>
      </c>
      <c r="I34" s="96">
        <f t="shared" ref="I34" si="62">+I30/I$74</f>
        <v>0</v>
      </c>
      <c r="J34" s="96">
        <f t="shared" si="61"/>
        <v>0</v>
      </c>
      <c r="K34" s="96">
        <f t="shared" ref="K34" si="63">+K30/K$74</f>
        <v>0</v>
      </c>
      <c r="L34" s="96">
        <f t="shared" si="61"/>
        <v>0</v>
      </c>
      <c r="M34" s="96">
        <f t="shared" si="61"/>
        <v>1.1928033102725569E-2</v>
      </c>
      <c r="N34" s="96">
        <f t="shared" si="61"/>
        <v>0.22768821805574543</v>
      </c>
      <c r="O34" s="96">
        <f t="shared" si="61"/>
        <v>0.31267327092472047</v>
      </c>
      <c r="P34" s="96">
        <f t="shared" si="61"/>
        <v>0.32334461663251929</v>
      </c>
      <c r="Q34" s="96">
        <f t="shared" si="61"/>
        <v>0.24417104842408305</v>
      </c>
      <c r="R34" s="96">
        <f t="shared" si="61"/>
        <v>0.2626833581205914</v>
      </c>
      <c r="S34" s="96">
        <f t="shared" si="61"/>
        <v>0.47489951156416033</v>
      </c>
      <c r="T34" s="96">
        <f t="shared" si="61"/>
        <v>0.33831572425740136</v>
      </c>
      <c r="U34" s="96">
        <f t="shared" si="61"/>
        <v>0.30932273730407833</v>
      </c>
      <c r="V34" s="96">
        <f t="shared" si="61"/>
        <v>0.3301793945248267</v>
      </c>
      <c r="W34" s="96">
        <f t="shared" si="61"/>
        <v>0.35676445462148376</v>
      </c>
      <c r="X34" s="96">
        <f t="shared" si="61"/>
        <v>0.31850674142181989</v>
      </c>
      <c r="Y34" s="96">
        <f t="shared" si="61"/>
        <v>0.37117434455533699</v>
      </c>
      <c r="Z34" s="96">
        <f t="shared" si="61"/>
        <v>0.44757036648883064</v>
      </c>
    </row>
    <row r="35" spans="1:26" x14ac:dyDescent="0.25">
      <c r="A35" s="257" t="s">
        <v>620</v>
      </c>
      <c r="B35" s="51" t="s">
        <v>589</v>
      </c>
      <c r="C35" s="52">
        <f>SUMIF('Fds Units'!$AP:$AP,Summary!$A35,'Fds Units'!B:B)</f>
        <v>2380269</v>
      </c>
      <c r="D35" s="52">
        <f>SUMIF('Fds Units'!$AS:$AS,Summary!$A35,'Fds Units'!C:C)</f>
        <v>2350932</v>
      </c>
      <c r="E35" s="52">
        <f>SUMIF('Fds Units'!$AV:$AV,Summary!$A35,'Fds Units'!D:D)</f>
        <v>2298792</v>
      </c>
      <c r="F35" s="52">
        <f>SUMIF('Fds Units'!$AY:$AY,Summary!$A35,'Fds Units'!E:E)</f>
        <v>2714266</v>
      </c>
      <c r="G35" s="52">
        <f>SUMIF('Fds Units'!$BB:$BB,Summary!$A35,'Fds Units'!F:F)</f>
        <v>2851011</v>
      </c>
      <c r="H35" s="52">
        <f>SUMIF('Fds Units'!$BE:$BE,Summary!$A35,'Fds Units'!G:G)</f>
        <v>2942615</v>
      </c>
      <c r="I35" s="52">
        <f>SUMIF('Fds Units'!$BH:$BH,Summary!$A35,'Fds Units'!H:H)</f>
        <v>2354363</v>
      </c>
      <c r="J35" s="52">
        <f>SUMIF('Fds Units'!$BK:$BK,Summary!$A35,'Fds Units'!I:I)</f>
        <v>1561917</v>
      </c>
      <c r="K35" s="52">
        <f>SUMIF('Fds Units'!$BN:$BN,Summary!$A35,'Fds Units'!J:J)</f>
        <v>1320450</v>
      </c>
      <c r="L35" s="52">
        <f>SUMIF('Fds Units'!$BQ:$BQ,Summary!$A35,'Fds Units'!K:K)</f>
        <v>2663796</v>
      </c>
      <c r="M35" s="52">
        <f>SUMIF('Fds Units'!$BT:$BT,Summary!$A35,'Fds Units'!L:L)+SUMIF('Fds Units'!$BT:$BT,Summary!$A35,'Fds Units'!N:N)</f>
        <v>3985941</v>
      </c>
      <c r="N35" s="53">
        <f>SUMIF('Fds Units'!$BW:$BW,Summary!$A35,'Fds Units'!R:R)</f>
        <v>2206000</v>
      </c>
      <c r="O35" s="114">
        <f>SUMIF('Fds Units'!$BZ:$BZ,Summary!$A35,'Fds Units'!V:V)</f>
        <v>2860000</v>
      </c>
      <c r="P35" s="52">
        <f>SUMIF('Fds Units'!$CC:$CC,Summary!$A35,'Fds Units'!Z:Z)</f>
        <v>2237000</v>
      </c>
      <c r="Q35" s="52">
        <f>SUMIF('Fds Units'!$CF:$CF,Summary!$A35,'Fds Units'!AC:AC)</f>
        <v>1630000</v>
      </c>
      <c r="R35" s="52">
        <f>SUMIF('Fds Units'!$CI:$CI,Summary!$A35,'Fds Units'!AF:AF)</f>
        <v>1735000</v>
      </c>
      <c r="S35" s="52">
        <f>SUMIF('Fds Units'!$CL:$CL,Summary!$A35,'Fds Units'!AG:AG)</f>
        <v>1430000</v>
      </c>
      <c r="T35" s="52">
        <f>SUMIF('Fds Units'!$CO:$CO,Summary!$A35,'Fds Units'!AH:AH)</f>
        <v>820000</v>
      </c>
      <c r="U35" s="52">
        <f>SUMIF('Fds Units'!$CR:$CR,Summary!$A35,'Fds Units'!AI:AI)</f>
        <v>1155000</v>
      </c>
      <c r="V35" s="52">
        <f>SUMIF('Fds Units'!$CU:$CU,Summary!$A35,'Fds Units'!AJ:AJ)</f>
        <v>715000</v>
      </c>
      <c r="W35" s="52">
        <f>SUMIF('Fds Units'!$CX:$CX,Summary!$A35,'Fds Units'!AK:AK)</f>
        <v>1135000</v>
      </c>
      <c r="X35" s="52">
        <f>SUMIF('Fds Units'!$DA:$DA,Summary!$A35,'Fds Units'!AL:AL)</f>
        <v>905000</v>
      </c>
      <c r="Y35" s="52">
        <f>SUMIF('Fds Units'!$DD:$DD,Summary!$A35,'Fds Units'!AM:AM)</f>
        <v>1125000</v>
      </c>
      <c r="Z35" s="53">
        <f>SUMIF('Fds Units'!$DG:$DG,Summary!$A35,'Fds Units'!AN:AN)</f>
        <v>400000</v>
      </c>
    </row>
    <row r="36" spans="1:26" x14ac:dyDescent="0.25">
      <c r="A36" s="258"/>
      <c r="B36" t="s">
        <v>80</v>
      </c>
      <c r="C36">
        <f>SUMIF('Fds Units'!$AP:$AP,Summary!$A35,'Fds Units'!DK:DK)</f>
        <v>26</v>
      </c>
      <c r="D36">
        <f>SUMIF('Fds Units'!$AS:$AS,Summary!$A35,'Fds Units'!DL:DL)</f>
        <v>25</v>
      </c>
      <c r="E36">
        <f>SUMIF('Fds Units'!$AV:$AV,Summary!$A35,'Fds Units'!DM:DM)</f>
        <v>26</v>
      </c>
      <c r="F36">
        <f>SUMIF('Fds Units'!$AY:$AY,Summary!$A35,'Fds Units'!DN:DN)</f>
        <v>29</v>
      </c>
      <c r="G36">
        <f>SUMIF('Fds Units'!$BB:$BB,Summary!$A35,'Fds Units'!DO:DO)</f>
        <v>28</v>
      </c>
      <c r="H36">
        <f>SUMIF('Fds Units'!$BE:$BE,Summary!$A35,'Fds Units'!DP:DP)</f>
        <v>29</v>
      </c>
      <c r="I36">
        <f>SUMIF('Fds Units'!$BH:$BH,Summary!$A35,'Fds Units'!DQ:DQ)</f>
        <v>25</v>
      </c>
      <c r="J36">
        <f>SUMIF('Fds Units'!$BK:$BK,Summary!$A35,'Fds Units'!DR:DR)</f>
        <v>21</v>
      </c>
      <c r="K36">
        <f>SUMIF('Fds Units'!$BN:$BN,Summary!$A35,'Fds Units'!DS:DS)</f>
        <v>15</v>
      </c>
      <c r="L36">
        <f>SUMIF('Fds Units'!$BQ:$BQ,Summary!$A35,'Fds Units'!DT:DT)</f>
        <v>18</v>
      </c>
      <c r="M36">
        <f>SUMIF('Fds Units'!$BT:$BT,Summary!$A35,'Fds Units'!DU:DU)</f>
        <v>22</v>
      </c>
      <c r="N36" s="46">
        <f>SUMIF('Fds Units'!$BW:$BW,Summary!$A35,'Fds Units'!DV:DV)</f>
        <v>23</v>
      </c>
      <c r="O36" s="45">
        <f>SUMIF('Fds Units'!$BZ:$BZ,Summary!$A35,'Fds Units'!DW:DW)</f>
        <v>28</v>
      </c>
      <c r="P36">
        <f>SUMIF('Fds Units'!$CC:$CC,Summary!$A35,'Fds Units'!DX:DX)</f>
        <v>24</v>
      </c>
      <c r="Q36">
        <f>SUMIF('Fds Units'!$CF:$CF,Summary!$A35,'Fds Units'!DY:DY)</f>
        <v>16</v>
      </c>
      <c r="R36">
        <f>SUMIF('Fds Units'!$CI:$CI,Summary!$A35,'Fds Units'!DZ:DZ)</f>
        <v>17</v>
      </c>
      <c r="S36">
        <f>SUMIF('Fds Units'!$CL:$CL,Summary!$A35,'Fds Units'!EA:EA)</f>
        <v>14</v>
      </c>
      <c r="T36">
        <f>SUMIF('Fds Units'!$CO:$CO,Summary!$A35,'Fds Units'!EB:EB)</f>
        <v>8</v>
      </c>
      <c r="U36">
        <f>SUMIF('Fds Units'!$CR:$CR,Summary!$A35,'Fds Units'!EC:EC)</f>
        <v>12</v>
      </c>
      <c r="V36">
        <f>SUMIF('Fds Units'!$CU:$CU,Summary!$A35,'Fds Units'!ED:ED)</f>
        <v>7</v>
      </c>
      <c r="W36">
        <f>SUMIF('Fds Units'!$CX:$CX,Summary!$A35,'Fds Units'!EE:EE)</f>
        <v>11</v>
      </c>
      <c r="X36">
        <f>SUMIF('Fds Units'!$DA:$DA,Summary!$A35,'Fds Units'!EF:EF)</f>
        <v>9</v>
      </c>
      <c r="Y36">
        <f>SUMIF('Fds Units'!$DD:$DD,Summary!$A35,'Fds Units'!EG:EG)</f>
        <v>11</v>
      </c>
      <c r="Z36" s="46">
        <f>SUMIF('Fds Units'!$DG:$DG,Summary!$A35,'Fds Units'!EH:EH)</f>
        <v>4</v>
      </c>
    </row>
    <row r="37" spans="1:26" x14ac:dyDescent="0.25">
      <c r="A37" s="258"/>
      <c r="B37" t="s">
        <v>590</v>
      </c>
      <c r="C37">
        <f t="shared" ref="C37:N37" si="64">+C$11-C36</f>
        <v>0</v>
      </c>
      <c r="D37">
        <f t="shared" si="64"/>
        <v>0</v>
      </c>
      <c r="E37">
        <f t="shared" si="64"/>
        <v>0</v>
      </c>
      <c r="F37">
        <f t="shared" si="64"/>
        <v>-2</v>
      </c>
      <c r="G37">
        <f t="shared" si="64"/>
        <v>0</v>
      </c>
      <c r="H37">
        <f t="shared" si="64"/>
        <v>0</v>
      </c>
      <c r="I37">
        <f t="shared" ref="I37" si="65">+I$11-I36</f>
        <v>0</v>
      </c>
      <c r="J37">
        <f t="shared" si="64"/>
        <v>4</v>
      </c>
      <c r="K37">
        <f t="shared" si="64"/>
        <v>10</v>
      </c>
      <c r="L37">
        <f t="shared" si="64"/>
        <v>9</v>
      </c>
      <c r="M37">
        <f t="shared" si="64"/>
        <v>-3</v>
      </c>
      <c r="N37" s="46">
        <f t="shared" si="64"/>
        <v>-1</v>
      </c>
      <c r="O37" s="45">
        <f>+O$11-O36</f>
        <v>-2</v>
      </c>
      <c r="P37">
        <f>+P$11-P36</f>
        <v>0</v>
      </c>
      <c r="Q37">
        <f>+Q$8-Q36</f>
        <v>6</v>
      </c>
      <c r="R37">
        <f t="shared" ref="R37:Z37" si="66">+R$8-R36</f>
        <v>5</v>
      </c>
      <c r="S37">
        <f t="shared" si="66"/>
        <v>6</v>
      </c>
      <c r="T37">
        <f t="shared" si="66"/>
        <v>14</v>
      </c>
      <c r="U37">
        <f t="shared" si="66"/>
        <v>10</v>
      </c>
      <c r="V37">
        <f t="shared" si="66"/>
        <v>14</v>
      </c>
      <c r="W37">
        <f t="shared" si="66"/>
        <v>10</v>
      </c>
      <c r="X37">
        <f t="shared" si="66"/>
        <v>13</v>
      </c>
      <c r="Y37">
        <f t="shared" si="66"/>
        <v>8</v>
      </c>
      <c r="Z37">
        <f t="shared" si="66"/>
        <v>17</v>
      </c>
    </row>
    <row r="38" spans="1:26" ht="15.75" thickBot="1" x14ac:dyDescent="0.3">
      <c r="A38" s="259"/>
      <c r="B38" s="54" t="s">
        <v>591</v>
      </c>
      <c r="C38" s="55">
        <f>SUMIF('Fds Units'!$AP:$AP,Summary!$A35,'Fds Units'!EJ:EJ)</f>
        <v>104</v>
      </c>
      <c r="D38" s="55">
        <f>SUMIF('Fds Units'!$AS:$AS,Summary!$A35,'Fds Units'!EK:EK)</f>
        <v>82</v>
      </c>
      <c r="E38" s="55">
        <f>SUMIF('Fds Units'!$AV:$AV,Summary!$A35,'Fds Units'!EL:EL)</f>
        <v>104</v>
      </c>
      <c r="F38" s="55">
        <f>SUMIF('Fds Units'!$AY:$AY,Summary!$A35,'Fds Units'!EM:EM)</f>
        <v>128</v>
      </c>
      <c r="G38" s="55">
        <f>SUMIF('Fds Units'!$BB:$BB,Summary!$A35,'Fds Units'!EN:EN)</f>
        <v>112</v>
      </c>
      <c r="H38" s="55">
        <f>SUMIF('Fds Units'!$BE:$BE,Summary!$A35,'Fds Units'!EO:EO)</f>
        <v>116</v>
      </c>
      <c r="I38" s="55">
        <f>SUMIF('Fds Units'!$BH:$BH,Summary!$A35,'Fds Units'!EP:EP)</f>
        <v>100</v>
      </c>
      <c r="J38" s="55">
        <f>SUMIF('Fds Units'!$BK:$BK,Summary!$A35,'Fds Units'!EQ:EQ)</f>
        <v>84</v>
      </c>
      <c r="K38" s="55">
        <f>SUMIF('Fds Units'!$BN:$BN,Summary!$A35,'Fds Units'!ER:ER)</f>
        <v>60</v>
      </c>
      <c r="L38" s="55">
        <f>SUMIF('Fds Units'!$BQ:$BQ,Summary!$A35,'Fds Units'!ES:ES)</f>
        <v>184</v>
      </c>
      <c r="M38" s="55">
        <f>SUMIF('Fds Units'!$BT:$BT,Summary!$A35,'Fds Units'!ET:ET)</f>
        <v>88</v>
      </c>
      <c r="N38" s="56">
        <f>SUMIF('Fds Units'!$BW:$BW,Summary!$A35,'Fds Units'!EU:EU)</f>
        <v>92</v>
      </c>
      <c r="O38" s="115">
        <f>SUMIF('Fds Units'!$BZ:$BZ,Summary!$A35,'Fds Units'!EV:EV)</f>
        <v>112</v>
      </c>
      <c r="P38" s="55">
        <f>SUMIF('Fds Units'!$CC:$CC,Summary!$A35,'Fds Units'!EW:EW)</f>
        <v>96</v>
      </c>
      <c r="Q38" s="55">
        <f>SUMIF('Fds Units'!$CF:$CF,Summary!$A35,'Fds Units'!EX:EX)</f>
        <v>64</v>
      </c>
      <c r="R38" s="55">
        <f>SUMIF('Fds Units'!$CI:$CI,Summary!$A35,'Fds Units'!EY:EY)</f>
        <v>68</v>
      </c>
      <c r="S38" s="55">
        <f>SUMIF('Fds Units'!$CL:$CL,Summary!$A35,'Fds Units'!EZ:EZ)</f>
        <v>56</v>
      </c>
      <c r="T38" s="55">
        <f>SUMIF('Fds Units'!$CO:$CO,Summary!$A35,'Fds Units'!FA:FA)</f>
        <v>32</v>
      </c>
      <c r="U38" s="55">
        <f>SUMIF('Fds Units'!$CR:$CR,Summary!$A35,'Fds Units'!FB:FB)</f>
        <v>48</v>
      </c>
      <c r="V38" s="55">
        <f>SUMIF('Fds Units'!$CU:$CU,Summary!$A35,'Fds Units'!FC:FC)</f>
        <v>28</v>
      </c>
      <c r="W38" s="55">
        <f>SUMIF('Fds Units'!$CX:$CX,Summary!$A35,'Fds Units'!FD:FD)</f>
        <v>44</v>
      </c>
      <c r="X38" s="55">
        <f>SUMIF('Fds Units'!$DA:$DA,Summary!$A35,'Fds Units'!FE:FE)</f>
        <v>36</v>
      </c>
      <c r="Y38" s="55">
        <f>SUMIF('Fds Units'!$DD:$DD,Summary!$A35,'Fds Units'!FF:FF)</f>
        <v>44</v>
      </c>
      <c r="Z38" s="56">
        <f>SUMIF('Fds Units'!$DG:$DG,Summary!$A35,'Fds Units'!FG:FG)</f>
        <v>16</v>
      </c>
    </row>
    <row r="39" spans="1:26" ht="15.75" thickBot="1" x14ac:dyDescent="0.3">
      <c r="C39" s="96">
        <f t="shared" ref="C39:Z39" si="67">+C35/C$74</f>
        <v>0.17745035343668325</v>
      </c>
      <c r="D39" s="96">
        <f t="shared" si="67"/>
        <v>0.19608392968565527</v>
      </c>
      <c r="E39" s="96">
        <f t="shared" si="67"/>
        <v>0.17855599367051442</v>
      </c>
      <c r="F39" s="96">
        <f t="shared" si="67"/>
        <v>0.2021745111975379</v>
      </c>
      <c r="G39" s="96">
        <f t="shared" si="67"/>
        <v>0.2038305263311419</v>
      </c>
      <c r="H39" s="96">
        <f t="shared" si="67"/>
        <v>0.20967399799875147</v>
      </c>
      <c r="I39" s="96">
        <f t="shared" ref="I39" si="68">+I35/I$74</f>
        <v>0.20885423148924437</v>
      </c>
      <c r="J39" s="96">
        <f t="shared" si="67"/>
        <v>0.20760477287734772</v>
      </c>
      <c r="K39" s="96">
        <f t="shared" si="67"/>
        <v>0.17053643844957717</v>
      </c>
      <c r="L39" s="96">
        <f t="shared" si="67"/>
        <v>0.26531571053233638</v>
      </c>
      <c r="M39" s="96">
        <f t="shared" si="67"/>
        <v>0.23776022260317178</v>
      </c>
      <c r="N39" s="96">
        <f t="shared" si="67"/>
        <v>0.21118301161908634</v>
      </c>
      <c r="O39" s="96">
        <f t="shared" si="67"/>
        <v>0.22791990097756917</v>
      </c>
      <c r="P39" s="96">
        <f t="shared" si="67"/>
        <v>0.14680539130822831</v>
      </c>
      <c r="Q39" s="96">
        <f t="shared" si="67"/>
        <v>0.12261223024651151</v>
      </c>
      <c r="R39" s="96">
        <f t="shared" si="67"/>
        <v>9.0437178009764918E-2</v>
      </c>
      <c r="S39" s="96">
        <f t="shared" si="67"/>
        <v>6.7211629209892043E-2</v>
      </c>
      <c r="T39" s="96">
        <f t="shared" si="67"/>
        <v>8.5269359407178294E-2</v>
      </c>
      <c r="U39" s="96">
        <f t="shared" si="67"/>
        <v>0.10333298068903415</v>
      </c>
      <c r="V39" s="96">
        <f t="shared" si="67"/>
        <v>6.8281198688380243E-2</v>
      </c>
      <c r="W39" s="96">
        <f t="shared" si="67"/>
        <v>0.11752561365908569</v>
      </c>
      <c r="X39" s="96">
        <f t="shared" si="67"/>
        <v>7.9983701000951826E-2</v>
      </c>
      <c r="Y39" s="96">
        <f t="shared" si="67"/>
        <v>0.11759116536006768</v>
      </c>
      <c r="Z39" s="96">
        <f t="shared" si="67"/>
        <v>5.0415669316062603E-2</v>
      </c>
    </row>
    <row r="40" spans="1:26" x14ac:dyDescent="0.25">
      <c r="A40" s="257" t="s">
        <v>79</v>
      </c>
      <c r="B40" s="51" t="s">
        <v>589</v>
      </c>
      <c r="C40" s="52">
        <f>SUMIF('Fds Units'!$AP:$AP,Summary!$A40,'Fds Units'!B:B)</f>
        <v>76344</v>
      </c>
      <c r="D40" s="52">
        <f>SUMIF('Fds Units'!$AS:$AS,Summary!$A40,'Fds Units'!C:C)</f>
        <v>110886</v>
      </c>
      <c r="E40" s="52">
        <f>SUMIF('Fds Units'!$AV:$AV,Summary!$A40,'Fds Units'!D:D)</f>
        <v>107892</v>
      </c>
      <c r="F40" s="52">
        <f>+Prophix!G188</f>
        <v>0</v>
      </c>
      <c r="G40" s="52">
        <f>SUMIF('Fds Units'!$BB:$BB,Summary!$A40,'Fds Units'!F:F)</f>
        <v>275603</v>
      </c>
      <c r="H40" s="52">
        <f>SUMIF('Fds Units'!$BE:$BE,Summary!$A40,'Fds Units'!G:G)</f>
        <v>903018</v>
      </c>
      <c r="I40" s="52">
        <f>SUMIF('Fds Units'!$BH:$BH,Summary!$A40,'Fds Units'!H:H)</f>
        <v>500964</v>
      </c>
      <c r="J40" s="52">
        <f>SUMIF('Fds Units'!$BK:$BK,Summary!$A40,'Fds Units'!I:I)</f>
        <v>95409</v>
      </c>
      <c r="K40" s="52">
        <f>SUMIF('Fds Units'!$BN:$BN,Summary!$A40,'Fds Units'!J:J)</f>
        <v>0</v>
      </c>
      <c r="L40" s="160">
        <f>SUMIF('Fds Units'!$BQ:$BQ,Summary!$A40,'Fds Units'!K:K)</f>
        <v>896</v>
      </c>
      <c r="M40" s="52">
        <f>SUMIF('Fds Units'!$BT:$BT,Summary!$A40,'Fds Units'!L:L)+SUMIF('Fds Units'!$BT:$BT,Summary!$A40,'Fds Units'!N:N)</f>
        <v>0</v>
      </c>
      <c r="N40" s="53">
        <f>SUMIF('Fds Units'!$BW:$BW,Summary!$A40,'Fds Units'!R:R)</f>
        <v>0</v>
      </c>
      <c r="O40" s="114">
        <f>SUMIF('Fds Units'!$BZ:$BZ,Summary!$A40,'Fds Units'!V:V)</f>
        <v>0</v>
      </c>
      <c r="P40" s="52">
        <f>SUMIF('Fds Units'!$CC:$CC,Summary!$A40,'Fds Units'!Z:Z)</f>
        <v>0</v>
      </c>
      <c r="Q40" s="52">
        <f>SUMIF('Fds Units'!$CF:$CF,Summary!$A40,'Fds Units'!AC:AC)</f>
        <v>0</v>
      </c>
      <c r="R40" s="52">
        <f>SUMIF('Fds Units'!$CI:$CI,Summary!$A40,'Fds Units'!AF:AF)</f>
        <v>0</v>
      </c>
      <c r="S40" s="52">
        <f>SUMIF('Fds Units'!$CL:$CL,Summary!$A40,'Fds Units'!AG:AG)</f>
        <v>0</v>
      </c>
      <c r="T40" s="52">
        <f>SUMIF('Fds Units'!$CO:$CO,Summary!$A40,'Fds Units'!AH:AH)</f>
        <v>0</v>
      </c>
      <c r="U40" s="52">
        <f>SUMIF('Fds Units'!$CR:$CR,Summary!$A40,'Fds Units'!AI:AI)</f>
        <v>0</v>
      </c>
      <c r="V40" s="52">
        <f>SUMIF('Fds Units'!$CU:$CU,Summary!$A40,'Fds Units'!AJ:AJ)</f>
        <v>0</v>
      </c>
      <c r="W40" s="52">
        <f>SUMIF('Fds Units'!$CX:$CX,Summary!$A40,'Fds Units'!AK:AK)</f>
        <v>0</v>
      </c>
      <c r="X40" s="52">
        <f>SUMIF('Fds Units'!$DA:$DA,Summary!$A40,'Fds Units'!AL:AL)</f>
        <v>0</v>
      </c>
      <c r="Y40" s="52">
        <f>SUMIF('Fds Units'!$DD:$DD,Summary!$A40,'Fds Units'!AM:AM)</f>
        <v>0</v>
      </c>
      <c r="Z40" s="53">
        <f>SUMIF('Fds Units'!$DG:$DG,Summary!$A40,'Fds Units'!AN:AN)</f>
        <v>0</v>
      </c>
    </row>
    <row r="41" spans="1:26" x14ac:dyDescent="0.25">
      <c r="A41" s="258"/>
      <c r="B41" t="s">
        <v>80</v>
      </c>
      <c r="C41">
        <f>SUMIF('Fds Units'!$AP:$AP,Summary!$A40,'Fds Units'!DK:DK)</f>
        <v>3</v>
      </c>
      <c r="D41">
        <f>SUMIF('Fds Units'!$AS:$AS,Summary!$A40,'Fds Units'!DL:DL)</f>
        <v>4</v>
      </c>
      <c r="E41">
        <f>SUMIF('Fds Units'!$AV:$AV,Summary!$A40,'Fds Units'!DM:DM)</f>
        <v>4</v>
      </c>
      <c r="F41">
        <v>3</v>
      </c>
      <c r="G41">
        <f>SUMIF('Fds Units'!$BB:$BB,Summary!$A40,'Fds Units'!DO:DO)</f>
        <v>7</v>
      </c>
      <c r="H41">
        <f>SUMIF('Fds Units'!$BE:$BE,Summary!$A40,'Fds Units'!DP:DP)</f>
        <v>22</v>
      </c>
      <c r="I41">
        <f>SUMIF('Fds Units'!$BH:$BH,Summary!$A40,'Fds Units'!DQ:DQ)</f>
        <v>11</v>
      </c>
      <c r="J41">
        <f>SUMIF('Fds Units'!$BK:$BK,Summary!$A40,'Fds Units'!DR:DR)</f>
        <v>4</v>
      </c>
      <c r="K41">
        <f>SUMIF('Fds Units'!$BN:$BN,Summary!$A40,'Fds Units'!DS:DS)</f>
        <v>0</v>
      </c>
      <c r="L41">
        <f>SUMIF('Fds Units'!$BQ:$BQ,Summary!$A40,'Fds Units'!DT:DT)</f>
        <v>1</v>
      </c>
      <c r="M41">
        <f>SUMIF('Fds Units'!$BT:$BT,Summary!$A40,'Fds Units'!DU:DU)</f>
        <v>0</v>
      </c>
      <c r="N41" s="46">
        <f>SUMIF('Fds Units'!$BW:$BW,Summary!$A40,'Fds Units'!DV:DV)</f>
        <v>0</v>
      </c>
      <c r="O41" s="45">
        <f>SUMIF('Fds Units'!$BZ:$BZ,Summary!$A40,'Fds Units'!DW:DW)</f>
        <v>0</v>
      </c>
      <c r="P41">
        <f>SUMIF('Fds Units'!$CC:$CC,Summary!$A40,'Fds Units'!DX:DX)</f>
        <v>0</v>
      </c>
      <c r="Q41">
        <f>SUMIF('Fds Units'!$CF:$CF,Summary!$A40,'Fds Units'!DY:DY)</f>
        <v>0</v>
      </c>
      <c r="R41">
        <f>SUMIF('Fds Units'!$CI:$CI,Summary!$A40,'Fds Units'!DZ:DZ)</f>
        <v>0</v>
      </c>
      <c r="S41">
        <f>SUMIF('Fds Units'!$CL:$CL,Summary!$A40,'Fds Units'!EA:EA)</f>
        <v>0</v>
      </c>
      <c r="T41">
        <f>SUMIF('Fds Units'!$CO:$CO,Summary!$A40,'Fds Units'!EB:EB)</f>
        <v>0</v>
      </c>
      <c r="U41">
        <f>SUMIF('Fds Units'!$CR:$CR,Summary!$A40,'Fds Units'!EC:EC)</f>
        <v>0</v>
      </c>
      <c r="V41">
        <f>SUMIF('Fds Units'!$CU:$CU,Summary!$A40,'Fds Units'!ED:ED)</f>
        <v>0</v>
      </c>
      <c r="W41">
        <f>SUMIF('Fds Units'!$CX:$CX,Summary!$A40,'Fds Units'!EE:EE)</f>
        <v>0</v>
      </c>
      <c r="X41">
        <f>SUMIF('Fds Units'!$DA:$DA,Summary!$A40,'Fds Units'!EF:EF)</f>
        <v>0</v>
      </c>
      <c r="Y41">
        <f>SUMIF('Fds Units'!$DD:$DD,Summary!$A40,'Fds Units'!EG:EG)</f>
        <v>0</v>
      </c>
      <c r="Z41" s="46">
        <f>SUMIF('Fds Units'!$DG:$DG,Summary!$A40,'Fds Units'!EH:EH)</f>
        <v>0</v>
      </c>
    </row>
    <row r="42" spans="1:26" x14ac:dyDescent="0.25">
      <c r="A42" s="258"/>
      <c r="B42" t="s">
        <v>590</v>
      </c>
      <c r="C42">
        <f t="shared" ref="C42:H42" si="69">+C$11-C41</f>
        <v>23</v>
      </c>
      <c r="D42">
        <f t="shared" si="69"/>
        <v>21</v>
      </c>
      <c r="E42">
        <f t="shared" si="69"/>
        <v>22</v>
      </c>
      <c r="F42">
        <f t="shared" si="69"/>
        <v>24</v>
      </c>
      <c r="G42">
        <f t="shared" si="69"/>
        <v>21</v>
      </c>
      <c r="H42">
        <f t="shared" si="69"/>
        <v>7</v>
      </c>
      <c r="I42">
        <f t="shared" ref="I42" si="70">+I$11-I41</f>
        <v>14</v>
      </c>
      <c r="J42">
        <f t="shared" ref="J42:N42" si="71">+J$11-J41</f>
        <v>21</v>
      </c>
      <c r="K42">
        <f t="shared" si="71"/>
        <v>25</v>
      </c>
      <c r="L42">
        <f t="shared" si="71"/>
        <v>26</v>
      </c>
      <c r="M42">
        <f t="shared" si="71"/>
        <v>19</v>
      </c>
      <c r="N42" s="46">
        <f t="shared" si="71"/>
        <v>22</v>
      </c>
      <c r="O42" s="45">
        <f>+O$8-O41</f>
        <v>21</v>
      </c>
      <c r="P42">
        <f t="shared" ref="P42:Z42" si="72">+P$8-P41</f>
        <v>20</v>
      </c>
      <c r="Q42">
        <f t="shared" si="72"/>
        <v>22</v>
      </c>
      <c r="R42">
        <f t="shared" si="72"/>
        <v>22</v>
      </c>
      <c r="S42">
        <f t="shared" si="72"/>
        <v>20</v>
      </c>
      <c r="T42">
        <f t="shared" si="72"/>
        <v>22</v>
      </c>
      <c r="U42">
        <f t="shared" si="72"/>
        <v>22</v>
      </c>
      <c r="V42">
        <f t="shared" si="72"/>
        <v>21</v>
      </c>
      <c r="W42">
        <f t="shared" si="72"/>
        <v>21</v>
      </c>
      <c r="X42">
        <f t="shared" si="72"/>
        <v>22</v>
      </c>
      <c r="Y42">
        <f t="shared" si="72"/>
        <v>19</v>
      </c>
      <c r="Z42" s="46">
        <f t="shared" si="72"/>
        <v>21</v>
      </c>
    </row>
    <row r="43" spans="1:26" ht="15.75" thickBot="1" x14ac:dyDescent="0.3">
      <c r="A43" s="259"/>
      <c r="B43" s="54" t="s">
        <v>591</v>
      </c>
      <c r="C43" s="55">
        <f>SUMIF('Fds Units'!$AP:$AP,Summary!$A40,'Fds Units'!EJ:EJ)</f>
        <v>12</v>
      </c>
      <c r="D43" s="55">
        <f>SUMIF('Fds Units'!$AS:$AS,Summary!$A40,'Fds Units'!EK:EK)</f>
        <v>16</v>
      </c>
      <c r="E43" s="55">
        <f>SUMIF('Fds Units'!$AV:$AV,Summary!$A40,'Fds Units'!EL:EL)</f>
        <v>16</v>
      </c>
      <c r="F43" s="55">
        <f>SUMIF('Fds Units'!$AY:$AY,Summary!$A40,'Fds Units'!EM:EM)</f>
        <v>0</v>
      </c>
      <c r="G43" s="55">
        <f>SUMIF('Fds Units'!$BB:$BB,Summary!$A40,'Fds Units'!EN:EN)</f>
        <v>21</v>
      </c>
      <c r="H43" s="55">
        <f>SUMIF('Fds Units'!$BE:$BE,Summary!$A40,'Fds Units'!EO:EO)</f>
        <v>66</v>
      </c>
      <c r="I43" s="55">
        <f>SUMIF('Fds Units'!$BH:$BH,Summary!$A40,'Fds Units'!EP:EP)</f>
        <v>33</v>
      </c>
      <c r="J43" s="55">
        <f>SUMIF('Fds Units'!$BK:$BK,Summary!$A40,'Fds Units'!EQ:EQ)</f>
        <v>24</v>
      </c>
      <c r="K43" s="55">
        <f>SUMIF('Fds Units'!$BN:$BN,Summary!$A40,'Fds Units'!ER:ER)</f>
        <v>0</v>
      </c>
      <c r="L43" s="55">
        <f>SUMIF('Fds Units'!$BQ:$BQ,Summary!$A40,'Fds Units'!ES:ES)</f>
        <v>3</v>
      </c>
      <c r="M43" s="55">
        <f>SUMIF('Fds Units'!$BT:$BT,Summary!$A40,'Fds Units'!ET:ET)</f>
        <v>0</v>
      </c>
      <c r="N43" s="56">
        <f>SUMIF('Fds Units'!$BW:$BW,Summary!$A40,'Fds Units'!EU:EU)</f>
        <v>0</v>
      </c>
      <c r="O43" s="115">
        <f>SUMIF('Fds Units'!$BZ:$BZ,Summary!$A40,'Fds Units'!EV:EV)</f>
        <v>0</v>
      </c>
      <c r="P43" s="55">
        <f>SUMIF('Fds Units'!$CC:$CC,Summary!$A40,'Fds Units'!EW:EW)</f>
        <v>0</v>
      </c>
      <c r="Q43" s="55">
        <f>SUMIF('Fds Units'!$CF:$CF,Summary!$A40,'Fds Units'!EX:EX)</f>
        <v>0</v>
      </c>
      <c r="R43" s="55">
        <f>SUMIF('Fds Units'!$CI:$CI,Summary!$A40,'Fds Units'!EY:EY)</f>
        <v>0</v>
      </c>
      <c r="S43" s="55">
        <f>SUMIF('Fds Units'!$CL:$CL,Summary!$A40,'Fds Units'!EZ:EZ)</f>
        <v>0</v>
      </c>
      <c r="T43" s="55">
        <f>SUMIF('Fds Units'!$CO:$CO,Summary!$A40,'Fds Units'!FA:FA)</f>
        <v>0</v>
      </c>
      <c r="U43" s="55">
        <f>SUMIF('Fds Units'!$CR:$CR,Summary!$A40,'Fds Units'!FB:FB)</f>
        <v>0</v>
      </c>
      <c r="V43" s="55">
        <f>SUMIF('Fds Units'!$CU:$CU,Summary!$A40,'Fds Units'!FC:FC)</f>
        <v>0</v>
      </c>
      <c r="W43" s="55">
        <f>SUMIF('Fds Units'!$CX:$CX,Summary!$A40,'Fds Units'!FD:FD)</f>
        <v>0</v>
      </c>
      <c r="X43" s="55">
        <f>SUMIF('Fds Units'!$DA:$DA,Summary!$A40,'Fds Units'!FE:FE)</f>
        <v>0</v>
      </c>
      <c r="Y43" s="55">
        <f>SUMIF('Fds Units'!$DD:$DD,Summary!$A40,'Fds Units'!FF:FF)</f>
        <v>0</v>
      </c>
      <c r="Z43" s="56">
        <f>SUMIF('Fds Units'!$DG:$DG,Summary!$A40,'Fds Units'!FG:FG)</f>
        <v>0</v>
      </c>
    </row>
    <row r="44" spans="1:26" ht="15.75" thickBot="1" x14ac:dyDescent="0.3">
      <c r="C44" s="96">
        <f t="shared" ref="C44:Z44" si="73">+C40/C$74</f>
        <v>5.6914868793275664E-3</v>
      </c>
      <c r="D44" s="96">
        <f t="shared" si="73"/>
        <v>9.248656544350739E-3</v>
      </c>
      <c r="E44" s="96">
        <f t="shared" si="73"/>
        <v>8.3803855542820497E-3</v>
      </c>
      <c r="F44" s="96">
        <f t="shared" si="73"/>
        <v>0</v>
      </c>
      <c r="G44" s="96">
        <f t="shared" si="73"/>
        <v>1.9703994319363097E-2</v>
      </c>
      <c r="H44" s="96">
        <f t="shared" si="73"/>
        <v>6.4343923457481383E-2</v>
      </c>
      <c r="I44" s="96">
        <f t="shared" ref="I44" si="74">+I40/I$74</f>
        <v>4.444023764550234E-2</v>
      </c>
      <c r="J44" s="96">
        <f t="shared" si="73"/>
        <v>1.2681444516869249E-2</v>
      </c>
      <c r="K44" s="96">
        <f t="shared" si="73"/>
        <v>0</v>
      </c>
      <c r="L44" s="96">
        <f t="shared" si="73"/>
        <v>8.9242147911091317E-5</v>
      </c>
      <c r="M44" s="96">
        <f t="shared" si="73"/>
        <v>0</v>
      </c>
      <c r="N44" s="96">
        <f t="shared" si="73"/>
        <v>0</v>
      </c>
      <c r="O44" s="96">
        <f t="shared" si="73"/>
        <v>0</v>
      </c>
      <c r="P44" s="96">
        <f t="shared" si="73"/>
        <v>0</v>
      </c>
      <c r="Q44" s="96">
        <f t="shared" si="73"/>
        <v>0</v>
      </c>
      <c r="R44" s="96">
        <f t="shared" si="73"/>
        <v>0</v>
      </c>
      <c r="S44" s="96">
        <f t="shared" si="73"/>
        <v>0</v>
      </c>
      <c r="T44" s="96">
        <f t="shared" si="73"/>
        <v>0</v>
      </c>
      <c r="U44" s="96">
        <f t="shared" si="73"/>
        <v>0</v>
      </c>
      <c r="V44" s="96">
        <f t="shared" si="73"/>
        <v>0</v>
      </c>
      <c r="W44" s="96">
        <f t="shared" si="73"/>
        <v>0</v>
      </c>
      <c r="X44" s="96">
        <f t="shared" si="73"/>
        <v>0</v>
      </c>
      <c r="Y44" s="96">
        <f t="shared" si="73"/>
        <v>0</v>
      </c>
      <c r="Z44" s="96">
        <f t="shared" si="73"/>
        <v>0</v>
      </c>
    </row>
    <row r="45" spans="1:26" ht="15.75" hidden="1" thickBot="1" x14ac:dyDescent="0.3">
      <c r="A45" s="257" t="s">
        <v>608</v>
      </c>
      <c r="B45" s="51" t="s">
        <v>589</v>
      </c>
      <c r="C45" s="52">
        <f>SUMIF('Fds Units'!$AP:$AP,Summary!$A45,'Fds Units'!B:B)</f>
        <v>127554</v>
      </c>
      <c r="D45" s="52">
        <f>SUMIF('Fds Units'!$AS:$AS,Summary!$A45,'Fds Units'!C:C)</f>
        <v>85061</v>
      </c>
      <c r="E45" s="52">
        <f>SUMIF('Fds Units'!$AV:$AV,Summary!$A45,'Fds Units'!D:D)</f>
        <v>138202</v>
      </c>
      <c r="F45" s="52">
        <f>SUMIF('Fds Units'!$AY:$AY,Summary!$A45,'Fds Units'!E:E)</f>
        <v>208528</v>
      </c>
      <c r="G45" s="52">
        <f>SUMIF('Fds Units'!$BB:$BB,Summary!$A45,'Fds Units'!F:F)</f>
        <v>207735</v>
      </c>
      <c r="H45" s="52">
        <f>SUMIF('Fds Units'!$BE:$BE,Summary!$A45,'Fds Units'!G:G)</f>
        <v>228150</v>
      </c>
      <c r="I45" s="52">
        <f>SUMIF('Fds Units'!$BH:$BH,Summary!$A45,'Fds Units'!H:H)</f>
        <v>219156</v>
      </c>
      <c r="J45" s="52">
        <f>SUMIF('Fds Units'!$BK:$BK,Summary!$A45,'Fds Units'!I:I)</f>
        <v>141173</v>
      </c>
      <c r="K45" s="52">
        <f>SUMIF('Fds Units'!$BN:$BN,Summary!$A45,'Fds Units'!J:J)</f>
        <v>142731</v>
      </c>
      <c r="L45" s="52">
        <f>SUMIF('Fds Units'!$BQ:$BQ,Summary!$A45,'Fds Units'!K:K)</f>
        <v>24055</v>
      </c>
      <c r="M45" s="52">
        <f>SUMIF('Fds Units'!$BT:$BT,Summary!$A45,'Fds Units'!L:L)+SUMIF('Fds Units'!$BT:$BT,Summary!$A45,'Fds Units'!N:N)</f>
        <v>0</v>
      </c>
      <c r="N45" s="53">
        <f>SUMIF('Fds Units'!$BW:$BW,Summary!$A45,'Fds Units'!R:R)</f>
        <v>0</v>
      </c>
      <c r="O45" s="114">
        <f>SUMIF('Fds Units'!$BZ:$BZ,Summary!$A45,'Fds Units'!U:U)</f>
        <v>0</v>
      </c>
      <c r="P45" s="52">
        <f>SUMIF('Fds Units'!$CC:$CC,Summary!$A45,'Fds Units'!Y:Y)</f>
        <v>0</v>
      </c>
      <c r="Q45" s="52">
        <f>SUMIF('Fds Units'!$CF:$CF,Summary!$A45,'Fds Units'!AE:AE)</f>
        <v>0</v>
      </c>
      <c r="R45" s="52">
        <f>SUMIF('Fds Units'!$CI:$CI,Summary!$A45,'Fds Units'!AF:AF)</f>
        <v>0</v>
      </c>
      <c r="S45" s="52">
        <f>SUMIF('Fds Units'!$CL:$CL,Summary!$A45,'Fds Units'!AG:AG)</f>
        <v>0</v>
      </c>
      <c r="T45" s="52">
        <f>SUMIF('Fds Units'!$CO:$CO,Summary!$A45,'Fds Units'!AH:AH)</f>
        <v>0</v>
      </c>
      <c r="U45" s="52">
        <f>SUMIF('Fds Units'!$CR:$CR,Summary!$A45,'Fds Units'!AI:AI)</f>
        <v>0</v>
      </c>
      <c r="V45" s="52">
        <f>SUMIF('Fds Units'!$CU:$CU,Summary!$A45,'Fds Units'!AJ:AJ)</f>
        <v>0</v>
      </c>
      <c r="W45" s="52">
        <f>SUMIF('Fds Units'!$CX:$CX,Summary!$A45,'Fds Units'!AK:AK)</f>
        <v>0</v>
      </c>
      <c r="X45" s="52">
        <f>SUMIF('Fds Units'!$DA:$DA,Summary!$A45,'Fds Units'!AL:AL)</f>
        <v>0</v>
      </c>
      <c r="Y45" s="52">
        <f>SUMIF('Fds Units'!$DD:$DD,Summary!$A45,'Fds Units'!AM:AM)</f>
        <v>0</v>
      </c>
      <c r="Z45" s="53">
        <f>SUMIF('Fds Units'!$DG:$DG,Summary!$A45,'Fds Units'!AN:AN)</f>
        <v>0</v>
      </c>
    </row>
    <row r="46" spans="1:26" ht="15.75" hidden="1" thickBot="1" x14ac:dyDescent="0.3">
      <c r="A46" s="258"/>
      <c r="B46" t="s">
        <v>80</v>
      </c>
      <c r="C46">
        <f>SUMIF('Fds Units'!$AP:$AP,Summary!$A45,'Fds Units'!DK:DK)</f>
        <v>3</v>
      </c>
      <c r="D46">
        <f>SUMIF('Fds Units'!$AS:$AS,Summary!$A45,'Fds Units'!DL:DL)</f>
        <v>3</v>
      </c>
      <c r="E46">
        <f>SUMIF('Fds Units'!$AV:$AV,Summary!$A45,'Fds Units'!DM:DM)</f>
        <v>4</v>
      </c>
      <c r="F46">
        <f>SUMIF('Fds Units'!$AY:$AY,Summary!$A45,'Fds Units'!DN:DN)</f>
        <v>5</v>
      </c>
      <c r="G46">
        <f>SUMIF('Fds Units'!$BB:$BB,Summary!$A45,'Fds Units'!DO:DO)</f>
        <v>5</v>
      </c>
      <c r="H46">
        <f>SUMIF('Fds Units'!$BE:$BE,Summary!$A45,'Fds Units'!DP:DP)</f>
        <v>5</v>
      </c>
      <c r="I46">
        <f>SUMIF('Fds Units'!$BH:$BH,Summary!$A45,'Fds Units'!DQ:DQ)</f>
        <v>6</v>
      </c>
      <c r="J46">
        <f>SUMIF('Fds Units'!$BK:$BK,Summary!$A45,'Fds Units'!DR:DR)</f>
        <v>3</v>
      </c>
      <c r="K46">
        <f>SUMIF('Fds Units'!$BN:$BN,Summary!$A45,'Fds Units'!DS:DS)</f>
        <v>3</v>
      </c>
      <c r="L46">
        <f>SUMIF('Fds Units'!$BQ:$BQ,Summary!$A45,'Fds Units'!DT:DT)</f>
        <v>1</v>
      </c>
      <c r="M46">
        <f>SUMIF('Fds Units'!$BT:$BT,Summary!$A45,'Fds Units'!DU:DU)</f>
        <v>0</v>
      </c>
      <c r="N46" s="46">
        <f>SUMIF('Fds Units'!$BW:$BW,Summary!$A45,'Fds Units'!DV:DV)</f>
        <v>0</v>
      </c>
      <c r="O46" s="45">
        <f>SUMIF('Fds Units'!$BZ:$BZ,Summary!$A45,'Fds Units'!DW:DW)</f>
        <v>0</v>
      </c>
      <c r="P46">
        <f>SUMIF('Fds Units'!$CC:$CC,Summary!$A45,'Fds Units'!DX:DX)</f>
        <v>0</v>
      </c>
      <c r="Q46">
        <f>SUMIF('Fds Units'!$CF:$CF,Summary!$A45,'Fds Units'!DY:DY)</f>
        <v>0</v>
      </c>
      <c r="R46">
        <f>SUMIF('Fds Units'!$CI:$CI,Summary!$A45,'Fds Units'!DZ:DZ)</f>
        <v>0</v>
      </c>
      <c r="S46">
        <f>SUMIF('Fds Units'!$CL:$CL,Summary!$A45,'Fds Units'!EA:EA)</f>
        <v>0</v>
      </c>
      <c r="T46">
        <f>SUMIF('Fds Units'!$CO:$CO,Summary!$A45,'Fds Units'!EB:EB)</f>
        <v>0</v>
      </c>
      <c r="U46">
        <f>SUMIF('Fds Units'!$CR:$CR,Summary!$A45,'Fds Units'!EC:EC)</f>
        <v>0</v>
      </c>
      <c r="V46">
        <f>SUMIF('Fds Units'!$CU:$CU,Summary!$A45,'Fds Units'!ED:ED)</f>
        <v>0</v>
      </c>
      <c r="W46">
        <f>SUMIF('Fds Units'!$CX:$CX,Summary!$A45,'Fds Units'!EE:EE)</f>
        <v>0</v>
      </c>
      <c r="X46">
        <f>SUMIF('Fds Units'!$DA:$DA,Summary!$A45,'Fds Units'!EF:EF)</f>
        <v>0</v>
      </c>
      <c r="Y46">
        <f>SUMIF('Fds Units'!$DD:$DD,Summary!$A45,'Fds Units'!EG:EG)</f>
        <v>0</v>
      </c>
      <c r="Z46" s="46">
        <f>SUMIF('Fds Units'!$DG:$DG,Summary!$A45,'Fds Units'!EH:EH)</f>
        <v>0</v>
      </c>
    </row>
    <row r="47" spans="1:26" ht="15.75" hidden="1" thickBot="1" x14ac:dyDescent="0.3">
      <c r="A47" s="258"/>
      <c r="B47" t="s">
        <v>590</v>
      </c>
      <c r="C47">
        <f t="shared" ref="C47:N47" si="75">+C$11-C46</f>
        <v>23</v>
      </c>
      <c r="D47">
        <f t="shared" si="75"/>
        <v>22</v>
      </c>
      <c r="E47">
        <f t="shared" si="75"/>
        <v>22</v>
      </c>
      <c r="F47">
        <f t="shared" si="75"/>
        <v>22</v>
      </c>
      <c r="G47">
        <f t="shared" si="75"/>
        <v>23</v>
      </c>
      <c r="H47">
        <f t="shared" si="75"/>
        <v>24</v>
      </c>
      <c r="I47">
        <f t="shared" ref="I47" si="76">+I$11-I46</f>
        <v>19</v>
      </c>
      <c r="J47">
        <f t="shared" si="75"/>
        <v>22</v>
      </c>
      <c r="K47">
        <f t="shared" si="75"/>
        <v>22</v>
      </c>
      <c r="L47">
        <f t="shared" si="75"/>
        <v>26</v>
      </c>
      <c r="M47">
        <f t="shared" si="75"/>
        <v>19</v>
      </c>
      <c r="N47" s="46">
        <f t="shared" si="75"/>
        <v>22</v>
      </c>
      <c r="O47" s="45">
        <f>+O$11-O46</f>
        <v>26</v>
      </c>
      <c r="P47">
        <f t="shared" ref="P47" si="77">+P$11-P46</f>
        <v>24</v>
      </c>
      <c r="Q47">
        <f t="shared" ref="Q47" si="78">+Q$11-Q46</f>
        <v>26</v>
      </c>
      <c r="R47">
        <f t="shared" ref="R47" si="79">+R$11-R46</f>
        <v>26</v>
      </c>
      <c r="S47">
        <f t="shared" ref="S47" si="80">+S$11-S46</f>
        <v>25</v>
      </c>
      <c r="T47">
        <f t="shared" ref="T47" si="81">+T$11-T46</f>
        <v>26</v>
      </c>
      <c r="U47">
        <f t="shared" ref="U47" si="82">+U$11-U46</f>
        <v>26</v>
      </c>
      <c r="V47">
        <f t="shared" ref="V47" si="83">+V$11-V46</f>
        <v>26</v>
      </c>
      <c r="W47">
        <f t="shared" ref="W47" si="84">+W$11-W46</f>
        <v>25</v>
      </c>
      <c r="X47">
        <f t="shared" ref="X47" si="85">+X$11-X46</f>
        <v>27</v>
      </c>
      <c r="Y47">
        <f t="shared" ref="Y47" si="86">+Y$11-Y46</f>
        <v>23</v>
      </c>
      <c r="Z47" s="46">
        <f t="shared" ref="Z47" si="87">+Z$11-Z46</f>
        <v>25</v>
      </c>
    </row>
    <row r="48" spans="1:26" ht="15.75" hidden="1" thickBot="1" x14ac:dyDescent="0.3">
      <c r="A48" s="259"/>
      <c r="B48" s="54" t="s">
        <v>591</v>
      </c>
      <c r="C48" s="55">
        <f>SUMIF('Fds Units'!$AP:$AP,Summary!$A45,'Fds Units'!EJ:EJ)</f>
        <v>6</v>
      </c>
      <c r="D48" s="55">
        <f>SUMIF('Fds Units'!$AS:$AS,Summary!$A45,'Fds Units'!EK:EK)</f>
        <v>6</v>
      </c>
      <c r="E48" s="55">
        <f>SUMIF('Fds Units'!$AV:$AV,Summary!$A45,'Fds Units'!EL:EL)</f>
        <v>8</v>
      </c>
      <c r="F48" s="55">
        <f>SUMIF('Fds Units'!$AY:$AY,Summary!$A45,'Fds Units'!EM:EM)</f>
        <v>10</v>
      </c>
      <c r="G48" s="55">
        <f>SUMIF('Fds Units'!$BB:$BB,Summary!$A45,'Fds Units'!EN:EN)</f>
        <v>10</v>
      </c>
      <c r="H48" s="55">
        <f>SUMIF('Fds Units'!$BE:$BE,Summary!$A45,'Fds Units'!EO:EO)</f>
        <v>10</v>
      </c>
      <c r="I48" s="55">
        <f>SUMIF('Fds Units'!$BH:$BH,Summary!$A45,'Fds Units'!EP:EP)</f>
        <v>12</v>
      </c>
      <c r="J48" s="55">
        <f>SUMIF('Fds Units'!$BK:$BK,Summary!$A45,'Fds Units'!EQ:EQ)</f>
        <v>6</v>
      </c>
      <c r="K48" s="55">
        <f>SUMIF('Fds Units'!$BN:$BN,Summary!$A45,'Fds Units'!ER:ER)</f>
        <v>6</v>
      </c>
      <c r="L48" s="55">
        <f>SUMIF('Fds Units'!$BQ:$BQ,Summary!$A45,'Fds Units'!ES:ES)</f>
        <v>2</v>
      </c>
      <c r="M48" s="55">
        <f>SUMIF('Fds Units'!$BT:$BT,Summary!$A45,'Fds Units'!ET:ET)</f>
        <v>0</v>
      </c>
      <c r="N48" s="56">
        <f>SUMIF('Fds Units'!$BW:$BW,Summary!$A45,'Fds Units'!EU:EU)</f>
        <v>0</v>
      </c>
      <c r="O48" s="115">
        <f>SUMIF('Fds Units'!$BZ:$BZ,Summary!$A45,'Fds Units'!EV:EV)</f>
        <v>0</v>
      </c>
      <c r="P48" s="55">
        <f>SUMIF('Fds Units'!$CC:$CC,Summary!$A45,'Fds Units'!EW:EW)</f>
        <v>0</v>
      </c>
      <c r="Q48" s="55">
        <f>SUMIF('Fds Units'!$CF:$CF,Summary!$A45,'Fds Units'!EX:EX)</f>
        <v>0</v>
      </c>
      <c r="R48" s="55">
        <f>SUMIF('Fds Units'!$CI:$CI,Summary!$A45,'Fds Units'!EY:EY)</f>
        <v>0</v>
      </c>
      <c r="S48" s="55">
        <f>SUMIF('Fds Units'!$CL:$CL,Summary!$A45,'Fds Units'!EZ:EZ)</f>
        <v>0</v>
      </c>
      <c r="T48" s="55">
        <f>SUMIF('Fds Units'!$CO:$CO,Summary!$A45,'Fds Units'!FA:FA)</f>
        <v>0</v>
      </c>
      <c r="U48" s="55">
        <f>SUMIF('Fds Units'!$CR:$CR,Summary!$A45,'Fds Units'!FB:FB)</f>
        <v>0</v>
      </c>
      <c r="V48" s="55">
        <f>SUMIF('Fds Units'!$CU:$CU,Summary!$A45,'Fds Units'!FC:FC)</f>
        <v>0</v>
      </c>
      <c r="W48" s="55">
        <f>SUMIF('Fds Units'!$CX:$CX,Summary!$A45,'Fds Units'!FD:FD)</f>
        <v>0</v>
      </c>
      <c r="X48" s="55">
        <f>SUMIF('Fds Units'!$DA:$DA,Summary!$A45,'Fds Units'!FE:FE)</f>
        <v>0</v>
      </c>
      <c r="Y48" s="55">
        <f>SUMIF('Fds Units'!$DD:$DD,Summary!$A45,'Fds Units'!FF:FF)</f>
        <v>0</v>
      </c>
      <c r="Z48" s="56">
        <f>SUMIF('Fds Units'!$DG:$DG,Summary!$A45,'Fds Units'!FG:FG)</f>
        <v>0</v>
      </c>
    </row>
    <row r="49" spans="1:26" ht="15.75" hidden="1" thickBot="1" x14ac:dyDescent="0.3">
      <c r="A49" s="64"/>
      <c r="C49" s="96">
        <f t="shared" ref="C49:Z49" si="88">+C45/C$74</f>
        <v>9.5092203369714495E-3</v>
      </c>
      <c r="D49" s="96">
        <f t="shared" si="88"/>
        <v>7.0946735775392579E-3</v>
      </c>
      <c r="E49" s="96">
        <f t="shared" si="88"/>
        <v>1.0734679534839357E-2</v>
      </c>
      <c r="F49" s="96">
        <f t="shared" si="88"/>
        <v>1.5532393093013059E-2</v>
      </c>
      <c r="G49" s="96">
        <f t="shared" si="88"/>
        <v>1.4851831293320076E-2</v>
      </c>
      <c r="H49" s="96">
        <f t="shared" si="88"/>
        <v>1.6256670561189672E-2</v>
      </c>
      <c r="I49" s="96">
        <f t="shared" ref="I49" si="89">+I45/I$74</f>
        <v>1.9441206796172401E-2</v>
      </c>
      <c r="J49" s="96">
        <f t="shared" si="88"/>
        <v>1.8764242018886924E-2</v>
      </c>
      <c r="K49" s="96">
        <f t="shared" si="88"/>
        <v>1.8433743342304972E-2</v>
      </c>
      <c r="L49" s="96">
        <f t="shared" si="88"/>
        <v>2.3958927098228812E-3</v>
      </c>
      <c r="M49" s="96">
        <f t="shared" si="88"/>
        <v>0</v>
      </c>
      <c r="N49" s="96">
        <f t="shared" si="88"/>
        <v>0</v>
      </c>
      <c r="O49" s="96">
        <f t="shared" si="88"/>
        <v>0</v>
      </c>
      <c r="P49" s="96">
        <f t="shared" si="88"/>
        <v>0</v>
      </c>
      <c r="Q49" s="96">
        <f t="shared" si="88"/>
        <v>0</v>
      </c>
      <c r="R49" s="96">
        <f t="shared" si="88"/>
        <v>0</v>
      </c>
      <c r="S49" s="96">
        <f t="shared" si="88"/>
        <v>0</v>
      </c>
      <c r="T49" s="96">
        <f t="shared" si="88"/>
        <v>0</v>
      </c>
      <c r="U49" s="96">
        <f t="shared" si="88"/>
        <v>0</v>
      </c>
      <c r="V49" s="96">
        <f t="shared" si="88"/>
        <v>0</v>
      </c>
      <c r="W49" s="96">
        <f t="shared" si="88"/>
        <v>0</v>
      </c>
      <c r="X49" s="96">
        <f t="shared" si="88"/>
        <v>0</v>
      </c>
      <c r="Y49" s="96">
        <f t="shared" si="88"/>
        <v>0</v>
      </c>
      <c r="Z49" s="96">
        <f t="shared" si="88"/>
        <v>0</v>
      </c>
    </row>
    <row r="50" spans="1:26" x14ac:dyDescent="0.25">
      <c r="A50" s="257" t="s">
        <v>73</v>
      </c>
      <c r="B50" s="51" t="s">
        <v>589</v>
      </c>
      <c r="C50" s="52">
        <f>SUMIF('Fds Units'!$AP:$AP,Summary!$A50,'Fds Units'!B:B)</f>
        <v>16536</v>
      </c>
      <c r="D50" s="52">
        <f>SUMIF('Fds Units'!$AS:$AS,Summary!$A50,'Fds Units'!C:C)</f>
        <v>47824</v>
      </c>
      <c r="E50" s="52">
        <f>SUMIF('Fds Units'!$AV:$AV,Summary!$A50,'Fds Units'!D:D)</f>
        <v>0</v>
      </c>
      <c r="F50" s="52">
        <f>SUMIF('Fds Units'!$AY:$AY,Summary!$A50,'Fds Units'!E:E)</f>
        <v>25798</v>
      </c>
      <c r="G50" s="52">
        <f>SUMIF('Fds Units'!$BB:$BB,Summary!$A50,'Fds Units'!F:F)</f>
        <v>46054</v>
      </c>
      <c r="H50" s="52">
        <f>SUMIF('Fds Units'!$BE:$BE,Summary!$A50,'Fds Units'!G:G)</f>
        <v>0</v>
      </c>
      <c r="I50" s="52">
        <f>SUMIF('Fds Units'!$BH:$BH,Summary!$A50,'Fds Units'!H:H)</f>
        <v>754</v>
      </c>
      <c r="J50" s="52">
        <f>SUMIF('Fds Units'!$BK:$BK,Summary!$A50,'Fds Units'!I:I)</f>
        <v>18378</v>
      </c>
      <c r="K50" s="52">
        <f>SUMIF('Fds Units'!$BN:$BN,Summary!$A50,'Fds Units'!J:J)</f>
        <v>38231</v>
      </c>
      <c r="L50" s="52">
        <f>SUMIF('Fds Units'!$BQ:$BQ,Summary!$A50,'Fds Units'!K:K)</f>
        <v>0</v>
      </c>
      <c r="M50" s="52">
        <f>SUMIF('Fds Units'!$BT:$BT,Summary!$A50,'Fds Units'!L:L)+SUMIF('Fds Units'!$BT:$BT,Summary!$A50,'Fds Units'!N:N)</f>
        <v>64748</v>
      </c>
      <c r="N50" s="53">
        <f>SUMIF('Fds Units'!$BW:$BW,Summary!$A50,'Fds Units'!R:R)</f>
        <v>22800</v>
      </c>
      <c r="O50" s="114">
        <f>SUMIF('Fds Units'!$BZ:$BZ,Summary!$A50,'Fds Units'!V:V)</f>
        <v>22200</v>
      </c>
      <c r="P50" s="52">
        <f>SUMIF('Fds Units'!$BZ:$BZ,Summary!$A$50,'Fds Units'!Z:Z)</f>
        <v>52300</v>
      </c>
      <c r="Q50" s="52">
        <f>SUMIF('Fds Units'!$BZ:$BZ,Summary!$A$50,'Fds Units'!AC:AC)</f>
        <v>2375</v>
      </c>
      <c r="R50" s="52">
        <f>SUMIF('Fds Units'!$BZ:$BZ,Summary!$A$50,'Fds Units'!AF:AF)</f>
        <v>25000</v>
      </c>
      <c r="S50" s="52">
        <f>SUMIF('Fds Units'!$BZ:$BZ,Summary!$A$50,'Fds Units'!AG:AG)</f>
        <v>0</v>
      </c>
      <c r="T50" s="52">
        <f>SUMIF('Fds Units'!$BZ:$BZ,Summary!$A$50,'Fds Units'!AH:AH)</f>
        <v>0</v>
      </c>
      <c r="U50" s="52">
        <f>SUMIF('Fds Units'!$BZ:$BZ,Summary!$A$50,'Fds Units'!AI:AI)</f>
        <v>18333</v>
      </c>
      <c r="V50" s="52">
        <f>SUMIF('Fds Units'!$BZ:$BZ,Summary!$A$50,'Fds Units'!AJ:AJ)</f>
        <v>18333</v>
      </c>
      <c r="W50" s="52">
        <f>SUMIF('Fds Units'!$BZ:$BZ,Summary!$A$50,'Fds Units'!AK:AK)</f>
        <v>18333</v>
      </c>
      <c r="X50" s="52">
        <f>SUMIF('Fds Units'!$BZ:$BZ,Summary!$A$50,'Fds Units'!AL:AL)</f>
        <v>18333</v>
      </c>
      <c r="Y50" s="52">
        <f>SUMIF('Fds Units'!$BZ:$BZ,Summary!$A$50,'Fds Units'!AM:AM)</f>
        <v>18333</v>
      </c>
      <c r="Z50" s="53">
        <f>SUMIF('Fds Units'!$BZ:$BZ,Summary!$A$50,'Fds Units'!AN:AN)</f>
        <v>18333</v>
      </c>
    </row>
    <row r="51" spans="1:26" x14ac:dyDescent="0.25">
      <c r="A51" s="258"/>
      <c r="B51" t="s">
        <v>80</v>
      </c>
      <c r="C51">
        <f>SUMIF('Fds Units'!$AP:$AP,Summary!$A50,'Fds Units'!DK:DK)</f>
        <v>6</v>
      </c>
      <c r="D51">
        <f>SUMIF('Fds Units'!$AS:$AS,Summary!$A50,'Fds Units'!DL:DL)</f>
        <v>11</v>
      </c>
      <c r="E51">
        <f>SUMIF('Fds Units'!$AV:$AV,Summary!$A50,'Fds Units'!DM:DM)</f>
        <v>0</v>
      </c>
      <c r="F51">
        <f>SUMIF('Fds Units'!$AY:$AY,Summary!$A50,'Fds Units'!DN:DN)</f>
        <v>6</v>
      </c>
      <c r="G51">
        <f>SUMIF('Fds Units'!$BB:$BB,Summary!$A50,'Fds Units'!DO:DO)</f>
        <v>12</v>
      </c>
      <c r="H51">
        <f>SUMIF('Fds Units'!$BE:$BE,Summary!$A50,'Fds Units'!DP:DP)</f>
        <v>0</v>
      </c>
      <c r="I51">
        <f>SUMIF('Fds Units'!$BH:$BH,Summary!$A50,'Fds Units'!DQ:DQ)</f>
        <v>1</v>
      </c>
      <c r="J51">
        <f>SUMIF('Fds Units'!$BK:$BK,Summary!$A50,'Fds Units'!DR:DR)</f>
        <v>6</v>
      </c>
      <c r="K51">
        <f>SUMIF('Fds Units'!$BN:$BN,Summary!$A50,'Fds Units'!DS:DS)</f>
        <v>8</v>
      </c>
      <c r="L51">
        <f>SUMIF('Fds Units'!$BQ:$BQ,Summary!$A50,'Fds Units'!DT:DT)</f>
        <v>0</v>
      </c>
      <c r="M51">
        <f>SUMIF('Fds Units'!$BT:$BT,Summary!$A50,'Fds Units'!DU:DU)</f>
        <v>8</v>
      </c>
      <c r="N51" s="46">
        <f>SUMIF('Fds Units'!$BW:$BW,Summary!$A50,'Fds Units'!DV:DV)</f>
        <v>5</v>
      </c>
      <c r="O51" s="45">
        <f>SUMIF('Fds Units'!$BZ:$BZ,Summary!$A50,'Fds Units'!DW:DW)</f>
        <v>5</v>
      </c>
      <c r="P51">
        <f>SUMIF('Fds Units'!$BZ:$BZ,Summary!$A50,'Fds Units'!DX:DX)</f>
        <v>11</v>
      </c>
      <c r="Q51">
        <f>SUMIF('Fds Units'!$BZ:$BZ,Summary!$A50,'Fds Units'!DY:DY)</f>
        <v>1</v>
      </c>
      <c r="R51">
        <f>SUMIF('Fds Units'!$BZ:$BZ,Summary!$A50,'Fds Units'!DZ:DZ)</f>
        <v>5</v>
      </c>
      <c r="S51">
        <f>SUMIF('Fds Units'!$BZ:$BZ,Summary!$A50,'Fds Units'!EA:EA)</f>
        <v>0</v>
      </c>
      <c r="T51">
        <f>SUMIF('Fds Units'!$BZ:$BZ,Summary!$A50,'Fds Units'!EB:EB)</f>
        <v>0</v>
      </c>
      <c r="U51">
        <f>SUMIF('Fds Units'!$BZ:$BZ,Summary!$A50,'Fds Units'!EC:EC)</f>
        <v>4</v>
      </c>
      <c r="V51">
        <f>SUMIF('Fds Units'!$BZ:$BZ,Summary!$A50,'Fds Units'!ED:ED)</f>
        <v>4</v>
      </c>
      <c r="W51">
        <f>SUMIF('Fds Units'!$BZ:$BZ,Summary!$A50,'Fds Units'!EE:EE)</f>
        <v>4</v>
      </c>
      <c r="X51">
        <f>SUMIF('Fds Units'!$BZ:$BZ,Summary!$A50,'Fds Units'!EF:EF)</f>
        <v>4</v>
      </c>
      <c r="Y51">
        <f>SUMIF('Fds Units'!$BZ:$BZ,Summary!$A50,'Fds Units'!EG:EG)</f>
        <v>4</v>
      </c>
      <c r="Z51" s="46">
        <f>SUMIF('Fds Units'!$BZ:$BZ,Summary!$A50,'Fds Units'!EH:EH)</f>
        <v>4</v>
      </c>
    </row>
    <row r="52" spans="1:26" x14ac:dyDescent="0.25">
      <c r="A52" s="258"/>
      <c r="B52" t="s">
        <v>590</v>
      </c>
      <c r="C52">
        <f t="shared" ref="C52:H52" si="90">+C$11-C51</f>
        <v>20</v>
      </c>
      <c r="D52">
        <f t="shared" si="90"/>
        <v>14</v>
      </c>
      <c r="E52">
        <f t="shared" si="90"/>
        <v>26</v>
      </c>
      <c r="F52">
        <f t="shared" si="90"/>
        <v>21</v>
      </c>
      <c r="G52">
        <f t="shared" si="90"/>
        <v>16</v>
      </c>
      <c r="H52">
        <f t="shared" si="90"/>
        <v>29</v>
      </c>
      <c r="I52">
        <f t="shared" ref="I52" si="91">+I$11-I51</f>
        <v>24</v>
      </c>
      <c r="J52">
        <f t="shared" ref="J52:N52" si="92">+J$11-J51</f>
        <v>19</v>
      </c>
      <c r="K52">
        <f t="shared" si="92"/>
        <v>17</v>
      </c>
      <c r="L52">
        <f t="shared" si="92"/>
        <v>27</v>
      </c>
      <c r="M52">
        <f t="shared" si="92"/>
        <v>11</v>
      </c>
      <c r="N52" s="46">
        <f t="shared" si="92"/>
        <v>17</v>
      </c>
      <c r="O52" s="45">
        <f>+O$8-O51</f>
        <v>16</v>
      </c>
      <c r="P52">
        <f t="shared" ref="P52:Z52" si="93">+P$8-P51</f>
        <v>9</v>
      </c>
      <c r="Q52">
        <f t="shared" si="93"/>
        <v>21</v>
      </c>
      <c r="R52">
        <f t="shared" si="93"/>
        <v>17</v>
      </c>
      <c r="S52">
        <f t="shared" si="93"/>
        <v>20</v>
      </c>
      <c r="T52">
        <f t="shared" si="93"/>
        <v>22</v>
      </c>
      <c r="U52">
        <f t="shared" si="93"/>
        <v>18</v>
      </c>
      <c r="V52">
        <f t="shared" si="93"/>
        <v>17</v>
      </c>
      <c r="W52">
        <f t="shared" si="93"/>
        <v>17</v>
      </c>
      <c r="X52">
        <f t="shared" si="93"/>
        <v>18</v>
      </c>
      <c r="Y52">
        <f t="shared" si="93"/>
        <v>15</v>
      </c>
      <c r="Z52" s="46">
        <f t="shared" si="93"/>
        <v>17</v>
      </c>
    </row>
    <row r="53" spans="1:26" ht="15.75" thickBot="1" x14ac:dyDescent="0.3">
      <c r="A53" s="259"/>
      <c r="B53" s="54" t="s">
        <v>591</v>
      </c>
      <c r="C53" s="55">
        <f>SUMIF('Fds Units'!$AP:$AP,Summary!$A50,'Fds Units'!EJ:EJ)</f>
        <v>36</v>
      </c>
      <c r="D53" s="55">
        <f>SUMIF('Fds Units'!$AS:$AS,Summary!$A50,'Fds Units'!EK:EK)</f>
        <v>66</v>
      </c>
      <c r="E53" s="55">
        <f>SUMIF('Fds Units'!$AV:$AV,Summary!$A50,'Fds Units'!EL:EL)</f>
        <v>0</v>
      </c>
      <c r="F53" s="55">
        <f>SUMIF('Fds Units'!$AY:$AY,Summary!$A50,'Fds Units'!EM:EM)</f>
        <v>36</v>
      </c>
      <c r="G53" s="55">
        <f>SUMIF('Fds Units'!$BB:$BB,Summary!$A50,'Fds Units'!EN:EN)</f>
        <v>72</v>
      </c>
      <c r="H53" s="55">
        <f>SUMIF('Fds Units'!$BE:$BE,Summary!$A50,'Fds Units'!EO:EO)</f>
        <v>0</v>
      </c>
      <c r="I53" s="55">
        <f>SUMIF('Fds Units'!$BH:$BH,Summary!$A50,'Fds Units'!EP:EP)</f>
        <v>6</v>
      </c>
      <c r="J53" s="55">
        <f>SUMIF('Fds Units'!$BK:$BK,Summary!$A50,'Fds Units'!EQ:EQ)</f>
        <v>36</v>
      </c>
      <c r="K53" s="55">
        <f>SUMIF('Fds Units'!$BN:$BN,Summary!$A50,'Fds Units'!ER:ER)</f>
        <v>48</v>
      </c>
      <c r="L53" s="55">
        <f>SUMIF('Fds Units'!$BQ:$BQ,Summary!$A50,'Fds Units'!ES:ES)</f>
        <v>0</v>
      </c>
      <c r="M53" s="55">
        <f>SUMIF('Fds Units'!$BT:$BT,Summary!$A50,'Fds Units'!ET:ET)</f>
        <v>48</v>
      </c>
      <c r="N53" s="56">
        <f>SUMIF('Fds Units'!$BW:$BW,Summary!$A50,'Fds Units'!EU:EU)</f>
        <v>30</v>
      </c>
      <c r="O53" s="115">
        <f>SUMIF('Fds Units'!$BZ:$BZ,Summary!$A50,'Fds Units'!EV:EV)</f>
        <v>30</v>
      </c>
      <c r="P53" s="55">
        <f>SUMIF('Fds Units'!$CC:$CC,Summary!$A50,'Fds Units'!EW:EW)</f>
        <v>66</v>
      </c>
      <c r="Q53" s="55">
        <f>SUMIF('Fds Units'!$CF:$CF,Summary!$A50,'Fds Units'!EX:EX)</f>
        <v>6</v>
      </c>
      <c r="R53" s="55">
        <f>SUMIF('Fds Units'!$CI:$CI,Summary!$A50,'Fds Units'!EY:EY)</f>
        <v>30</v>
      </c>
      <c r="S53" s="55">
        <f>SUMIF('Fds Units'!$CL:$CL,Summary!$A50,'Fds Units'!EZ:EZ)</f>
        <v>9</v>
      </c>
      <c r="T53" s="55">
        <f>SUMIF('Fds Units'!$CO:$CO,Summary!$A50,'Fds Units'!FA:FA)</f>
        <v>9</v>
      </c>
      <c r="U53" s="55">
        <f>SUMIF('Fds Units'!$CR:$CR,Summary!$A50,'Fds Units'!FB:FB)</f>
        <v>33</v>
      </c>
      <c r="V53" s="55">
        <f>SUMIF('Fds Units'!$CU:$CU,Summary!$A50,'Fds Units'!FC:FC)</f>
        <v>33</v>
      </c>
      <c r="W53" s="55">
        <f>SUMIF('Fds Units'!$CX:$CX,Summary!$A50,'Fds Units'!FD:FD)</f>
        <v>33</v>
      </c>
      <c r="X53" s="55">
        <f>SUMIF('Fds Units'!$DA:$DA,Summary!$A50,'Fds Units'!FE:FE)</f>
        <v>33</v>
      </c>
      <c r="Y53" s="55">
        <f>SUMIF('Fds Units'!$DD:$DD,Summary!$A50,'Fds Units'!FF:FF)</f>
        <v>33</v>
      </c>
      <c r="Z53" s="56">
        <f>SUMIF('Fds Units'!$DG:$DG,Summary!$A50,'Fds Units'!FG:FG)</f>
        <v>24</v>
      </c>
    </row>
    <row r="54" spans="1:26" ht="15.75" thickBot="1" x14ac:dyDescent="0.3">
      <c r="A54" s="64"/>
      <c r="C54" s="96">
        <f t="shared" ref="C54:Z54" si="94">+C50/C$74</f>
        <v>1.232767827682079E-3</v>
      </c>
      <c r="D54" s="96">
        <f t="shared" si="94"/>
        <v>3.9888511676589447E-3</v>
      </c>
      <c r="E54" s="96">
        <f t="shared" si="94"/>
        <v>0</v>
      </c>
      <c r="F54" s="96">
        <f t="shared" si="94"/>
        <v>1.9215869188480728E-3</v>
      </c>
      <c r="G54" s="96">
        <f t="shared" si="94"/>
        <v>3.2925902634729958E-3</v>
      </c>
      <c r="H54" s="96">
        <f t="shared" si="94"/>
        <v>0</v>
      </c>
      <c r="I54" s="96">
        <f t="shared" ref="I54" si="95">+I50/I$74</f>
        <v>6.6886920386911565E-5</v>
      </c>
      <c r="J54" s="96">
        <f t="shared" si="94"/>
        <v>2.4427421661585708E-3</v>
      </c>
      <c r="K54" s="96">
        <f t="shared" si="94"/>
        <v>4.9375429424558179E-3</v>
      </c>
      <c r="L54" s="96">
        <f t="shared" si="94"/>
        <v>0</v>
      </c>
      <c r="M54" s="96">
        <f t="shared" si="94"/>
        <v>3.862199388578548E-3</v>
      </c>
      <c r="N54" s="96">
        <f t="shared" si="94"/>
        <v>2.1826711989642649E-3</v>
      </c>
      <c r="O54" s="96">
        <f t="shared" si="94"/>
        <v>1.769168462133579E-3</v>
      </c>
      <c r="P54" s="96">
        <f t="shared" si="94"/>
        <v>3.4322404852124904E-3</v>
      </c>
      <c r="Q54" s="96">
        <f t="shared" si="94"/>
        <v>1.7865278946961033E-4</v>
      </c>
      <c r="R54" s="96">
        <f t="shared" si="94"/>
        <v>1.3031293661349413E-3</v>
      </c>
      <c r="S54" s="96">
        <f t="shared" si="94"/>
        <v>0</v>
      </c>
      <c r="T54" s="96">
        <f t="shared" si="94"/>
        <v>0</v>
      </c>
      <c r="U54" s="96">
        <f t="shared" si="94"/>
        <v>1.6401762207550331E-3</v>
      </c>
      <c r="V54" s="96">
        <f t="shared" si="94"/>
        <v>1.7507681336420631E-3</v>
      </c>
      <c r="W54" s="96">
        <f t="shared" si="94"/>
        <v>1.8983234142837162E-3</v>
      </c>
      <c r="X54" s="96">
        <f t="shared" si="94"/>
        <v>1.6202665087850275E-3</v>
      </c>
      <c r="Y54" s="96">
        <f t="shared" si="94"/>
        <v>1.9162656307076629E-3</v>
      </c>
      <c r="Z54" s="96">
        <f t="shared" si="94"/>
        <v>2.3106761639284392E-3</v>
      </c>
    </row>
    <row r="55" spans="1:26" ht="15.75" hidden="1" thickBot="1" x14ac:dyDescent="0.3">
      <c r="A55" s="257" t="s">
        <v>607</v>
      </c>
      <c r="B55" s="51" t="s">
        <v>589</v>
      </c>
      <c r="C55" s="52">
        <f>SUMIF('Fds Units'!$AP:$AP,Summary!$A55,'Fds Units'!B:B)</f>
        <v>2778648</v>
      </c>
      <c r="D55" s="52">
        <f>SUMIF('Fds Units'!$AS:$AS,Summary!$A55,'Fds Units'!C:C)</f>
        <v>2613096</v>
      </c>
      <c r="E55" s="52">
        <f>SUMIF('Fds Units'!$AV:$AV,Summary!$A55,'Fds Units'!D:D)</f>
        <v>2394792</v>
      </c>
      <c r="F55" s="52">
        <f>SUMIF('Fds Units'!$AY:$AY,Summary!$A55,'Fds Units'!E:E)</f>
        <v>1818792</v>
      </c>
      <c r="G55" s="52">
        <f>SUMIF('Fds Units'!$BB:$BB,Summary!$A55,'Fds Units'!F:F)</f>
        <v>2181432</v>
      </c>
      <c r="H55" s="52">
        <f>SUMIF('Fds Units'!$BE:$BE,Summary!$A55,'Fds Units'!G:G)</f>
        <v>1158108</v>
      </c>
      <c r="I55" s="52">
        <f>SUMIF('Fds Units'!$BH:$BH,Summary!$A55,'Fds Units'!H:H)</f>
        <v>0</v>
      </c>
      <c r="J55" s="52">
        <f>SUMIF('Fds Units'!$BK:$BK,Summary!$A55,'Fds Units'!I:I)</f>
        <v>0</v>
      </c>
      <c r="K55" s="52">
        <f>SUMIF('Fds Units'!$BN:$BN,Summary!$A55,'Fds Units'!J:J)</f>
        <v>0</v>
      </c>
      <c r="L55" s="52">
        <f>SUMIF('Fds Units'!$BQ:$BQ,Summary!$A55,'Fds Units'!N:N)+SUMIF('Fds Units'!$BQ:$BQ,Summary!$A55,'Fds Units'!L:L)</f>
        <v>49992</v>
      </c>
      <c r="M55" s="52">
        <f>SUMIF('Fds Units'!$BT:$BT,Summary!$A55,'Fds Units'!R:R)</f>
        <v>0</v>
      </c>
      <c r="N55" s="53">
        <f>SUMIF('Fds Units'!$BW:$BW,Summary!$A55,'Fds Units'!U:U)</f>
        <v>0</v>
      </c>
      <c r="O55" s="114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3"/>
    </row>
    <row r="56" spans="1:26" ht="15.75" hidden="1" thickBot="1" x14ac:dyDescent="0.3">
      <c r="A56" s="258"/>
      <c r="B56" t="s">
        <v>80</v>
      </c>
      <c r="C56">
        <f>SUMIF('Fds Units'!$AP:$AP,Summary!$A55,'Fds Units'!DK:DK)</f>
        <v>25</v>
      </c>
      <c r="D56">
        <f>SUMIF('Fds Units'!$AS:$AS,Summary!$A55,'Fds Units'!DL:DL)</f>
        <v>24</v>
      </c>
      <c r="E56">
        <f>SUMIF('Fds Units'!$AV:$AV,Summary!$A55,'Fds Units'!DM:DM)</f>
        <v>22</v>
      </c>
      <c r="F56">
        <f>SUMIF('Fds Units'!$AY:$AY,Summary!$A55,'Fds Units'!DN:DN)</f>
        <v>18</v>
      </c>
      <c r="G56">
        <f>SUMIF('Fds Units'!$BB:$BB,Summary!$A55,'Fds Units'!DO:DO)</f>
        <v>24</v>
      </c>
      <c r="H56">
        <f>SUMIF('Fds Units'!$BE:$BE,Summary!$A55,'Fds Units'!DP:DP)</f>
        <v>12</v>
      </c>
      <c r="I56">
        <f>SUMIF('Fds Units'!$BH:$BH,Summary!$A55,'Fds Units'!DQ:DQ)</f>
        <v>0</v>
      </c>
      <c r="J56">
        <f>SUMIF('Fds Units'!$BK:$BK,Summary!$A55,'Fds Units'!DR:DR)</f>
        <v>0</v>
      </c>
      <c r="K56">
        <f>SUMIF('Fds Units'!$BN:$BN,Summary!$A55,'Fds Units'!DS:DS)</f>
        <v>0</v>
      </c>
      <c r="L56">
        <f>SUMIF('Fds Units'!$BQ:$BQ,Summary!$A55,'Fds Units'!DT:DT)</f>
        <v>0</v>
      </c>
      <c r="M56">
        <f>SUMIF('Fds Units'!$BT:$BT,Summary!$A55,'Fds Units'!DU:DU)</f>
        <v>0</v>
      </c>
      <c r="N56" s="46">
        <f>SUMIF('Fds Units'!$BW:$BW,Summary!$A55,'Fds Units'!DV:DV)</f>
        <v>0</v>
      </c>
      <c r="O56" s="45"/>
      <c r="Z56" s="46"/>
    </row>
    <row r="57" spans="1:26" ht="15.75" hidden="1" thickBot="1" x14ac:dyDescent="0.3">
      <c r="A57" s="258"/>
      <c r="B57" t="s">
        <v>590</v>
      </c>
      <c r="C57">
        <f t="shared" ref="C57:G57" si="96">+C$11-C56</f>
        <v>1</v>
      </c>
      <c r="D57">
        <f t="shared" si="96"/>
        <v>1</v>
      </c>
      <c r="E57">
        <f t="shared" si="96"/>
        <v>4</v>
      </c>
      <c r="F57">
        <f t="shared" si="96"/>
        <v>9</v>
      </c>
      <c r="G57">
        <f t="shared" si="96"/>
        <v>4</v>
      </c>
      <c r="H57">
        <f>+H$11-H56-16</f>
        <v>1</v>
      </c>
      <c r="I57">
        <f>+I$11-I56-16</f>
        <v>9</v>
      </c>
      <c r="J57">
        <f t="shared" ref="J57:N57" si="97">+J$11-J56</f>
        <v>25</v>
      </c>
      <c r="K57">
        <f t="shared" si="97"/>
        <v>25</v>
      </c>
      <c r="L57">
        <f t="shared" si="97"/>
        <v>27</v>
      </c>
      <c r="M57">
        <f t="shared" si="97"/>
        <v>19</v>
      </c>
      <c r="N57" s="46">
        <f t="shared" si="97"/>
        <v>22</v>
      </c>
      <c r="O57" s="45"/>
      <c r="Z57" s="46"/>
    </row>
    <row r="58" spans="1:26" ht="15.75" hidden="1" thickBot="1" x14ac:dyDescent="0.3">
      <c r="A58" s="259"/>
      <c r="B58" s="54" t="s">
        <v>591</v>
      </c>
      <c r="C58" s="55">
        <f>SUMIF('Fds Units'!$AP:$AP,Summary!$A55,'Fds Units'!EJ:EJ)</f>
        <v>270</v>
      </c>
      <c r="D58" s="55">
        <f>SUMIF('Fds Units'!$AS:$AS,Summary!$A55,'Fds Units'!EK:EK)</f>
        <v>294</v>
      </c>
      <c r="E58" s="55">
        <f>SUMIF('Fds Units'!$AV:$AV,Summary!$A55,'Fds Units'!EL:EL)</f>
        <v>210</v>
      </c>
      <c r="F58" s="55">
        <f>SUMIF('Fds Units'!$AY:$AY,Summary!$A55,'Fds Units'!EM:EM)</f>
        <v>159</v>
      </c>
      <c r="G58" s="55">
        <f>SUMIF('Fds Units'!$BB:$BB,Summary!$A55,'Fds Units'!EN:EN)</f>
        <v>297</v>
      </c>
      <c r="H58" s="55">
        <f>SUMIF('Fds Units'!$BE:$BE,Summary!$A55,'Fds Units'!EO:EO)</f>
        <v>144</v>
      </c>
      <c r="I58" s="55">
        <f>SUMIF('Fds Units'!$BH:$BH,Summary!$A55,'Fds Units'!EP:EP)</f>
        <v>0</v>
      </c>
      <c r="J58" s="55">
        <f>SUMIF('Fds Units'!$BK:$BK,Summary!$A55,'Fds Units'!EQ:EQ)</f>
        <v>0</v>
      </c>
      <c r="K58" s="55">
        <f>SUMIF('Fds Units'!$BN:$BN,Summary!$A55,'Fds Units'!ER:ER)</f>
        <v>0</v>
      </c>
      <c r="L58" s="55">
        <f>SUMIF('Fds Units'!$BQ:$BQ,Summary!$A55,'Fds Units'!ES:ES)</f>
        <v>0</v>
      </c>
      <c r="M58" s="55">
        <f>SUMIF('Fds Units'!$BT:$BT,Summary!$A55,'Fds Units'!ET:ET)</f>
        <v>0</v>
      </c>
      <c r="N58" s="56">
        <f>SUMIF('Fds Units'!$BW:$BW,Summary!$A55,'Fds Units'!EU:EU)</f>
        <v>0</v>
      </c>
      <c r="O58" s="11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6"/>
    </row>
    <row r="59" spans="1:26" ht="15.75" hidden="1" thickBot="1" x14ac:dyDescent="0.3">
      <c r="A59" s="64"/>
      <c r="C59" s="96">
        <f>+C55/C$74</f>
        <v>0.2071497253781539</v>
      </c>
      <c r="D59" s="96">
        <f t="shared" ref="D59:N59" si="98">+D55/D$74</f>
        <v>0.21795021392616504</v>
      </c>
      <c r="E59" s="96">
        <f t="shared" si="98"/>
        <v>0.18601268196261278</v>
      </c>
      <c r="F59" s="96">
        <f t="shared" si="98"/>
        <v>0.13547433581306784</v>
      </c>
      <c r="G59" s="96">
        <f t="shared" si="98"/>
        <v>0.15595956406888487</v>
      </c>
      <c r="H59" s="96">
        <f t="shared" si="98"/>
        <v>8.2520185098743148E-2</v>
      </c>
      <c r="I59" s="96">
        <f t="shared" ref="I59" si="99">+I55/I$74</f>
        <v>0</v>
      </c>
      <c r="J59" s="96">
        <f t="shared" si="98"/>
        <v>0</v>
      </c>
      <c r="K59" s="96">
        <f t="shared" si="98"/>
        <v>0</v>
      </c>
      <c r="L59" s="96">
        <f t="shared" si="98"/>
        <v>4.979233770503657E-3</v>
      </c>
      <c r="M59" s="96">
        <f t="shared" si="98"/>
        <v>0</v>
      </c>
      <c r="N59" s="96">
        <f t="shared" si="98"/>
        <v>0</v>
      </c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x14ac:dyDescent="0.25">
      <c r="A60" s="257" t="s">
        <v>604</v>
      </c>
      <c r="B60" s="51" t="s">
        <v>589</v>
      </c>
      <c r="C60" s="52">
        <f>SUMIF('Fds Units'!$AP:$AP,Summary!$A60,'Fds Units'!B:B)</f>
        <v>8735500</v>
      </c>
      <c r="D60" s="52">
        <f>SUMIF('Fds Units'!$AS:$AS,Summary!$A60,'Fds Units'!C:C)</f>
        <v>6610250</v>
      </c>
      <c r="E60" s="52">
        <f>SUMIF('Fds Units'!$AV:$AV,Summary!$A60,'Fds Units'!D:D)</f>
        <v>9362500</v>
      </c>
      <c r="F60" s="52">
        <f>SUMIF('Fds Units'!$AY:$AY,Summary!$A60,'Fds Units'!E:E)</f>
        <v>0</v>
      </c>
      <c r="G60" s="52">
        <f>SUMIF('Fds Units'!$BB:$BB,Summary!$A60,'Fds Units'!F:F)</f>
        <v>0</v>
      </c>
      <c r="H60" s="52">
        <f>SUMIF('Fds Units'!$BE:$BE,Summary!$A60,'Fds Units'!G:G)</f>
        <v>4900500</v>
      </c>
      <c r="I60" s="52">
        <f>SUMIF('Fds Units'!$BH:$BH,Summary!$A60,'Fds Units'!H:H)</f>
        <v>12110500</v>
      </c>
      <c r="J60" s="52">
        <f>SUMIF('Fds Units'!$BK:$BK,Summary!$A60,'Fds Units'!I:I)</f>
        <v>6660500</v>
      </c>
      <c r="K60" s="52">
        <f>SUMIF('Fds Units'!$BN:$BN,Summary!$A60,'Fds Units'!J:J)</f>
        <v>3336000</v>
      </c>
      <c r="L60" s="52">
        <f>SUMIF('Fds Units'!$BQ:$BQ,Summary!$A60,'Fds Units'!K:K)</f>
        <v>14016250</v>
      </c>
      <c r="M60" s="52">
        <f>SUMIF('Fds Units'!$BT:$BT,Summary!$A60,'Fds Units'!L:L)+SUMIF('Fds Units'!$BT:$BT,Summary!$A60,'Fds Units'!N:N)</f>
        <v>8354250</v>
      </c>
      <c r="N60" s="53">
        <f>SUMIF('Fds Units'!$BW:$BW,Summary!$A60,'Fds Units'!R:R)</f>
        <v>5152500</v>
      </c>
      <c r="O60" s="114">
        <f>SUMIF('Fds Units'!$BZ:$BZ,Summary!$A60,'Fds Units'!V:V)</f>
        <v>11250000</v>
      </c>
      <c r="P60" s="52">
        <f>SUMIF('Fds Units'!$CC:$CC,Summary!$A60,'Fds Units'!Z:Z)</f>
        <v>7500000</v>
      </c>
      <c r="Q60" s="52">
        <f>SUMIF('Fds Units'!$CF:$CF,Summary!$A60,'Fds Units'!AC:AC)</f>
        <v>3125000</v>
      </c>
      <c r="R60" s="52">
        <f>SUMIF('Fds Units'!$CI:$CI,Summary!$A60,'Fds Units'!AF:AF)</f>
        <v>0</v>
      </c>
      <c r="S60" s="52">
        <f>SUMIF('Fds Units'!$CL:$CL,Summary!$A60,'Fds Units'!AG:AG)</f>
        <v>0</v>
      </c>
      <c r="T60" s="52">
        <f>SUMIF('Fds Units'!$CO:$CO,Summary!$A60,'Fds Units'!AH:AH)</f>
        <v>0</v>
      </c>
      <c r="U60" s="52">
        <f>SUMIF('Fds Units'!$CR:$CR,Summary!$A60,'Fds Units'!AI:AI)</f>
        <v>0</v>
      </c>
      <c r="V60" s="52">
        <f>SUMIF('Fds Units'!$CU:$CU,Summary!$A60,'Fds Units'!AJ:AJ)</f>
        <v>0</v>
      </c>
      <c r="W60" s="52">
        <f>SUMIF('Fds Units'!$CX:$CX,Summary!$A60,'Fds Units'!AK:AK)</f>
        <v>0</v>
      </c>
      <c r="X60" s="52">
        <f>SUMIF('Fds Units'!$DA:$DA,Summary!$A60,'Fds Units'!AL:AL)</f>
        <v>0</v>
      </c>
      <c r="Y60" s="52">
        <f>SUMIF('Fds Units'!$DD:$DD,Summary!$A60,'Fds Units'!AM:AM)</f>
        <v>0</v>
      </c>
      <c r="Z60" s="53">
        <f>SUMIF('Fds Units'!$DG:$DG,Summary!$A60,'Fds Units'!AN:AN)</f>
        <v>0</v>
      </c>
    </row>
    <row r="61" spans="1:26" x14ac:dyDescent="0.25">
      <c r="A61" s="258"/>
      <c r="B61" t="s">
        <v>80</v>
      </c>
      <c r="C61">
        <f>SUMIF('Fds Units'!$AP:$AP,Summary!$A60,'Fds Units'!DK:DK)</f>
        <v>17</v>
      </c>
      <c r="D61">
        <f>SUMIF('Fds Units'!$AS:$AS,Summary!$A60,'Fds Units'!DL:DL)</f>
        <v>11</v>
      </c>
      <c r="E61">
        <f>SUMIF('Fds Units'!$AV:$AV,Summary!$A60,'Fds Units'!DM:DM)</f>
        <v>15</v>
      </c>
      <c r="F61">
        <f>SUMIF('Fds Units'!$AY:$AY,Summary!$A60,'Fds Units'!DN:DN)</f>
        <v>0</v>
      </c>
      <c r="G61">
        <f>SUMIF('Fds Units'!$BB:$BB,Summary!$A60,'Fds Units'!DO:DO)</f>
        <v>0</v>
      </c>
      <c r="H61">
        <f>SUMIF('Fds Units'!$BE:$BE,Summary!$A60,'Fds Units'!DP:DP)</f>
        <v>8</v>
      </c>
      <c r="I61">
        <f>SUMIF('Fds Units'!$BH:$BH,Summary!$A60,'Fds Units'!DQ:DQ)</f>
        <v>20</v>
      </c>
      <c r="J61">
        <f>SUMIF('Fds Units'!$BK:$BK,Summary!$A60,'Fds Units'!DR:DR)</f>
        <v>11</v>
      </c>
      <c r="K61">
        <f>SUMIF('Fds Units'!$BN:$BN,Summary!$A60,'Fds Units'!DS:DS)</f>
        <v>6</v>
      </c>
      <c r="L61">
        <f>SUMIF('Fds Units'!$BQ:$BQ,Summary!$A60,'Fds Units'!DT:DT)</f>
        <v>23</v>
      </c>
      <c r="M61">
        <f>SUMIF('Fds Units'!$BT:$BT,Summary!$A60,'Fds Units'!DU:DU)</f>
        <v>7</v>
      </c>
      <c r="N61" s="46">
        <f>SUMIF('Fds Units'!$BW:$BW,Summary!$A60,'Fds Units'!DV:DV)</f>
        <v>9</v>
      </c>
      <c r="O61" s="45">
        <f>SUMIF('Fds Units'!$BZ:$BZ,Summary!$A60,'Fds Units'!DW:DW)</f>
        <v>18</v>
      </c>
      <c r="P61">
        <f>SUMIF('Fds Units'!$CC:$CC,Summary!$A60,'Fds Units'!DX:DX)</f>
        <v>9</v>
      </c>
      <c r="Q61">
        <f>SUMIF('Fds Units'!$CF:$CF,Summary!$A60,'Fds Units'!DY:DY)</f>
        <v>0</v>
      </c>
      <c r="R61">
        <f>SUMIF('Fds Units'!$CI:$CI,Summary!$A60,'Fds Units'!DZ:DZ)</f>
        <v>0</v>
      </c>
      <c r="S61">
        <f>SUMIF('Fds Units'!$CL:$CL,Summary!$A60,'Fds Units'!EA:EA)</f>
        <v>0</v>
      </c>
      <c r="T61">
        <f>SUMIF('Fds Units'!$CO:$CO,Summary!$A60,'Fds Units'!EB:EB)</f>
        <v>0</v>
      </c>
      <c r="U61">
        <f>SUMIF('Fds Units'!$CR:$CR,Summary!$A60,'Fds Units'!EC:EC)</f>
        <v>0</v>
      </c>
      <c r="V61">
        <f>SUMIF('Fds Units'!$CU:$CU,Summary!$A60,'Fds Units'!ED:ED)</f>
        <v>0</v>
      </c>
      <c r="W61">
        <f>SUMIF('Fds Units'!$CX:$CX,Summary!$A60,'Fds Units'!EE:EE)</f>
        <v>0</v>
      </c>
      <c r="X61">
        <f>SUMIF('Fds Units'!$DA:$DA,Summary!$A60,'Fds Units'!EF:EF)</f>
        <v>0</v>
      </c>
      <c r="Y61">
        <f>SUMIF('Fds Units'!$DD:$DD,Summary!$A60,'Fds Units'!EG:EG)</f>
        <v>0</v>
      </c>
      <c r="Z61" s="46">
        <f>SUMIF('Fds Units'!$DG:$DG,Summary!$A60,'Fds Units'!EH:EH)</f>
        <v>0</v>
      </c>
    </row>
    <row r="62" spans="1:26" x14ac:dyDescent="0.25">
      <c r="A62" s="258"/>
      <c r="B62" t="s">
        <v>590</v>
      </c>
      <c r="C62">
        <f t="shared" ref="C62:N62" si="100">+C$11-C61</f>
        <v>9</v>
      </c>
      <c r="D62">
        <f t="shared" si="100"/>
        <v>14</v>
      </c>
      <c r="E62">
        <f t="shared" si="100"/>
        <v>11</v>
      </c>
      <c r="F62">
        <f t="shared" si="100"/>
        <v>27</v>
      </c>
      <c r="G62">
        <f t="shared" si="100"/>
        <v>28</v>
      </c>
      <c r="H62">
        <f t="shared" si="100"/>
        <v>21</v>
      </c>
      <c r="I62">
        <f t="shared" ref="I62" si="101">+I$11-I61</f>
        <v>5</v>
      </c>
      <c r="J62">
        <f t="shared" si="100"/>
        <v>14</v>
      </c>
      <c r="K62">
        <f t="shared" si="100"/>
        <v>19</v>
      </c>
      <c r="L62">
        <f t="shared" si="100"/>
        <v>4</v>
      </c>
      <c r="M62">
        <f t="shared" si="100"/>
        <v>12</v>
      </c>
      <c r="N62" s="46">
        <f t="shared" si="100"/>
        <v>13</v>
      </c>
      <c r="O62" s="45">
        <f>+O$8-O61</f>
        <v>3</v>
      </c>
      <c r="P62">
        <f t="shared" ref="P62:Z62" si="102">+P$8-P61</f>
        <v>11</v>
      </c>
      <c r="Q62">
        <f t="shared" si="102"/>
        <v>22</v>
      </c>
      <c r="R62">
        <f t="shared" si="102"/>
        <v>22</v>
      </c>
      <c r="S62">
        <f t="shared" si="102"/>
        <v>20</v>
      </c>
      <c r="T62">
        <f t="shared" si="102"/>
        <v>22</v>
      </c>
      <c r="U62">
        <f t="shared" si="102"/>
        <v>22</v>
      </c>
      <c r="V62">
        <f t="shared" si="102"/>
        <v>21</v>
      </c>
      <c r="W62">
        <f t="shared" si="102"/>
        <v>21</v>
      </c>
      <c r="X62">
        <f t="shared" si="102"/>
        <v>22</v>
      </c>
      <c r="Y62">
        <f t="shared" si="102"/>
        <v>19</v>
      </c>
      <c r="Z62" s="46">
        <f t="shared" si="102"/>
        <v>21</v>
      </c>
    </row>
    <row r="63" spans="1:26" ht="15.75" thickBot="1" x14ac:dyDescent="0.3">
      <c r="A63" s="259"/>
      <c r="B63" s="54" t="s">
        <v>591</v>
      </c>
      <c r="C63" s="55">
        <f>SUMIF('Fds Units'!$AP:$AP,Summary!$A60,'Fds Units'!EJ:EJ)</f>
        <v>0</v>
      </c>
      <c r="D63" s="55">
        <f>SUMIF('Fds Units'!$AS:$AS,Summary!$A60,'Fds Units'!EK:EK)</f>
        <v>0</v>
      </c>
      <c r="E63" s="55">
        <f>SUMIF('Fds Units'!$AV:$AV,Summary!$A60,'Fds Units'!EL:EL)</f>
        <v>0</v>
      </c>
      <c r="F63" s="55">
        <f>SUMIF('Fds Units'!$AY:$AY,Summary!$A60,'Fds Units'!EM:EM)</f>
        <v>0</v>
      </c>
      <c r="G63" s="55">
        <f>SUMIF('Fds Units'!$BB:$BB,Summary!$A60,'Fds Units'!EN:EN)</f>
        <v>0</v>
      </c>
      <c r="H63" s="55">
        <f>SUMIF('Fds Units'!$BE:$BE,Summary!$A60,'Fds Units'!EO:EO)</f>
        <v>0</v>
      </c>
      <c r="I63" s="55">
        <f>SUMIF('Fds Units'!$BH:$BH,Summary!$A60,'Fds Units'!EP:EP)</f>
        <v>0</v>
      </c>
      <c r="J63" s="55">
        <f>SUMIF('Fds Units'!$BK:$BK,Summary!$A60,'Fds Units'!EQ:EQ)</f>
        <v>0</v>
      </c>
      <c r="K63" s="55">
        <f>SUMIF('Fds Units'!$BN:$BN,Summary!$A60,'Fds Units'!ER:ER)</f>
        <v>0</v>
      </c>
      <c r="L63" s="55">
        <f>SUMIF('Fds Units'!$BQ:$BQ,Summary!$A60,'Fds Units'!ES:ES)</f>
        <v>0</v>
      </c>
      <c r="M63" s="55">
        <f>SUMIF('Fds Units'!$BT:$BT,Summary!$A60,'Fds Units'!ET:ET)</f>
        <v>0</v>
      </c>
      <c r="N63" s="56">
        <f>SUMIF('Fds Units'!$BW:$BW,Summary!$A60,'Fds Units'!EU:EU)</f>
        <v>0</v>
      </c>
      <c r="O63" s="115">
        <f>SUMIF('Fds Units'!$BZ:$BZ,Summary!$A60,'Fds Units'!EV:EV)</f>
        <v>0</v>
      </c>
      <c r="P63" s="55">
        <f>SUMIF('Fds Units'!$CC:$CC,Summary!$A60,'Fds Units'!EW:EW)</f>
        <v>0</v>
      </c>
      <c r="Q63" s="55">
        <f>SUMIF('Fds Units'!$CF:$CF,Summary!$A60,'Fds Units'!EX:EX)</f>
        <v>0</v>
      </c>
      <c r="R63" s="55">
        <f>SUMIF('Fds Units'!$CI:$CI,Summary!$A60,'Fds Units'!EY:EY)</f>
        <v>0</v>
      </c>
      <c r="S63" s="55">
        <f>SUMIF('Fds Units'!$CL:$CL,Summary!$A60,'Fds Units'!EZ:EZ)</f>
        <v>0</v>
      </c>
      <c r="T63" s="55">
        <f>SUMIF('Fds Units'!$CO:$CO,Summary!$A60,'Fds Units'!FA:FA)</f>
        <v>0</v>
      </c>
      <c r="U63" s="55">
        <f>SUMIF('Fds Units'!$CR:$CR,Summary!$A60,'Fds Units'!FB:FB)</f>
        <v>0</v>
      </c>
      <c r="V63" s="55">
        <f>SUMIF('Fds Units'!$CU:$CU,Summary!$A60,'Fds Units'!FC:FC)</f>
        <v>0</v>
      </c>
      <c r="W63" s="55">
        <f>SUMIF('Fds Units'!$CX:$CX,Summary!$A60,'Fds Units'!FD:FD)</f>
        <v>0</v>
      </c>
      <c r="X63" s="55">
        <f>SUMIF('Fds Units'!$DA:$DA,Summary!$A60,'Fds Units'!FE:FE)</f>
        <v>0</v>
      </c>
      <c r="Y63" s="55">
        <f>SUMIF('Fds Units'!$DD:$DD,Summary!$A60,'Fds Units'!FF:FF)</f>
        <v>0</v>
      </c>
      <c r="Z63" s="56">
        <f>SUMIF('Fds Units'!$DG:$DG,Summary!$A60,'Fds Units'!FG:FG)</f>
        <v>0</v>
      </c>
    </row>
    <row r="64" spans="1:26" x14ac:dyDescent="0.25">
      <c r="A64" s="64"/>
      <c r="C64" s="65"/>
      <c r="D64" s="65"/>
      <c r="E64" s="65"/>
      <c r="F64" s="65"/>
      <c r="G64" s="65"/>
      <c r="H64" s="65"/>
      <c r="I64" s="65"/>
      <c r="J64" s="65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6" spans="2:27" outlineLevel="1" x14ac:dyDescent="0.25">
      <c r="C66" s="58">
        <f t="shared" ref="C66:N66" si="103">C67/$AA$67</f>
        <v>9.8593272171253826E-2</v>
      </c>
      <c r="D66" s="58">
        <f t="shared" si="103"/>
        <v>0.10091743119266056</v>
      </c>
      <c r="E66" s="58">
        <f t="shared" si="103"/>
        <v>8.9051987767584093E-2</v>
      </c>
      <c r="F66" s="58">
        <f t="shared" si="103"/>
        <v>0.10201834862385321</v>
      </c>
      <c r="G66" s="58">
        <f t="shared" si="103"/>
        <v>0.10935779816513762</v>
      </c>
      <c r="H66" s="58">
        <f t="shared" si="103"/>
        <v>8.6238532110091748E-2</v>
      </c>
      <c r="I66" s="58">
        <f t="shared" si="103"/>
        <v>6.8501529051987767E-2</v>
      </c>
      <c r="J66" s="58">
        <f t="shared" si="103"/>
        <v>5.5902140672782874E-2</v>
      </c>
      <c r="K66" s="58">
        <f t="shared" si="103"/>
        <v>6.0183486238532112E-2</v>
      </c>
      <c r="L66" s="58">
        <f t="shared" si="103"/>
        <v>8.990825688073395E-2</v>
      </c>
      <c r="M66" s="58">
        <f t="shared" si="103"/>
        <v>6.6299694189602451E-2</v>
      </c>
      <c r="N66" s="58">
        <f t="shared" si="103"/>
        <v>7.3027522935779812E-2</v>
      </c>
      <c r="O66" s="58">
        <f t="shared" ref="O66:Z66" si="104">O67/$AA$67</f>
        <v>9.003058103975535E-2</v>
      </c>
      <c r="P66" s="58">
        <f t="shared" si="104"/>
        <v>9.6391437308868497E-2</v>
      </c>
      <c r="Q66" s="58">
        <f t="shared" si="104"/>
        <v>9.700305810397554E-2</v>
      </c>
      <c r="R66" s="58">
        <f t="shared" si="104"/>
        <v>0.14470948012232415</v>
      </c>
      <c r="S66" s="58">
        <f t="shared" si="104"/>
        <v>0.13859327217125383</v>
      </c>
      <c r="T66" s="58">
        <f t="shared" si="104"/>
        <v>7.4128440366972484E-2</v>
      </c>
      <c r="U66" s="58">
        <f t="shared" si="104"/>
        <v>8.3058103975535175E-2</v>
      </c>
      <c r="V66" s="58">
        <f t="shared" si="104"/>
        <v>8.7217125382262992E-2</v>
      </c>
      <c r="W66" s="58">
        <f t="shared" si="104"/>
        <v>7.8409785932721715E-2</v>
      </c>
      <c r="X66" s="58">
        <f t="shared" si="104"/>
        <v>9.2599388379204894E-2</v>
      </c>
      <c r="Y66" s="58">
        <f t="shared" si="104"/>
        <v>7.9143730886850158E-2</v>
      </c>
      <c r="Z66" s="58">
        <f t="shared" si="104"/>
        <v>4.1957186544342509E-2</v>
      </c>
    </row>
    <row r="67" spans="2:27" outlineLevel="1" x14ac:dyDescent="0.25">
      <c r="B67" s="57" t="s">
        <v>591</v>
      </c>
      <c r="C67" s="49">
        <f t="shared" ref="C67:M67" si="105">SUMIF($B$15:$B$58,$B67,C$15:C$58)</f>
        <v>806</v>
      </c>
      <c r="D67" s="49">
        <f t="shared" si="105"/>
        <v>825</v>
      </c>
      <c r="E67" s="49">
        <f t="shared" si="105"/>
        <v>728</v>
      </c>
      <c r="F67" s="49">
        <f t="shared" si="105"/>
        <v>834</v>
      </c>
      <c r="G67" s="49">
        <f t="shared" si="105"/>
        <v>894</v>
      </c>
      <c r="H67" s="49">
        <f t="shared" si="105"/>
        <v>705</v>
      </c>
      <c r="I67" s="49">
        <f>SUMIF($B$15:$B$58,$B67,I$15:I$58)</f>
        <v>560</v>
      </c>
      <c r="J67" s="49">
        <f t="shared" si="105"/>
        <v>457</v>
      </c>
      <c r="K67" s="49">
        <f t="shared" si="105"/>
        <v>492</v>
      </c>
      <c r="L67" s="49">
        <f t="shared" si="105"/>
        <v>735</v>
      </c>
      <c r="M67" s="49">
        <f t="shared" si="105"/>
        <v>542</v>
      </c>
      <c r="N67" s="49">
        <f>SUMIF($B$15:$B$58,$B67,N$15:N$58)</f>
        <v>597</v>
      </c>
      <c r="O67" s="49">
        <f>SUMIF($B$15:$B$58,$B67,O$15:O$58)</f>
        <v>736</v>
      </c>
      <c r="P67" s="49">
        <f t="shared" ref="P67:Z67" si="106">SUMIF($B$15:$B$58,$B67,P$15:P$58)</f>
        <v>788</v>
      </c>
      <c r="Q67" s="49">
        <f t="shared" si="106"/>
        <v>793</v>
      </c>
      <c r="R67" s="49">
        <f t="shared" si="106"/>
        <v>1183</v>
      </c>
      <c r="S67" s="49">
        <f t="shared" si="106"/>
        <v>1133</v>
      </c>
      <c r="T67" s="49">
        <f t="shared" si="106"/>
        <v>606</v>
      </c>
      <c r="U67" s="49">
        <f t="shared" si="106"/>
        <v>679</v>
      </c>
      <c r="V67" s="49">
        <f t="shared" si="106"/>
        <v>713</v>
      </c>
      <c r="W67" s="49">
        <f t="shared" si="106"/>
        <v>641</v>
      </c>
      <c r="X67" s="49">
        <f t="shared" si="106"/>
        <v>757</v>
      </c>
      <c r="Y67" s="49">
        <f t="shared" si="106"/>
        <v>647</v>
      </c>
      <c r="Z67" s="49">
        <f t="shared" si="106"/>
        <v>343</v>
      </c>
      <c r="AA67" s="59">
        <f>SUM(C67:N67)</f>
        <v>8175</v>
      </c>
    </row>
    <row r="68" spans="2:27" outlineLevel="1" x14ac:dyDescent="0.25">
      <c r="B68" t="s">
        <v>600</v>
      </c>
      <c r="C68" s="49">
        <f t="shared" ref="C68:H68" si="107">+C11*40</f>
        <v>1040</v>
      </c>
      <c r="D68" s="49">
        <f t="shared" si="107"/>
        <v>1000</v>
      </c>
      <c r="E68" s="49">
        <f t="shared" si="107"/>
        <v>1040</v>
      </c>
      <c r="F68" s="49">
        <f t="shared" si="107"/>
        <v>1080</v>
      </c>
      <c r="G68" s="49">
        <f t="shared" si="107"/>
        <v>1120</v>
      </c>
      <c r="H68" s="49">
        <f t="shared" si="107"/>
        <v>1160</v>
      </c>
      <c r="I68" s="49">
        <f>+I11*36</f>
        <v>900</v>
      </c>
      <c r="J68" s="49">
        <f t="shared" ref="J68:M68" si="108">+J11*36</f>
        <v>900</v>
      </c>
      <c r="K68" s="49">
        <f t="shared" ref="K68" si="109">+K11*36</f>
        <v>900</v>
      </c>
      <c r="L68" s="49">
        <f t="shared" si="108"/>
        <v>972</v>
      </c>
      <c r="M68" s="49">
        <f t="shared" si="108"/>
        <v>684</v>
      </c>
      <c r="N68" s="49">
        <f>+N11*36</f>
        <v>792</v>
      </c>
      <c r="O68" s="49">
        <f>+O11*36</f>
        <v>936</v>
      </c>
      <c r="P68" s="49">
        <f t="shared" ref="P68:Z68" si="110">+P11*36</f>
        <v>864</v>
      </c>
      <c r="Q68" s="49">
        <f t="shared" si="110"/>
        <v>936</v>
      </c>
      <c r="R68" s="49">
        <f t="shared" si="110"/>
        <v>936</v>
      </c>
      <c r="S68" s="49">
        <f t="shared" si="110"/>
        <v>900</v>
      </c>
      <c r="T68" s="49">
        <f t="shared" si="110"/>
        <v>936</v>
      </c>
      <c r="U68" s="49">
        <f t="shared" si="110"/>
        <v>936</v>
      </c>
      <c r="V68" s="49">
        <f t="shared" si="110"/>
        <v>936</v>
      </c>
      <c r="W68" s="49">
        <f t="shared" si="110"/>
        <v>900</v>
      </c>
      <c r="X68" s="49">
        <f t="shared" si="110"/>
        <v>972</v>
      </c>
      <c r="Y68" s="49">
        <f t="shared" si="110"/>
        <v>828</v>
      </c>
      <c r="Z68" s="49">
        <f t="shared" si="110"/>
        <v>900</v>
      </c>
    </row>
    <row r="69" spans="2:27" outlineLevel="1" x14ac:dyDescent="0.25">
      <c r="B69" t="s">
        <v>601</v>
      </c>
      <c r="C69" s="49">
        <f>+C68-C67</f>
        <v>234</v>
      </c>
      <c r="D69" s="49">
        <f>+D68-D67</f>
        <v>175</v>
      </c>
      <c r="E69" s="49">
        <f>+E68-E67</f>
        <v>312</v>
      </c>
      <c r="F69" s="49">
        <f>+F68-F67</f>
        <v>246</v>
      </c>
      <c r="G69" s="49">
        <f>+G68-G67</f>
        <v>226</v>
      </c>
      <c r="H69" s="49">
        <f t="shared" ref="H69:M69" si="111">+H68-H67</f>
        <v>455</v>
      </c>
      <c r="I69" s="49">
        <f t="shared" si="111"/>
        <v>340</v>
      </c>
      <c r="J69" s="49">
        <f t="shared" si="111"/>
        <v>443</v>
      </c>
      <c r="K69" s="49">
        <f t="shared" ref="K69" si="112">+K68-K67</f>
        <v>408</v>
      </c>
      <c r="L69" s="49">
        <f t="shared" si="111"/>
        <v>237</v>
      </c>
      <c r="M69" s="49">
        <f t="shared" si="111"/>
        <v>142</v>
      </c>
      <c r="N69" s="49">
        <f>+N68-N67</f>
        <v>195</v>
      </c>
      <c r="O69" s="49">
        <f t="shared" ref="O69:Z69" si="113">+O68-O67</f>
        <v>200</v>
      </c>
      <c r="P69" s="49">
        <f t="shared" si="113"/>
        <v>76</v>
      </c>
      <c r="Q69" s="49">
        <f t="shared" si="113"/>
        <v>143</v>
      </c>
      <c r="R69" s="49">
        <f t="shared" si="113"/>
        <v>-247</v>
      </c>
      <c r="S69" s="49">
        <f t="shared" si="113"/>
        <v>-233</v>
      </c>
      <c r="T69" s="49">
        <f t="shared" si="113"/>
        <v>330</v>
      </c>
      <c r="U69" s="49">
        <f t="shared" si="113"/>
        <v>257</v>
      </c>
      <c r="V69" s="49">
        <f t="shared" si="113"/>
        <v>223</v>
      </c>
      <c r="W69" s="49">
        <f t="shared" si="113"/>
        <v>259</v>
      </c>
      <c r="X69" s="49">
        <f t="shared" si="113"/>
        <v>215</v>
      </c>
      <c r="Y69" s="49">
        <f t="shared" si="113"/>
        <v>181</v>
      </c>
      <c r="Z69" s="49">
        <f t="shared" si="113"/>
        <v>557</v>
      </c>
    </row>
    <row r="70" spans="2:27" outlineLevel="1" x14ac:dyDescent="0.25">
      <c r="B70" t="s">
        <v>602</v>
      </c>
      <c r="C70" s="49">
        <f t="shared" ref="C70:N70" si="114">+C69/C$11</f>
        <v>9</v>
      </c>
      <c r="D70" s="49">
        <f>+D69/D$11</f>
        <v>7</v>
      </c>
      <c r="E70" s="49">
        <f>+E69/E$11</f>
        <v>12</v>
      </c>
      <c r="F70" s="49">
        <f>+F69/F$11</f>
        <v>9.1111111111111107</v>
      </c>
      <c r="G70" s="49">
        <f>+G69/G$11</f>
        <v>8.0714285714285712</v>
      </c>
      <c r="H70" s="49">
        <f t="shared" si="114"/>
        <v>15.689655172413794</v>
      </c>
      <c r="I70" s="49">
        <f t="shared" si="114"/>
        <v>13.6</v>
      </c>
      <c r="J70" s="49">
        <f t="shared" si="114"/>
        <v>17.72</v>
      </c>
      <c r="K70" s="49">
        <f t="shared" ref="K70" si="115">+K69/K$11</f>
        <v>16.32</v>
      </c>
      <c r="L70" s="49">
        <f t="shared" si="114"/>
        <v>8.7777777777777786</v>
      </c>
      <c r="M70" s="49">
        <f t="shared" si="114"/>
        <v>7.4736842105263159</v>
      </c>
      <c r="N70" s="49">
        <f t="shared" si="114"/>
        <v>8.8636363636363633</v>
      </c>
      <c r="O70" s="49">
        <f t="shared" ref="O70:Z70" si="116">+O69/O$11</f>
        <v>7.6923076923076925</v>
      </c>
      <c r="P70" s="49">
        <f t="shared" si="116"/>
        <v>3.1666666666666665</v>
      </c>
      <c r="Q70" s="49">
        <f t="shared" si="116"/>
        <v>5.5</v>
      </c>
      <c r="R70" s="49">
        <f t="shared" si="116"/>
        <v>-9.5</v>
      </c>
      <c r="S70" s="49">
        <f t="shared" si="116"/>
        <v>-9.32</v>
      </c>
      <c r="T70" s="49">
        <f t="shared" si="116"/>
        <v>12.692307692307692</v>
      </c>
      <c r="U70" s="49">
        <f t="shared" si="116"/>
        <v>9.884615384615385</v>
      </c>
      <c r="V70" s="49">
        <f t="shared" si="116"/>
        <v>8.5769230769230766</v>
      </c>
      <c r="W70" s="49">
        <f t="shared" si="116"/>
        <v>10.36</v>
      </c>
      <c r="X70" s="49">
        <f t="shared" si="116"/>
        <v>7.9629629629629628</v>
      </c>
      <c r="Y70" s="49">
        <f t="shared" si="116"/>
        <v>7.8695652173913047</v>
      </c>
      <c r="Z70" s="49">
        <f t="shared" si="116"/>
        <v>22.28</v>
      </c>
    </row>
    <row r="71" spans="2:27" outlineLevel="1" x14ac:dyDescent="0.25">
      <c r="B71" t="s">
        <v>603</v>
      </c>
      <c r="C71" s="60">
        <f>+C67/C68</f>
        <v>0.77500000000000002</v>
      </c>
      <c r="D71" s="60">
        <f>+D67/D68</f>
        <v>0.82499999999999996</v>
      </c>
      <c r="E71" s="60">
        <f>+E67/E68</f>
        <v>0.7</v>
      </c>
      <c r="F71" s="60">
        <f>+F67/F68</f>
        <v>0.77222222222222225</v>
      </c>
      <c r="G71" s="60">
        <f>+G67/G68</f>
        <v>0.79821428571428577</v>
      </c>
      <c r="H71" s="60">
        <f t="shared" ref="H71:N71" si="117">+H67/H68</f>
        <v>0.60775862068965514</v>
      </c>
      <c r="I71" s="60">
        <f t="shared" si="117"/>
        <v>0.62222222222222223</v>
      </c>
      <c r="J71" s="60">
        <f t="shared" si="117"/>
        <v>0.50777777777777777</v>
      </c>
      <c r="K71" s="60">
        <f t="shared" ref="K71" si="118">+K67/K68</f>
        <v>0.54666666666666663</v>
      </c>
      <c r="L71" s="60">
        <f t="shared" si="117"/>
        <v>0.75617283950617287</v>
      </c>
      <c r="M71" s="60">
        <f t="shared" si="117"/>
        <v>0.79239766081871343</v>
      </c>
      <c r="N71" s="60">
        <f t="shared" si="117"/>
        <v>0.75378787878787878</v>
      </c>
      <c r="O71" s="60">
        <f t="shared" ref="O71:Z71" si="119">+O67/O68</f>
        <v>0.78632478632478631</v>
      </c>
      <c r="P71" s="60">
        <f t="shared" si="119"/>
        <v>0.91203703703703709</v>
      </c>
      <c r="Q71" s="60">
        <f t="shared" si="119"/>
        <v>0.84722222222222221</v>
      </c>
      <c r="R71" s="60">
        <f t="shared" si="119"/>
        <v>1.2638888888888888</v>
      </c>
      <c r="S71" s="60">
        <f t="shared" si="119"/>
        <v>1.2588888888888889</v>
      </c>
      <c r="T71" s="60">
        <f t="shared" si="119"/>
        <v>0.64743589743589747</v>
      </c>
      <c r="U71" s="60">
        <f t="shared" si="119"/>
        <v>0.7254273504273504</v>
      </c>
      <c r="V71" s="60">
        <f t="shared" si="119"/>
        <v>0.76175213675213671</v>
      </c>
      <c r="W71" s="60">
        <f t="shared" si="119"/>
        <v>0.7122222222222222</v>
      </c>
      <c r="X71" s="60">
        <f t="shared" si="119"/>
        <v>0.7788065843621399</v>
      </c>
      <c r="Y71" s="60">
        <f t="shared" si="119"/>
        <v>0.78140096618357491</v>
      </c>
      <c r="Z71" s="60">
        <f t="shared" si="119"/>
        <v>0.38111111111111112</v>
      </c>
    </row>
    <row r="74" spans="2:27" x14ac:dyDescent="0.25">
      <c r="B74" t="s">
        <v>67</v>
      </c>
      <c r="C74" s="59">
        <f t="shared" ref="C74:N74" si="120">+C75-C60</f>
        <v>13413718</v>
      </c>
      <c r="D74" s="59">
        <f t="shared" si="120"/>
        <v>11989417</v>
      </c>
      <c r="E74" s="59">
        <f t="shared" si="120"/>
        <v>12874348</v>
      </c>
      <c r="F74" s="59">
        <f t="shared" si="120"/>
        <v>13425362</v>
      </c>
      <c r="G74" s="59">
        <f t="shared" si="120"/>
        <v>13987164</v>
      </c>
      <c r="H74" s="59">
        <f t="shared" si="120"/>
        <v>14034239</v>
      </c>
      <c r="I74" s="59">
        <f t="shared" si="120"/>
        <v>11272757</v>
      </c>
      <c r="J74" s="59">
        <f t="shared" si="120"/>
        <v>7523512</v>
      </c>
      <c r="K74" s="59">
        <f>+K75-K60</f>
        <v>7742920</v>
      </c>
      <c r="L74" s="59">
        <f>+L75-L60</f>
        <v>10040099</v>
      </c>
      <c r="M74" s="59">
        <f t="shared" si="120"/>
        <v>16764541</v>
      </c>
      <c r="N74" s="59">
        <f t="shared" si="120"/>
        <v>10445916</v>
      </c>
      <c r="O74" s="59">
        <f t="shared" ref="O74:S74" si="121">+O75-O60</f>
        <v>12548268</v>
      </c>
      <c r="P74" s="59">
        <f t="shared" si="121"/>
        <v>15237860</v>
      </c>
      <c r="Q74" s="59">
        <f t="shared" si="121"/>
        <v>13293943</v>
      </c>
      <c r="R74" s="59">
        <f t="shared" si="121"/>
        <v>19184588</v>
      </c>
      <c r="S74" s="59">
        <f t="shared" si="121"/>
        <v>21276080</v>
      </c>
      <c r="T74" s="59">
        <f>+T75-T60</f>
        <v>9616584.5</v>
      </c>
      <c r="U74" s="59">
        <f t="shared" ref="U74" si="122">+U75-U60</f>
        <v>11177457.5</v>
      </c>
      <c r="V74" s="59">
        <f t="shared" ref="V74:Y74" si="123">+V75-V60</f>
        <v>10471403.75</v>
      </c>
      <c r="W74" s="59">
        <f t="shared" si="123"/>
        <v>9657469.25</v>
      </c>
      <c r="X74" s="59">
        <f t="shared" si="123"/>
        <v>11314805.25</v>
      </c>
      <c r="Y74" s="59">
        <f t="shared" si="123"/>
        <v>9567045.25</v>
      </c>
      <c r="Z74" s="59">
        <f t="shared" ref="Z74" si="124">+Z75-Z60</f>
        <v>7934041.25</v>
      </c>
    </row>
    <row r="75" spans="2:27" x14ac:dyDescent="0.25">
      <c r="B75" t="s">
        <v>653</v>
      </c>
      <c r="C75" s="59">
        <f t="shared" ref="C75:N75" si="125">+C55+C60+C50+C45+C35+C40+C25+C20+C15+C30</f>
        <v>22149218</v>
      </c>
      <c r="D75" s="59">
        <f t="shared" si="125"/>
        <v>18599667</v>
      </c>
      <c r="E75" s="59">
        <f t="shared" si="125"/>
        <v>22236848</v>
      </c>
      <c r="F75" s="59">
        <f t="shared" si="125"/>
        <v>13425362</v>
      </c>
      <c r="G75" s="59">
        <f t="shared" si="125"/>
        <v>13987164</v>
      </c>
      <c r="H75" s="59">
        <f t="shared" si="125"/>
        <v>18934739</v>
      </c>
      <c r="I75" s="59">
        <f t="shared" si="125"/>
        <v>23383257</v>
      </c>
      <c r="J75" s="59">
        <f>+J55+J60+J50+J45+J35+J40+J25+J20+J15+J30</f>
        <v>14184012</v>
      </c>
      <c r="K75" s="59">
        <f>+K55+K60+K50+K45+K35+K40+K25+K20+K15+K30</f>
        <v>11078920</v>
      </c>
      <c r="L75" s="59">
        <f>+L55+L60+L50+L45+L35+L40+L25+L20+L15+L30</f>
        <v>24056349</v>
      </c>
      <c r="M75" s="59">
        <f>+M55+M60+M50+M45+M35+M40+M25+M20+M15+M30</f>
        <v>25118791</v>
      </c>
      <c r="N75" s="59">
        <f t="shared" si="125"/>
        <v>15598416</v>
      </c>
      <c r="O75" s="59">
        <f t="shared" ref="O75:S75" si="126">+O55+O60+O50+O45+O35+O40+O25+O20+O15+O30</f>
        <v>23798268</v>
      </c>
      <c r="P75" s="59">
        <f t="shared" si="126"/>
        <v>22737860</v>
      </c>
      <c r="Q75" s="59">
        <f t="shared" si="126"/>
        <v>16418943</v>
      </c>
      <c r="R75" s="59">
        <f t="shared" si="126"/>
        <v>19184588</v>
      </c>
      <c r="S75" s="59">
        <f t="shared" si="126"/>
        <v>21276080</v>
      </c>
      <c r="T75" s="59">
        <f>+T55+T60+T50+T45+T35+T40+T25+T20+T15+T30</f>
        <v>9616584.5</v>
      </c>
      <c r="U75" s="59">
        <f t="shared" ref="U75" si="127">+U55+U60+U50+U45+U35+U40+U25+U20+U15+U30</f>
        <v>11177457.5</v>
      </c>
      <c r="V75" s="59">
        <f t="shared" ref="V75:Y75" si="128">+V55+V60+V50+V45+V35+V40+V25+V20+V15+V30</f>
        <v>10471403.75</v>
      </c>
      <c r="W75" s="59">
        <f t="shared" si="128"/>
        <v>9657469.25</v>
      </c>
      <c r="X75" s="59">
        <f t="shared" si="128"/>
        <v>11314805.25</v>
      </c>
      <c r="Y75" s="59">
        <f t="shared" si="128"/>
        <v>9567045.25</v>
      </c>
      <c r="Z75" s="59">
        <f>+Z55+Z60+Z50+Z45+Z35+Z40+Z25+Z20+Z15+Z30</f>
        <v>7934041.25</v>
      </c>
    </row>
    <row r="76" spans="2:27" x14ac:dyDescent="0.25">
      <c r="C76" s="59">
        <f>C75-'Fds Units'!B99-'Fds Units'!B101</f>
        <v>0</v>
      </c>
      <c r="D76" s="59">
        <f>D75-'Fds Units'!C99-'Fds Units'!C101</f>
        <v>0</v>
      </c>
      <c r="E76" s="59">
        <f>E75-'Fds Units'!D99-'Fds Units'!D101</f>
        <v>0</v>
      </c>
      <c r="F76" s="59">
        <f>F75-'Fds Units'!E99-'Fds Units'!E101</f>
        <v>0</v>
      </c>
      <c r="G76" s="59">
        <f>G75-'Fds Units'!F99-'Fds Units'!F101</f>
        <v>0</v>
      </c>
      <c r="H76" s="59">
        <f>H75-'Fds Units'!G101-'Fds Units'!G99</f>
        <v>0</v>
      </c>
      <c r="I76" s="59">
        <f>I75-'Fds Units'!H101-'Fds Units'!H99</f>
        <v>0</v>
      </c>
      <c r="J76" s="59">
        <f>J75-'Fds Units'!I101-'Fds Units'!I99</f>
        <v>0</v>
      </c>
      <c r="K76" s="59">
        <f>K75-'Fds Units'!J101-'Fds Units'!J99</f>
        <v>0</v>
      </c>
      <c r="L76" s="59">
        <f>L75-'Fds Units'!K101-'Fds Units'!K99</f>
        <v>49992</v>
      </c>
      <c r="M76" s="59">
        <f>M75-'Fds Units'!L101-'Fds Units'!L99-'Fds Units'!N99-'Fds Units'!N101</f>
        <v>0</v>
      </c>
      <c r="N76" s="59">
        <f>N75-'Fds Units'!R101-'Fds Units'!R99</f>
        <v>0</v>
      </c>
      <c r="O76" s="59">
        <f>O75-'Fds Units'!U101-'Fds Units'!U99</f>
        <v>806276</v>
      </c>
      <c r="P76" s="59">
        <f>P75-'Fds Units'!Y101-'Fds Units'!Y99</f>
        <v>4045016</v>
      </c>
      <c r="Q76" s="59">
        <f>Q75-'Fds Units'!AE101-'Fds Units'!AE99</f>
        <v>2042283</v>
      </c>
      <c r="R76" s="59">
        <f>R75-'Fds Units'!AF101-'Fds Units'!AF99</f>
        <v>5192736</v>
      </c>
      <c r="S76" s="59">
        <f>S75-'Fds Units'!AG101-'Fds Units'!AG99</f>
        <v>7068000</v>
      </c>
      <c r="T76" s="59">
        <f>T75-'Fds Units'!AH101-'Fds Units'!AH99</f>
        <v>-43749.75</v>
      </c>
      <c r="U76" s="59">
        <f>U75-'Fds Units'!AI101-'Fds Units'!AI99</f>
        <v>-43749.75</v>
      </c>
      <c r="V76" s="59">
        <f>V75-'Fds Units'!AJ101-'Fds Units'!AJ99</f>
        <v>-59379</v>
      </c>
      <c r="W76" s="59">
        <f>W75-'Fds Units'!AK101-'Fds Units'!AK99</f>
        <v>-59374.5</v>
      </c>
      <c r="X76" s="59">
        <f>X75-'Fds Units'!AL101-'Fds Units'!AL99</f>
        <v>-59374.5</v>
      </c>
      <c r="Y76" s="59">
        <f>Y75-'Fds Units'!AM101-'Fds Units'!AM99</f>
        <v>-59374.5</v>
      </c>
      <c r="Z76" s="59">
        <f>Z75-'Fds Units'!AN101-'Fds Units'!AN99</f>
        <v>-59374.5</v>
      </c>
    </row>
    <row r="77" spans="2:27" x14ac:dyDescent="0.25">
      <c r="N77" s="59"/>
      <c r="Z77" s="59"/>
    </row>
    <row r="78" spans="2:27" x14ac:dyDescent="0.25">
      <c r="M78" s="59"/>
      <c r="N78" s="59"/>
      <c r="Y78" s="59"/>
      <c r="Z78" s="59"/>
    </row>
    <row r="80" spans="2:27" x14ac:dyDescent="0.25">
      <c r="B80" s="97" t="s">
        <v>654</v>
      </c>
      <c r="C80" s="49">
        <v>11967342</v>
      </c>
      <c r="D80" s="49">
        <v>11085986</v>
      </c>
      <c r="E80" s="49">
        <v>12422593</v>
      </c>
      <c r="F80" s="49">
        <v>12588699</v>
      </c>
      <c r="G80" s="49">
        <v>11867431</v>
      </c>
      <c r="H80" s="49">
        <v>12016923</v>
      </c>
      <c r="I80" s="49">
        <v>12062462</v>
      </c>
      <c r="J80" s="49">
        <v>12145458</v>
      </c>
      <c r="K80" s="49">
        <v>10486808</v>
      </c>
      <c r="L80" s="49">
        <v>12764936</v>
      </c>
      <c r="M80" s="49">
        <v>12054428</v>
      </c>
      <c r="N80" s="49">
        <v>13133296</v>
      </c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2:26" x14ac:dyDescent="0.25">
      <c r="B81" s="97" t="s">
        <v>655</v>
      </c>
      <c r="C81" s="49">
        <v>11944975</v>
      </c>
      <c r="D81" s="49">
        <v>10810555</v>
      </c>
      <c r="E81" s="49">
        <v>12489796</v>
      </c>
      <c r="F81" s="49">
        <v>10854894</v>
      </c>
      <c r="G81" s="49">
        <v>10759311</v>
      </c>
      <c r="H81" s="49">
        <v>9181128</v>
      </c>
      <c r="I81" s="49">
        <v>7051083</v>
      </c>
      <c r="J81" s="49">
        <v>10310753</v>
      </c>
      <c r="K81" s="49">
        <v>10909796</v>
      </c>
      <c r="L81" s="49">
        <v>12532456</v>
      </c>
      <c r="M81" s="49">
        <v>10342477</v>
      </c>
      <c r="N81" s="49">
        <v>10544218</v>
      </c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2:26" x14ac:dyDescent="0.25">
      <c r="B82" s="97" t="s">
        <v>656</v>
      </c>
      <c r="C82" s="49">
        <v>7301570</v>
      </c>
      <c r="D82" s="49">
        <v>9436327</v>
      </c>
      <c r="E82" s="49">
        <v>11082746</v>
      </c>
      <c r="F82" s="49">
        <v>12085333</v>
      </c>
      <c r="G82" s="49">
        <v>9727421</v>
      </c>
      <c r="H82" s="49">
        <v>10358361</v>
      </c>
      <c r="I82" s="49">
        <v>10972651</v>
      </c>
      <c r="J82" s="49">
        <v>12149224</v>
      </c>
      <c r="K82" s="49">
        <v>12098870</v>
      </c>
      <c r="L82" s="49">
        <v>13375597</v>
      </c>
      <c r="M82" s="49">
        <v>11078579</v>
      </c>
      <c r="N82" s="49">
        <v>10880092</v>
      </c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2:26" x14ac:dyDescent="0.25">
      <c r="B83" s="97" t="s">
        <v>657</v>
      </c>
      <c r="C83" s="49">
        <v>14381317</v>
      </c>
      <c r="D83" s="49">
        <v>13092750</v>
      </c>
      <c r="E83" s="49">
        <v>16215847</v>
      </c>
      <c r="F83" s="49">
        <v>14440780</v>
      </c>
      <c r="G83" s="49">
        <v>10781262</v>
      </c>
      <c r="H83" s="49">
        <v>11593431</v>
      </c>
      <c r="I83" s="49">
        <v>8975438</v>
      </c>
      <c r="J83" s="49">
        <v>7757748</v>
      </c>
      <c r="K83" s="49">
        <v>9832882</v>
      </c>
      <c r="L83" s="49">
        <v>11486435</v>
      </c>
      <c r="M83" s="49">
        <v>10519471</v>
      </c>
      <c r="N83" s="49">
        <v>8082445</v>
      </c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2:26" x14ac:dyDescent="0.25">
      <c r="B84" s="97" t="s">
        <v>658</v>
      </c>
      <c r="C84" s="49">
        <v>8125771</v>
      </c>
      <c r="D84" s="49">
        <v>8792011</v>
      </c>
      <c r="E84" s="49">
        <v>11108168</v>
      </c>
      <c r="F84" s="49">
        <v>12532077</v>
      </c>
      <c r="G84" s="49">
        <v>13045055</v>
      </c>
      <c r="H84" s="49">
        <v>13586011</v>
      </c>
      <c r="I84" s="49">
        <v>13713933</v>
      </c>
      <c r="J84" s="49">
        <v>12471070</v>
      </c>
      <c r="K84" s="49">
        <v>11623918</v>
      </c>
      <c r="L84" s="49">
        <v>13213270</v>
      </c>
      <c r="M84" s="49">
        <v>12687734</v>
      </c>
      <c r="N84" s="49">
        <v>13114090</v>
      </c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2:26" x14ac:dyDescent="0.25">
      <c r="B85" s="97" t="s">
        <v>659</v>
      </c>
      <c r="C85" s="49">
        <v>9833798</v>
      </c>
      <c r="D85" s="49">
        <v>11125214</v>
      </c>
      <c r="E85" s="49">
        <v>11994617</v>
      </c>
      <c r="F85" s="49">
        <v>10910746</v>
      </c>
      <c r="G85" s="49">
        <v>7954189</v>
      </c>
      <c r="H85" s="49">
        <v>9321755</v>
      </c>
      <c r="I85" s="49">
        <v>7501599</v>
      </c>
      <c r="J85" s="49">
        <v>8350044</v>
      </c>
      <c r="K85" s="49">
        <v>7318517</v>
      </c>
      <c r="L85" s="49">
        <v>8336653</v>
      </c>
      <c r="M85" s="49">
        <v>8241288</v>
      </c>
      <c r="N85" s="49">
        <v>7395472</v>
      </c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2:26" x14ac:dyDescent="0.25">
      <c r="B86" t="s">
        <v>660</v>
      </c>
      <c r="C86" s="59">
        <f>AVERAGE(C80:C85)</f>
        <v>10592462.166666666</v>
      </c>
      <c r="D86" s="59">
        <f t="shared" ref="D86:N86" si="129">AVERAGE(D80:D85)</f>
        <v>10723807.166666666</v>
      </c>
      <c r="E86" s="59">
        <f t="shared" si="129"/>
        <v>12552294.5</v>
      </c>
      <c r="F86" s="59">
        <f t="shared" si="129"/>
        <v>12235421.5</v>
      </c>
      <c r="G86" s="59">
        <f t="shared" si="129"/>
        <v>10689111.5</v>
      </c>
      <c r="H86" s="59">
        <f t="shared" si="129"/>
        <v>11009601.5</v>
      </c>
      <c r="I86" s="59">
        <f t="shared" si="129"/>
        <v>10046194.333333334</v>
      </c>
      <c r="J86" s="59">
        <f t="shared" si="129"/>
        <v>10530716.166666666</v>
      </c>
      <c r="K86" s="59">
        <f t="shared" si="129"/>
        <v>10378465.166666666</v>
      </c>
      <c r="L86" s="59">
        <f t="shared" si="129"/>
        <v>11951557.833333334</v>
      </c>
      <c r="M86" s="59">
        <f t="shared" si="129"/>
        <v>10820662.833333334</v>
      </c>
      <c r="N86" s="59">
        <f t="shared" si="129"/>
        <v>10524935.5</v>
      </c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2:26" x14ac:dyDescent="0.25">
      <c r="B87" t="s">
        <v>662</v>
      </c>
      <c r="C87" s="59">
        <f>+C74-C86</f>
        <v>2821255.833333334</v>
      </c>
      <c r="D87" s="59">
        <f t="shared" ref="D87:N87" si="130">+D74-D86</f>
        <v>1265609.833333334</v>
      </c>
      <c r="E87" s="59">
        <f t="shared" si="130"/>
        <v>322053.5</v>
      </c>
      <c r="F87" s="59">
        <f t="shared" si="130"/>
        <v>1189940.5</v>
      </c>
      <c r="G87" s="59">
        <f t="shared" si="130"/>
        <v>3298052.5</v>
      </c>
      <c r="H87" s="59">
        <f t="shared" si="130"/>
        <v>3024637.5</v>
      </c>
      <c r="I87" s="59">
        <f t="shared" si="130"/>
        <v>1226562.666666666</v>
      </c>
      <c r="J87" s="59">
        <f t="shared" si="130"/>
        <v>-3007204.166666666</v>
      </c>
      <c r="K87" s="59">
        <f t="shared" si="130"/>
        <v>-2635545.166666666</v>
      </c>
      <c r="L87" s="59">
        <f t="shared" si="130"/>
        <v>-1911458.833333334</v>
      </c>
      <c r="M87" s="59">
        <f t="shared" si="130"/>
        <v>5943878.166666666</v>
      </c>
      <c r="N87" s="59">
        <f t="shared" si="130"/>
        <v>-79019.5</v>
      </c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2:26" x14ac:dyDescent="0.25">
      <c r="B88" t="s">
        <v>661</v>
      </c>
      <c r="C88" s="59">
        <f>AVERAGE(C80:C81)</f>
        <v>11956158.5</v>
      </c>
      <c r="D88" s="59">
        <f t="shared" ref="D88:N88" si="131">AVERAGE(D80:D81)</f>
        <v>10948270.5</v>
      </c>
      <c r="E88" s="59">
        <f t="shared" si="131"/>
        <v>12456194.5</v>
      </c>
      <c r="F88" s="59">
        <f t="shared" si="131"/>
        <v>11721796.5</v>
      </c>
      <c r="G88" s="59">
        <f t="shared" si="131"/>
        <v>11313371</v>
      </c>
      <c r="H88" s="59">
        <f t="shared" si="131"/>
        <v>10599025.5</v>
      </c>
      <c r="I88" s="59">
        <f t="shared" si="131"/>
        <v>9556772.5</v>
      </c>
      <c r="J88" s="59">
        <f t="shared" si="131"/>
        <v>11228105.5</v>
      </c>
      <c r="K88" s="59">
        <f t="shared" si="131"/>
        <v>10698302</v>
      </c>
      <c r="L88" s="59">
        <f t="shared" si="131"/>
        <v>12648696</v>
      </c>
      <c r="M88" s="59">
        <f t="shared" si="131"/>
        <v>11198452.5</v>
      </c>
      <c r="N88" s="59">
        <f t="shared" si="131"/>
        <v>11838757</v>
      </c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2:26" x14ac:dyDescent="0.25">
      <c r="B89" t="s">
        <v>662</v>
      </c>
      <c r="C89" s="59">
        <f>+C74-C88</f>
        <v>1457559.5</v>
      </c>
      <c r="D89" s="59">
        <f t="shared" ref="D89:N89" si="132">+D74-D88</f>
        <v>1041146.5</v>
      </c>
      <c r="E89" s="59">
        <f t="shared" si="132"/>
        <v>418153.5</v>
      </c>
      <c r="F89" s="59">
        <f t="shared" si="132"/>
        <v>1703565.5</v>
      </c>
      <c r="G89" s="59">
        <f t="shared" si="132"/>
        <v>2673793</v>
      </c>
      <c r="H89" s="59">
        <f t="shared" si="132"/>
        <v>3435213.5</v>
      </c>
      <c r="I89" s="59">
        <f t="shared" si="132"/>
        <v>1715984.5</v>
      </c>
      <c r="J89" s="59">
        <f t="shared" si="132"/>
        <v>-3704593.5</v>
      </c>
      <c r="K89" s="59">
        <f t="shared" si="132"/>
        <v>-2955382</v>
      </c>
      <c r="L89" s="59">
        <f t="shared" si="132"/>
        <v>-2608597</v>
      </c>
      <c r="M89" s="59">
        <f t="shared" si="132"/>
        <v>5566088.5</v>
      </c>
      <c r="N89" s="59">
        <f t="shared" si="132"/>
        <v>-1392841</v>
      </c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7" spans="7:10" x14ac:dyDescent="0.25">
      <c r="G97" t="s">
        <v>644</v>
      </c>
      <c r="H97" t="s">
        <v>933</v>
      </c>
    </row>
    <row r="98" spans="7:10" x14ac:dyDescent="0.25">
      <c r="G98" t="s">
        <v>604</v>
      </c>
      <c r="H98">
        <v>10</v>
      </c>
      <c r="I98">
        <f>+H61</f>
        <v>8</v>
      </c>
      <c r="J98">
        <f>+H98-I98</f>
        <v>2</v>
      </c>
    </row>
    <row r="99" spans="7:10" x14ac:dyDescent="0.25">
      <c r="G99" t="s">
        <v>93</v>
      </c>
      <c r="H99">
        <v>25</v>
      </c>
      <c r="I99">
        <f>+H21</f>
        <v>25</v>
      </c>
      <c r="J99">
        <f t="shared" ref="J99:J106" si="133">+H99-I99</f>
        <v>0</v>
      </c>
    </row>
    <row r="100" spans="7:10" x14ac:dyDescent="0.25">
      <c r="G100" t="s">
        <v>81</v>
      </c>
      <c r="H100">
        <v>7</v>
      </c>
      <c r="I100">
        <v>0</v>
      </c>
      <c r="J100">
        <f t="shared" si="133"/>
        <v>7</v>
      </c>
    </row>
    <row r="101" spans="7:10" x14ac:dyDescent="0.25">
      <c r="G101" t="s">
        <v>608</v>
      </c>
      <c r="H101">
        <v>5</v>
      </c>
      <c r="I101">
        <f>+H46</f>
        <v>5</v>
      </c>
      <c r="J101">
        <f t="shared" si="133"/>
        <v>0</v>
      </c>
    </row>
    <row r="102" spans="7:10" x14ac:dyDescent="0.25">
      <c r="G102" t="s">
        <v>77</v>
      </c>
      <c r="H102">
        <v>25</v>
      </c>
      <c r="I102">
        <f>+H26</f>
        <v>25</v>
      </c>
      <c r="J102">
        <f t="shared" si="133"/>
        <v>0</v>
      </c>
    </row>
    <row r="103" spans="7:10" x14ac:dyDescent="0.25">
      <c r="G103" t="s">
        <v>607</v>
      </c>
      <c r="H103">
        <v>12</v>
      </c>
      <c r="I103">
        <f>+H56</f>
        <v>12</v>
      </c>
      <c r="J103">
        <f t="shared" si="133"/>
        <v>0</v>
      </c>
    </row>
    <row r="104" spans="7:10" x14ac:dyDescent="0.25">
      <c r="G104" t="s">
        <v>620</v>
      </c>
      <c r="H104">
        <v>29</v>
      </c>
      <c r="I104">
        <f>+H36</f>
        <v>29</v>
      </c>
      <c r="J104">
        <f t="shared" si="133"/>
        <v>0</v>
      </c>
    </row>
    <row r="105" spans="7:10" x14ac:dyDescent="0.25">
      <c r="G105" t="s">
        <v>934</v>
      </c>
      <c r="H105">
        <v>27</v>
      </c>
      <c r="I105">
        <f>+H16</f>
        <v>27</v>
      </c>
      <c r="J105">
        <f t="shared" si="133"/>
        <v>0</v>
      </c>
    </row>
    <row r="106" spans="7:10" x14ac:dyDescent="0.25">
      <c r="G106" t="s">
        <v>79</v>
      </c>
      <c r="H106">
        <v>22</v>
      </c>
      <c r="I106">
        <f>+H41</f>
        <v>22</v>
      </c>
      <c r="J106">
        <f t="shared" si="133"/>
        <v>0</v>
      </c>
    </row>
  </sheetData>
  <mergeCells count="10">
    <mergeCell ref="A55:A58"/>
    <mergeCell ref="A60:A63"/>
    <mergeCell ref="A35:A38"/>
    <mergeCell ref="A50:A53"/>
    <mergeCell ref="A15:A18"/>
    <mergeCell ref="A20:A23"/>
    <mergeCell ref="A25:A28"/>
    <mergeCell ref="A30:A33"/>
    <mergeCell ref="A40:A43"/>
    <mergeCell ref="A45:A48"/>
  </mergeCells>
  <conditionalFormatting sqref="C17:Z17">
    <cfRule type="cellIs" dxfId="44" priority="70" operator="lessThan">
      <formula>0</formula>
    </cfRule>
    <cfRule type="cellIs" dxfId="43" priority="71" operator="between">
      <formula>0</formula>
      <formula>5</formula>
    </cfRule>
    <cfRule type="cellIs" dxfId="42" priority="72" operator="greaterThan">
      <formula>5</formula>
    </cfRule>
  </conditionalFormatting>
  <conditionalFormatting sqref="C22:Z22">
    <cfRule type="cellIs" dxfId="41" priority="22" operator="lessThan">
      <formula>0</formula>
    </cfRule>
    <cfRule type="cellIs" dxfId="40" priority="23" operator="between">
      <formula>0</formula>
      <formula>5</formula>
    </cfRule>
    <cfRule type="cellIs" dxfId="39" priority="24" operator="greaterThan">
      <formula>5</formula>
    </cfRule>
  </conditionalFormatting>
  <conditionalFormatting sqref="C27:Z27">
    <cfRule type="cellIs" dxfId="38" priority="19" operator="lessThan">
      <formula>0</formula>
    </cfRule>
    <cfRule type="cellIs" dxfId="37" priority="20" operator="between">
      <formula>0</formula>
      <formula>5</formula>
    </cfRule>
    <cfRule type="cellIs" dxfId="36" priority="21" operator="greaterThan">
      <formula>5</formula>
    </cfRule>
  </conditionalFormatting>
  <conditionalFormatting sqref="C37:Z37">
    <cfRule type="cellIs" dxfId="35" priority="13" operator="lessThan">
      <formula>0</formula>
    </cfRule>
    <cfRule type="cellIs" dxfId="34" priority="14" operator="between">
      <formula>0</formula>
      <formula>5</formula>
    </cfRule>
    <cfRule type="cellIs" dxfId="33" priority="15" operator="greaterThan">
      <formula>5</formula>
    </cfRule>
  </conditionalFormatting>
  <conditionalFormatting sqref="C42:Z42">
    <cfRule type="cellIs" dxfId="32" priority="10" operator="lessThan">
      <formula>0</formula>
    </cfRule>
    <cfRule type="cellIs" dxfId="31" priority="11" operator="between">
      <formula>0</formula>
      <formula>5</formula>
    </cfRule>
    <cfRule type="cellIs" dxfId="30" priority="12" operator="greaterThan">
      <formula>5</formula>
    </cfRule>
  </conditionalFormatting>
  <conditionalFormatting sqref="C47:Z47">
    <cfRule type="cellIs" dxfId="29" priority="7" operator="lessThan">
      <formula>0</formula>
    </cfRule>
    <cfRule type="cellIs" dxfId="28" priority="8" operator="between">
      <formula>0</formula>
      <formula>5</formula>
    </cfRule>
    <cfRule type="cellIs" dxfId="27" priority="9" operator="greaterThan">
      <formula>5</formula>
    </cfRule>
  </conditionalFormatting>
  <conditionalFormatting sqref="C52:Z52">
    <cfRule type="cellIs" dxfId="26" priority="4" operator="lessThan">
      <formula>0</formula>
    </cfRule>
    <cfRule type="cellIs" dxfId="25" priority="5" operator="between">
      <formula>0</formula>
      <formula>5</formula>
    </cfRule>
    <cfRule type="cellIs" dxfId="24" priority="6" operator="greaterThan">
      <formula>5</formula>
    </cfRule>
  </conditionalFormatting>
  <conditionalFormatting sqref="C57:Z57">
    <cfRule type="cellIs" dxfId="23" priority="49" operator="lessThan">
      <formula>0</formula>
    </cfRule>
    <cfRule type="cellIs" dxfId="22" priority="50" operator="between">
      <formula>0</formula>
      <formula>5</formula>
    </cfRule>
    <cfRule type="cellIs" dxfId="21" priority="51" operator="greaterThan">
      <formula>5</formula>
    </cfRule>
  </conditionalFormatting>
  <conditionalFormatting sqref="C62:Z62">
    <cfRule type="cellIs" dxfId="20" priority="1" operator="lessThan">
      <formula>0</formula>
    </cfRule>
    <cfRule type="cellIs" dxfId="19" priority="2" operator="between">
      <formula>0</formula>
      <formula>5</formula>
    </cfRule>
    <cfRule type="cellIs" dxfId="18" priority="3" operator="greaterThan">
      <formula>5</formula>
    </cfRule>
  </conditionalFormatting>
  <conditionalFormatting sqref="M32:Z32">
    <cfRule type="cellIs" dxfId="17" priority="16" operator="lessThan">
      <formula>0</formula>
    </cfRule>
    <cfRule type="cellIs" dxfId="16" priority="17" operator="between">
      <formula>0</formula>
      <formula>5</formula>
    </cfRule>
    <cfRule type="cellIs" dxfId="15" priority="18" operator="greaterThan">
      <formula>5</formula>
    </cfRule>
  </conditionalFormatting>
  <pageMargins left="0.7" right="0.7" top="0.75" bottom="0.75" header="0.3" footer="0.3"/>
  <pageSetup scale="5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12D7-5349-4EEA-804F-DDFE8890B264}">
  <sheetPr>
    <pageSetUpPr fitToPage="1"/>
  </sheetPr>
  <dimension ref="A1:FR123"/>
  <sheetViews>
    <sheetView showGridLines="0" tabSelected="1" zoomScale="85" zoomScaleNormal="85" workbookViewId="0">
      <pane xSplit="1" ySplit="2" topLeftCell="B3" activePane="bottomRight" state="frozen"/>
      <selection activeCell="R14" sqref="R14"/>
      <selection pane="topRight" activeCell="R14" sqref="R14"/>
      <selection pane="bottomLeft" activeCell="R14" sqref="R14"/>
      <selection pane="bottomRight" activeCell="AE18" sqref="AE18"/>
    </sheetView>
  </sheetViews>
  <sheetFormatPr defaultRowHeight="15" outlineLevelRow="2" outlineLevelCol="2" x14ac:dyDescent="0.25"/>
  <cols>
    <col min="1" max="1" width="47" bestFit="1" customWidth="1"/>
    <col min="2" max="10" width="17.140625" hidden="1" customWidth="1" outlineLevel="1"/>
    <col min="11" max="11" width="17.140625" hidden="1" customWidth="1" collapsed="1"/>
    <col min="12" max="12" width="17.140625" hidden="1" customWidth="1"/>
    <col min="13" max="13" width="15.5703125" style="118" hidden="1" customWidth="1"/>
    <col min="14" max="14" width="15.5703125" hidden="1" customWidth="1"/>
    <col min="15" max="15" width="14.5703125" hidden="1" customWidth="1"/>
    <col min="16" max="16" width="16.7109375" style="147" hidden="1" customWidth="1"/>
    <col min="17" max="17" width="15.5703125" style="118" hidden="1" customWidth="1"/>
    <col min="18" max="19" width="17.140625" hidden="1" customWidth="1"/>
    <col min="20" max="20" width="16.42578125" hidden="1" customWidth="1"/>
    <col min="21" max="21" width="22.28515625" style="118" hidden="1" customWidth="1"/>
    <col min="22" max="22" width="25.5703125" hidden="1" customWidth="1"/>
    <col min="23" max="23" width="21.42578125" hidden="1" customWidth="1"/>
    <col min="24" max="24" width="17.7109375" hidden="1" customWidth="1"/>
    <col min="25" max="25" width="24" hidden="1" customWidth="1" outlineLevel="1"/>
    <col min="26" max="26" width="24" customWidth="1" outlineLevel="1"/>
    <col min="27" max="27" width="25.5703125" customWidth="1" outlineLevel="1"/>
    <col min="28" max="28" width="25.5703125" hidden="1" customWidth="1" outlineLevel="1"/>
    <col min="29" max="30" width="25.5703125" customWidth="1" outlineLevel="1"/>
    <col min="31" max="31" width="21.85546875" customWidth="1" outlineLevel="1"/>
    <col min="32" max="40" width="17.140625" customWidth="1" outlineLevel="1"/>
    <col min="41" max="41" width="12.5703125" bestFit="1" customWidth="1"/>
    <col min="42" max="42" width="9.42578125" style="45" hidden="1" customWidth="1" outlineLevel="2"/>
    <col min="43" max="43" width="12.85546875" hidden="1" customWidth="1" outlineLevel="2"/>
    <col min="44" max="44" width="8.5703125" style="46" hidden="1" customWidth="1" outlineLevel="2"/>
    <col min="45" max="45" width="9.42578125" style="45" hidden="1" customWidth="1" outlineLevel="2"/>
    <col min="46" max="46" width="12.85546875" hidden="1" customWidth="1" outlineLevel="2"/>
    <col min="47" max="47" width="8.5703125" style="46" hidden="1" customWidth="1" outlineLevel="2"/>
    <col min="48" max="48" width="9.42578125" style="45" hidden="1" customWidth="1" outlineLevel="2"/>
    <col min="49" max="49" width="12.85546875" hidden="1" customWidth="1" outlineLevel="2"/>
    <col min="50" max="50" width="8.5703125" style="46" hidden="1" customWidth="1" outlineLevel="2"/>
    <col min="51" max="51" width="9.42578125" style="45" hidden="1" customWidth="1" outlineLevel="2"/>
    <col min="52" max="52" width="12.85546875" hidden="1" customWidth="1" outlineLevel="2"/>
    <col min="53" max="53" width="8.5703125" style="46" hidden="1" customWidth="1" outlineLevel="2"/>
    <col min="54" max="54" width="9.140625" style="45" hidden="1" customWidth="1" outlineLevel="2"/>
    <col min="55" max="55" width="11.42578125" hidden="1" customWidth="1" outlineLevel="2"/>
    <col min="56" max="56" width="7.7109375" style="46" hidden="1" customWidth="1" outlineLevel="2"/>
    <col min="57" max="57" width="9.140625" style="45" hidden="1" customWidth="1" outlineLevel="2"/>
    <col min="58" max="58" width="11.42578125" hidden="1" customWidth="1" outlineLevel="2"/>
    <col min="59" max="59" width="7.7109375" style="46" hidden="1" customWidth="1" outlineLevel="2"/>
    <col min="60" max="60" width="9.42578125" style="45" hidden="1" customWidth="1" outlineLevel="2"/>
    <col min="61" max="61" width="12.85546875" hidden="1" customWidth="1" outlineLevel="2"/>
    <col min="62" max="62" width="8.5703125" style="46" hidden="1" customWidth="1" outlineLevel="2"/>
    <col min="63" max="63" width="9.42578125" style="45" hidden="1" customWidth="1" outlineLevel="2"/>
    <col min="64" max="64" width="12.85546875" hidden="1" customWidth="1" outlineLevel="2"/>
    <col min="65" max="65" width="8.5703125" style="46" hidden="1" customWidth="1" outlineLevel="2"/>
    <col min="66" max="66" width="9.42578125" style="45" hidden="1" customWidth="1" outlineLevel="2"/>
    <col min="67" max="67" width="12.85546875" hidden="1" customWidth="1" outlineLevel="2"/>
    <col min="68" max="68" width="8.5703125" style="46" hidden="1" customWidth="1" outlineLevel="2"/>
    <col min="69" max="69" width="9.42578125" style="45" hidden="1" customWidth="1" outlineLevel="2"/>
    <col min="70" max="70" width="12.85546875" hidden="1" customWidth="1" outlineLevel="2"/>
    <col min="71" max="71" width="8.5703125" style="46" hidden="1" customWidth="1" outlineLevel="2"/>
    <col min="72" max="72" width="9.42578125" style="45" hidden="1" customWidth="1" outlineLevel="2"/>
    <col min="73" max="73" width="12.85546875" hidden="1" customWidth="1" outlineLevel="2"/>
    <col min="74" max="74" width="8.5703125" style="46" hidden="1" customWidth="1" outlineLevel="2"/>
    <col min="75" max="75" width="9.42578125" style="45" hidden="1" customWidth="1" outlineLevel="2"/>
    <col min="76" max="76" width="12.85546875" hidden="1" customWidth="1" outlineLevel="2"/>
    <col min="77" max="77" width="8.5703125" style="46" hidden="1" customWidth="1" outlineLevel="2"/>
    <col min="78" max="78" width="9.42578125" style="45" customWidth="1" outlineLevel="1" collapsed="1"/>
    <col min="79" max="79" width="12.85546875" customWidth="1" outlineLevel="1"/>
    <col min="80" max="80" width="8.5703125" style="46" customWidth="1" outlineLevel="1"/>
    <col min="81" max="81" width="9.42578125" style="45" customWidth="1" outlineLevel="1"/>
    <col min="82" max="82" width="12.85546875" customWidth="1" outlineLevel="1"/>
    <col min="83" max="83" width="8.5703125" style="46" customWidth="1" outlineLevel="1"/>
    <col min="84" max="84" width="9.42578125" style="45" customWidth="1" outlineLevel="1"/>
    <col min="85" max="85" width="12.85546875" customWidth="1" outlineLevel="1"/>
    <col min="86" max="86" width="8.5703125" style="46" customWidth="1" outlineLevel="1"/>
    <col min="87" max="87" width="9.42578125" style="45" customWidth="1" outlineLevel="1"/>
    <col min="88" max="88" width="12.85546875" customWidth="1" outlineLevel="1"/>
    <col min="89" max="89" width="8.5703125" style="46" customWidth="1" outlineLevel="1"/>
    <col min="90" max="90" width="9.42578125" style="45" customWidth="1" outlineLevel="1"/>
    <col min="91" max="91" width="12.85546875" customWidth="1" outlineLevel="1"/>
    <col min="92" max="92" width="8.5703125" style="46" customWidth="1" outlineLevel="1"/>
    <col min="93" max="93" width="9.42578125" style="45" customWidth="1" outlineLevel="1"/>
    <col min="94" max="94" width="12.85546875" customWidth="1" outlineLevel="1"/>
    <col min="95" max="95" width="8.5703125" style="46" customWidth="1" outlineLevel="1"/>
    <col min="96" max="96" width="9.42578125" style="45" customWidth="1" outlineLevel="1"/>
    <col min="97" max="97" width="12.85546875" customWidth="1" outlineLevel="1"/>
    <col min="98" max="98" width="8.5703125" style="46" customWidth="1" outlineLevel="1"/>
    <col min="99" max="99" width="9.42578125" style="45" customWidth="1" outlineLevel="1"/>
    <col min="100" max="100" width="12.85546875" customWidth="1" outlineLevel="1"/>
    <col min="101" max="101" width="8.5703125" style="46" customWidth="1" outlineLevel="1"/>
    <col min="102" max="102" width="9.42578125" style="45" customWidth="1" outlineLevel="1"/>
    <col min="103" max="103" width="12.85546875" customWidth="1" outlineLevel="1"/>
    <col min="104" max="104" width="8.5703125" style="46" customWidth="1" outlineLevel="1"/>
    <col min="105" max="105" width="9.42578125" style="45" customWidth="1" outlineLevel="1"/>
    <col min="106" max="106" width="12.85546875" customWidth="1" outlineLevel="1"/>
    <col min="107" max="107" width="8.5703125" style="46" customWidth="1" outlineLevel="1"/>
    <col min="108" max="108" width="9.42578125" style="45" customWidth="1" outlineLevel="1"/>
    <col min="109" max="109" width="12.85546875" customWidth="1" outlineLevel="1"/>
    <col min="110" max="110" width="8.5703125" style="46" customWidth="1" outlineLevel="1"/>
    <col min="111" max="111" width="9.42578125" style="45" customWidth="1" outlineLevel="1"/>
    <col min="112" max="112" width="12.85546875" customWidth="1" outlineLevel="1"/>
    <col min="113" max="113" width="8.5703125" style="46" customWidth="1" outlineLevel="1"/>
    <col min="114" max="114" width="9.140625" customWidth="1"/>
    <col min="115" max="121" width="9.140625" hidden="1" customWidth="1" outlineLevel="2"/>
    <col min="122" max="122" width="12.85546875" hidden="1" customWidth="1" outlineLevel="2"/>
    <col min="123" max="126" width="9.140625" hidden="1" customWidth="1" outlineLevel="2"/>
    <col min="127" max="127" width="9.140625" customWidth="1" outlineLevel="1" collapsed="1"/>
    <col min="128" max="138" width="9.140625" customWidth="1" outlineLevel="1"/>
    <col min="139" max="139" width="9.140625" customWidth="1"/>
    <col min="140" max="147" width="9.140625" customWidth="1" outlineLevel="2"/>
    <col min="148" max="148" width="9.140625" customWidth="1" outlineLevel="2" collapsed="1"/>
    <col min="149" max="151" width="9.140625" customWidth="1" outlineLevel="2"/>
    <col min="152" max="163" width="9.140625" customWidth="1" outlineLevel="1"/>
    <col min="164" max="164" width="9.140625" customWidth="1"/>
    <col min="165" max="165" width="11.28515625" bestFit="1" customWidth="1"/>
    <col min="171" max="171" width="47.5703125" bestFit="1" customWidth="1"/>
  </cols>
  <sheetData>
    <row r="1" spans="1:174" ht="20.25" x14ac:dyDescent="0.3">
      <c r="A1" s="35" t="s">
        <v>2605</v>
      </c>
      <c r="B1" s="36">
        <f>EOMONTH(C1,-1)</f>
        <v>45688</v>
      </c>
      <c r="C1" s="36">
        <f>EOMONTH(D1,-1)</f>
        <v>45716</v>
      </c>
      <c r="D1" s="36">
        <v>45747</v>
      </c>
      <c r="E1" s="36">
        <f t="shared" ref="E1:K1" si="0">EOMONTH(D1,1)</f>
        <v>45777</v>
      </c>
      <c r="F1" s="36">
        <f t="shared" si="0"/>
        <v>45808</v>
      </c>
      <c r="G1" s="36">
        <f t="shared" si="0"/>
        <v>45838</v>
      </c>
      <c r="H1" s="36">
        <f t="shared" si="0"/>
        <v>45869</v>
      </c>
      <c r="I1" s="36">
        <f t="shared" si="0"/>
        <v>45900</v>
      </c>
      <c r="J1" s="36">
        <f t="shared" si="0"/>
        <v>45930</v>
      </c>
      <c r="K1" s="36">
        <f t="shared" si="0"/>
        <v>45961</v>
      </c>
      <c r="L1" s="36">
        <f>EOMONTH(K1,1)</f>
        <v>45991</v>
      </c>
      <c r="M1" s="131">
        <f>EOMONTH(K1,1)</f>
        <v>45991</v>
      </c>
      <c r="N1" s="36"/>
      <c r="O1" s="36"/>
      <c r="P1" s="139">
        <f>EOMONTH(M1,1)</f>
        <v>46022</v>
      </c>
      <c r="Q1" s="182">
        <f>+P1</f>
        <v>46022</v>
      </c>
      <c r="R1" s="183"/>
      <c r="S1" s="183"/>
      <c r="T1" s="184"/>
      <c r="U1" s="255">
        <f>EOMONTH(Q1,1)</f>
        <v>46053</v>
      </c>
      <c r="V1" s="256"/>
      <c r="W1" s="256"/>
      <c r="X1" s="256"/>
      <c r="Y1" s="252">
        <f>EOMONTH(U1,1)</f>
        <v>46081</v>
      </c>
      <c r="Z1" s="253"/>
      <c r="AA1" s="253"/>
      <c r="AB1" s="254"/>
      <c r="AC1" s="252">
        <f>EOMONTH(Y1,1)</f>
        <v>46112</v>
      </c>
      <c r="AD1" s="253"/>
      <c r="AE1" s="254"/>
      <c r="AF1" s="36">
        <f>EOMONTH(AC1,1)</f>
        <v>46142</v>
      </c>
      <c r="AG1" s="36">
        <f t="shared" ref="AG1" si="1">EOMONTH(AF1,1)</f>
        <v>46173</v>
      </c>
      <c r="AH1" s="36">
        <f t="shared" ref="AH1" si="2">EOMONTH(AG1,1)</f>
        <v>46203</v>
      </c>
      <c r="AI1" s="36">
        <f t="shared" ref="AI1:AK1" si="3">EOMONTH(AH1,1)</f>
        <v>46234</v>
      </c>
      <c r="AJ1" s="36">
        <f t="shared" si="3"/>
        <v>46265</v>
      </c>
      <c r="AK1" s="36">
        <f t="shared" si="3"/>
        <v>46295</v>
      </c>
      <c r="AL1" s="36">
        <f t="shared" ref="AL1" si="4">EOMONTH(AK1,1)</f>
        <v>46326</v>
      </c>
      <c r="AM1" s="36">
        <f t="shared" ref="AM1" si="5">EOMONTH(AL1,1)</f>
        <v>46356</v>
      </c>
      <c r="AN1" s="36">
        <f t="shared" ref="AN1" si="6">EOMONTH(AM1,1)</f>
        <v>46387</v>
      </c>
      <c r="AO1" s="177"/>
      <c r="AP1" s="1">
        <f>+B1</f>
        <v>45688</v>
      </c>
      <c r="AQ1" s="2"/>
      <c r="AR1" s="3"/>
      <c r="AS1" s="1">
        <f>+C1</f>
        <v>45716</v>
      </c>
      <c r="AT1" s="2"/>
      <c r="AU1" s="3"/>
      <c r="AV1" s="1">
        <f>+D1</f>
        <v>45747</v>
      </c>
      <c r="AW1" s="2"/>
      <c r="AX1" s="3"/>
      <c r="AY1" s="1">
        <f>+E1</f>
        <v>45777</v>
      </c>
      <c r="AZ1" s="2"/>
      <c r="BA1" s="3"/>
      <c r="BB1" s="1">
        <f>+F1</f>
        <v>45808</v>
      </c>
      <c r="BC1" s="2"/>
      <c r="BD1" s="3"/>
      <c r="BE1" s="1">
        <f>+EOMONTH(BB1,1)</f>
        <v>45838</v>
      </c>
      <c r="BF1" s="2"/>
      <c r="BG1" s="3"/>
      <c r="BH1" s="1" t="s">
        <v>69</v>
      </c>
      <c r="BI1" s="2"/>
      <c r="BJ1" s="3"/>
      <c r="BK1" s="1" t="s">
        <v>70</v>
      </c>
      <c r="BL1" s="2"/>
      <c r="BM1" s="3"/>
      <c r="BN1" s="1" t="s">
        <v>71</v>
      </c>
      <c r="BO1" s="2"/>
      <c r="BP1" s="3"/>
      <c r="BQ1" s="1" t="s">
        <v>131</v>
      </c>
      <c r="BR1" s="2"/>
      <c r="BS1" s="3"/>
      <c r="BT1" s="1" t="s">
        <v>132</v>
      </c>
      <c r="BU1" s="2"/>
      <c r="BV1" s="3"/>
      <c r="BW1" s="1" t="s">
        <v>133</v>
      </c>
      <c r="BX1" s="2"/>
      <c r="BY1" s="3"/>
      <c r="BZ1" s="1" t="s">
        <v>905</v>
      </c>
      <c r="CA1" s="2"/>
      <c r="CB1" s="3"/>
      <c r="CC1" s="1" t="s">
        <v>906</v>
      </c>
      <c r="CD1" s="2"/>
      <c r="CE1" s="3"/>
      <c r="CF1" s="1" t="s">
        <v>907</v>
      </c>
      <c r="CG1" s="2"/>
      <c r="CH1" s="3"/>
      <c r="CI1" s="1" t="s">
        <v>908</v>
      </c>
      <c r="CJ1" s="2"/>
      <c r="CK1" s="3"/>
      <c r="CL1" s="1" t="s">
        <v>83</v>
      </c>
      <c r="CM1" s="2"/>
      <c r="CN1" s="3"/>
      <c r="CO1" s="1" t="s">
        <v>68</v>
      </c>
      <c r="CP1" s="2"/>
      <c r="CQ1" s="3"/>
      <c r="CR1" s="1" t="s">
        <v>69</v>
      </c>
      <c r="CS1" s="2"/>
      <c r="CT1" s="3"/>
      <c r="CU1" s="1" t="s">
        <v>541</v>
      </c>
      <c r="CV1" s="2"/>
      <c r="CW1" s="3"/>
      <c r="CX1" s="1" t="s">
        <v>71</v>
      </c>
      <c r="CY1" s="2"/>
      <c r="CZ1" s="3"/>
      <c r="DA1" s="1" t="s">
        <v>131</v>
      </c>
      <c r="DB1" s="2"/>
      <c r="DC1" s="3"/>
      <c r="DD1" s="1" t="s">
        <v>132</v>
      </c>
      <c r="DE1" s="2"/>
      <c r="DF1" s="3"/>
      <c r="DG1" s="1" t="s">
        <v>133</v>
      </c>
      <c r="DH1" s="2"/>
      <c r="DI1" s="3"/>
      <c r="DK1" s="1" t="str">
        <f>+EJ1</f>
        <v>Jan</v>
      </c>
      <c r="DL1" s="2" t="str">
        <f t="shared" ref="DL1:EB1" si="7">+EK1</f>
        <v>Feb</v>
      </c>
      <c r="DM1" s="2" t="str">
        <f t="shared" si="7"/>
        <v>Mar</v>
      </c>
      <c r="DN1" s="2" t="str">
        <f t="shared" si="7"/>
        <v>Apr</v>
      </c>
      <c r="DO1" s="2" t="str">
        <f t="shared" si="7"/>
        <v>May</v>
      </c>
      <c r="DP1" s="2" t="str">
        <f t="shared" si="7"/>
        <v>Jun</v>
      </c>
      <c r="DQ1" s="2" t="str">
        <f t="shared" si="7"/>
        <v>Jul</v>
      </c>
      <c r="DR1" s="2" t="str">
        <f t="shared" si="7"/>
        <v>Aug</v>
      </c>
      <c r="DS1" s="2" t="str">
        <f t="shared" si="7"/>
        <v>Sep</v>
      </c>
      <c r="DT1" s="2" t="str">
        <f t="shared" si="7"/>
        <v>Oct</v>
      </c>
      <c r="DU1" s="2" t="str">
        <f t="shared" si="7"/>
        <v>Nov</v>
      </c>
      <c r="DV1" s="3" t="str">
        <f t="shared" si="7"/>
        <v>Dec</v>
      </c>
      <c r="DW1" s="36" t="str">
        <f t="shared" si="7"/>
        <v>Jan</v>
      </c>
      <c r="DX1" s="36" t="str">
        <f t="shared" si="7"/>
        <v>Feb</v>
      </c>
      <c r="DY1" s="36" t="str">
        <f t="shared" si="7"/>
        <v>Mar</v>
      </c>
      <c r="DZ1" s="36" t="str">
        <f t="shared" si="7"/>
        <v>Apr</v>
      </c>
      <c r="EA1" s="36" t="str">
        <f t="shared" si="7"/>
        <v>May</v>
      </c>
      <c r="EB1" s="36" t="str">
        <f t="shared" si="7"/>
        <v>Jun</v>
      </c>
      <c r="EC1" s="36" t="s">
        <v>69</v>
      </c>
      <c r="ED1" s="36" t="s">
        <v>70</v>
      </c>
      <c r="EE1" s="36" t="s">
        <v>71</v>
      </c>
      <c r="EF1" s="36" t="s">
        <v>131</v>
      </c>
      <c r="EG1" s="36" t="s">
        <v>132</v>
      </c>
      <c r="EH1" s="36" t="s">
        <v>133</v>
      </c>
      <c r="EJ1" s="1" t="s">
        <v>905</v>
      </c>
      <c r="EK1" s="2" t="s">
        <v>906</v>
      </c>
      <c r="EL1" s="2" t="s">
        <v>907</v>
      </c>
      <c r="EM1" s="2" t="s">
        <v>908</v>
      </c>
      <c r="EN1" s="1" t="s">
        <v>83</v>
      </c>
      <c r="EO1" s="2" t="s">
        <v>587</v>
      </c>
      <c r="EP1" s="2" t="s">
        <v>648</v>
      </c>
      <c r="EQ1" s="2" t="s">
        <v>70</v>
      </c>
      <c r="ER1" s="1" t="s">
        <v>909</v>
      </c>
      <c r="ES1" s="2" t="s">
        <v>131</v>
      </c>
      <c r="ET1" s="2" t="s">
        <v>132</v>
      </c>
      <c r="EU1" s="2" t="s">
        <v>133</v>
      </c>
      <c r="EV1" s="1" t="s">
        <v>905</v>
      </c>
      <c r="EW1" s="2" t="s">
        <v>906</v>
      </c>
      <c r="EX1" s="2" t="s">
        <v>907</v>
      </c>
      <c r="EY1" s="2" t="s">
        <v>908</v>
      </c>
      <c r="EZ1" s="1" t="s">
        <v>83</v>
      </c>
      <c r="FA1" s="2" t="s">
        <v>587</v>
      </c>
      <c r="FB1" s="2" t="str">
        <f>+EC1</f>
        <v>July</v>
      </c>
      <c r="FC1" s="2" t="str">
        <f>+ED1</f>
        <v>Aug</v>
      </c>
      <c r="FD1" s="2" t="str">
        <f t="shared" ref="FD1:FG1" si="8">+EE1</f>
        <v>Sept</v>
      </c>
      <c r="FE1" s="2" t="str">
        <f t="shared" si="8"/>
        <v>Oct</v>
      </c>
      <c r="FF1" s="2" t="str">
        <f t="shared" si="8"/>
        <v>Nov</v>
      </c>
      <c r="FG1" s="2" t="str">
        <f t="shared" si="8"/>
        <v>Dec</v>
      </c>
    </row>
    <row r="2" spans="1:174" ht="21" thickBot="1" x14ac:dyDescent="0.35">
      <c r="A2" s="35" t="s">
        <v>134</v>
      </c>
      <c r="B2" s="37" t="s">
        <v>349</v>
      </c>
      <c r="C2" s="37" t="s">
        <v>349</v>
      </c>
      <c r="D2" s="37" t="s">
        <v>349</v>
      </c>
      <c r="E2" s="37" t="s">
        <v>349</v>
      </c>
      <c r="F2" s="37" t="s">
        <v>349</v>
      </c>
      <c r="G2" s="37" t="s">
        <v>349</v>
      </c>
      <c r="H2" s="37" t="s">
        <v>349</v>
      </c>
      <c r="I2" s="37" t="s">
        <v>349</v>
      </c>
      <c r="J2" s="37" t="s">
        <v>349</v>
      </c>
      <c r="K2" s="37" t="s">
        <v>349</v>
      </c>
      <c r="L2" s="37" t="s">
        <v>349</v>
      </c>
      <c r="M2" s="132" t="s">
        <v>586</v>
      </c>
      <c r="N2" s="37" t="s">
        <v>649</v>
      </c>
      <c r="O2" s="37" t="s">
        <v>651</v>
      </c>
      <c r="P2" s="140" t="s">
        <v>2041</v>
      </c>
      <c r="Q2" s="132" t="s">
        <v>586</v>
      </c>
      <c r="R2" s="37" t="s">
        <v>649</v>
      </c>
      <c r="S2" s="37" t="s">
        <v>2316</v>
      </c>
      <c r="T2" s="173" t="s">
        <v>651</v>
      </c>
      <c r="U2" s="37" t="s">
        <v>2314</v>
      </c>
      <c r="V2" s="37" t="s">
        <v>2600</v>
      </c>
      <c r="W2" s="37" t="s">
        <v>2317</v>
      </c>
      <c r="X2" s="248" t="s">
        <v>349</v>
      </c>
      <c r="Y2" s="239" t="s">
        <v>2314</v>
      </c>
      <c r="Z2" s="185" t="s">
        <v>2600</v>
      </c>
      <c r="AA2" s="185" t="s">
        <v>349</v>
      </c>
      <c r="AB2" s="240" t="s">
        <v>651</v>
      </c>
      <c r="AC2" s="239" t="s">
        <v>2314</v>
      </c>
      <c r="AD2" s="185" t="s">
        <v>586</v>
      </c>
      <c r="AE2" s="240" t="s">
        <v>2600</v>
      </c>
      <c r="AF2" s="37" t="str">
        <f>+AD2</f>
        <v>Forecast</v>
      </c>
      <c r="AG2" s="37" t="str">
        <f>+AF2</f>
        <v>Forecast</v>
      </c>
      <c r="AH2" s="37" t="str">
        <f t="shared" ref="AH2:AK2" si="9">+AG2</f>
        <v>Forecast</v>
      </c>
      <c r="AI2" s="37" t="str">
        <f t="shared" si="9"/>
        <v>Forecast</v>
      </c>
      <c r="AJ2" s="37" t="str">
        <f t="shared" si="9"/>
        <v>Forecast</v>
      </c>
      <c r="AK2" s="37" t="str">
        <f t="shared" si="9"/>
        <v>Forecast</v>
      </c>
      <c r="AL2" s="37" t="str">
        <f t="shared" ref="AL2" si="10">+AK2</f>
        <v>Forecast</v>
      </c>
      <c r="AM2" s="37" t="str">
        <f t="shared" ref="AM2" si="11">+AL2</f>
        <v>Forecast</v>
      </c>
      <c r="AN2" s="37" t="str">
        <f t="shared" ref="AN2" si="12">+AM2</f>
        <v>Forecast</v>
      </c>
      <c r="AO2" s="177"/>
      <c r="AP2" s="38" t="s">
        <v>72</v>
      </c>
      <c r="AQ2" s="37" t="s">
        <v>75</v>
      </c>
      <c r="AR2" s="34" t="s">
        <v>76</v>
      </c>
      <c r="AS2" s="38" t="s">
        <v>72</v>
      </c>
      <c r="AT2" s="37" t="s">
        <v>75</v>
      </c>
      <c r="AU2" s="34" t="s">
        <v>76</v>
      </c>
      <c r="AV2" s="38" t="s">
        <v>72</v>
      </c>
      <c r="AW2" s="37" t="s">
        <v>75</v>
      </c>
      <c r="AX2" s="34" t="s">
        <v>76</v>
      </c>
      <c r="AY2" s="38" t="s">
        <v>72</v>
      </c>
      <c r="AZ2" s="37" t="s">
        <v>75</v>
      </c>
      <c r="BA2" s="34" t="s">
        <v>76</v>
      </c>
      <c r="BB2" s="38" t="s">
        <v>72</v>
      </c>
      <c r="BC2" s="37" t="s">
        <v>75</v>
      </c>
      <c r="BD2" s="34" t="s">
        <v>76</v>
      </c>
      <c r="BE2" s="38" t="s">
        <v>72</v>
      </c>
      <c r="BF2" s="37" t="s">
        <v>75</v>
      </c>
      <c r="BG2" s="34" t="s">
        <v>76</v>
      </c>
      <c r="BH2" s="38" t="s">
        <v>72</v>
      </c>
      <c r="BI2" s="37" t="s">
        <v>75</v>
      </c>
      <c r="BJ2" s="34" t="s">
        <v>76</v>
      </c>
      <c r="BK2" s="38" t="s">
        <v>72</v>
      </c>
      <c r="BL2" s="37" t="s">
        <v>75</v>
      </c>
      <c r="BM2" s="34" t="s">
        <v>76</v>
      </c>
      <c r="BN2" s="38" t="s">
        <v>72</v>
      </c>
      <c r="BO2" s="37" t="s">
        <v>75</v>
      </c>
      <c r="BP2" s="34" t="s">
        <v>76</v>
      </c>
      <c r="BQ2" s="38" t="s">
        <v>72</v>
      </c>
      <c r="BR2" s="37" t="s">
        <v>75</v>
      </c>
      <c r="BS2" s="34" t="s">
        <v>76</v>
      </c>
      <c r="BT2" s="38" t="s">
        <v>72</v>
      </c>
      <c r="BU2" s="37" t="s">
        <v>75</v>
      </c>
      <c r="BV2" s="34" t="s">
        <v>76</v>
      </c>
      <c r="BW2" s="38" t="s">
        <v>72</v>
      </c>
      <c r="BX2" s="37" t="s">
        <v>75</v>
      </c>
      <c r="BY2" s="34" t="s">
        <v>76</v>
      </c>
      <c r="BZ2" s="38" t="s">
        <v>72</v>
      </c>
      <c r="CA2" s="37" t="s">
        <v>75</v>
      </c>
      <c r="CB2" s="34" t="s">
        <v>76</v>
      </c>
      <c r="CC2" s="38" t="s">
        <v>72</v>
      </c>
      <c r="CD2" s="37" t="s">
        <v>75</v>
      </c>
      <c r="CE2" s="34" t="s">
        <v>76</v>
      </c>
      <c r="CF2" s="38" t="s">
        <v>72</v>
      </c>
      <c r="CG2" s="37" t="s">
        <v>75</v>
      </c>
      <c r="CH2" s="34" t="s">
        <v>76</v>
      </c>
      <c r="CI2" s="38" t="s">
        <v>72</v>
      </c>
      <c r="CJ2" s="37" t="s">
        <v>75</v>
      </c>
      <c r="CK2" s="34" t="s">
        <v>76</v>
      </c>
      <c r="CL2" s="38" t="s">
        <v>72</v>
      </c>
      <c r="CM2" s="37" t="s">
        <v>75</v>
      </c>
      <c r="CN2" s="34" t="s">
        <v>76</v>
      </c>
      <c r="CO2" s="38" t="s">
        <v>72</v>
      </c>
      <c r="CP2" s="37" t="s">
        <v>75</v>
      </c>
      <c r="CQ2" s="34" t="s">
        <v>76</v>
      </c>
      <c r="CR2" s="38" t="s">
        <v>72</v>
      </c>
      <c r="CS2" s="37" t="s">
        <v>75</v>
      </c>
      <c r="CT2" s="34" t="s">
        <v>76</v>
      </c>
      <c r="CU2" s="38" t="s">
        <v>72</v>
      </c>
      <c r="CV2" s="37" t="s">
        <v>75</v>
      </c>
      <c r="CW2" s="34" t="s">
        <v>76</v>
      </c>
      <c r="CX2" s="38" t="s">
        <v>72</v>
      </c>
      <c r="CY2" s="37" t="s">
        <v>75</v>
      </c>
      <c r="CZ2" s="34" t="s">
        <v>76</v>
      </c>
      <c r="DA2" s="38" t="s">
        <v>72</v>
      </c>
      <c r="DB2" s="37" t="s">
        <v>75</v>
      </c>
      <c r="DC2" s="34" t="s">
        <v>76</v>
      </c>
      <c r="DD2" s="38" t="s">
        <v>72</v>
      </c>
      <c r="DE2" s="37" t="s">
        <v>75</v>
      </c>
      <c r="DF2" s="34" t="s">
        <v>76</v>
      </c>
      <c r="DG2" s="38" t="s">
        <v>72</v>
      </c>
      <c r="DH2" s="37" t="s">
        <v>75</v>
      </c>
      <c r="DI2" s="34" t="s">
        <v>76</v>
      </c>
      <c r="DK2" s="39" t="str">
        <f t="shared" ref="DK2:DR2" si="13">+B2</f>
        <v>Actuals</v>
      </c>
      <c r="DL2" s="36" t="str">
        <f t="shared" si="13"/>
        <v>Actuals</v>
      </c>
      <c r="DM2" s="36" t="str">
        <f t="shared" si="13"/>
        <v>Actuals</v>
      </c>
      <c r="DN2" s="36" t="str">
        <f t="shared" si="13"/>
        <v>Actuals</v>
      </c>
      <c r="DO2" s="36" t="str">
        <f t="shared" si="13"/>
        <v>Actuals</v>
      </c>
      <c r="DP2" s="36" t="str">
        <f t="shared" si="13"/>
        <v>Actuals</v>
      </c>
      <c r="DQ2" s="36" t="str">
        <f t="shared" si="13"/>
        <v>Actuals</v>
      </c>
      <c r="DR2" s="37" t="str">
        <f t="shared" si="13"/>
        <v>Actuals</v>
      </c>
      <c r="DS2" s="36" t="str">
        <f>+DR2</f>
        <v>Actuals</v>
      </c>
      <c r="DT2" s="36" t="str">
        <f>+N2</f>
        <v>Schedule</v>
      </c>
      <c r="DU2" s="36" t="str">
        <f>+R2</f>
        <v>Schedule</v>
      </c>
      <c r="DV2" s="36" t="str">
        <f>+U2</f>
        <v>Pre Month Schedule</v>
      </c>
      <c r="DW2" s="36" t="str">
        <f>+DV2</f>
        <v>Pre Month Schedule</v>
      </c>
      <c r="DX2" s="36" t="str">
        <f t="shared" ref="DX2:DZ2" si="14">+DW2</f>
        <v>Pre Month Schedule</v>
      </c>
      <c r="DY2" s="36" t="str">
        <f t="shared" si="14"/>
        <v>Pre Month Schedule</v>
      </c>
      <c r="DZ2" s="36" t="str">
        <f t="shared" si="14"/>
        <v>Pre Month Schedule</v>
      </c>
      <c r="EA2" s="36" t="str">
        <f t="shared" ref="EA2" si="15">+DZ2</f>
        <v>Pre Month Schedule</v>
      </c>
      <c r="EB2" s="36" t="str">
        <f t="shared" ref="EB2" si="16">+EA2</f>
        <v>Pre Month Schedule</v>
      </c>
      <c r="EC2" s="36" t="str">
        <f t="shared" ref="EC2" si="17">+EB2</f>
        <v>Pre Month Schedule</v>
      </c>
      <c r="ED2" s="36" t="str">
        <f t="shared" ref="ED2" si="18">+EC2</f>
        <v>Pre Month Schedule</v>
      </c>
      <c r="EE2" s="36" t="str">
        <f t="shared" ref="EE2" si="19">+ED2</f>
        <v>Pre Month Schedule</v>
      </c>
      <c r="EF2" s="36" t="str">
        <f t="shared" ref="EF2" si="20">+EE2</f>
        <v>Pre Month Schedule</v>
      </c>
      <c r="EG2" s="36" t="str">
        <f t="shared" ref="EG2" si="21">+EF2</f>
        <v>Pre Month Schedule</v>
      </c>
      <c r="EH2" s="36" t="str">
        <f t="shared" ref="EH2" si="22">+EG2</f>
        <v>Pre Month Schedule</v>
      </c>
      <c r="EJ2" s="39" t="str">
        <f t="shared" ref="EJ2" si="23">+DK2</f>
        <v>Actuals</v>
      </c>
      <c r="EK2" s="36" t="str">
        <f t="shared" ref="EK2" si="24">+DL2</f>
        <v>Actuals</v>
      </c>
      <c r="EL2" s="36" t="str">
        <f t="shared" ref="EL2" si="25">+DM2</f>
        <v>Actuals</v>
      </c>
      <c r="EM2" s="36" t="str">
        <f t="shared" ref="EM2" si="26">+DN2</f>
        <v>Actuals</v>
      </c>
      <c r="EN2" s="36" t="str">
        <f t="shared" ref="EN2" si="27">+DO2</f>
        <v>Actuals</v>
      </c>
      <c r="EO2" s="36" t="str">
        <f t="shared" ref="EO2" si="28">+DP2</f>
        <v>Actuals</v>
      </c>
      <c r="EP2" s="36" t="str">
        <f t="shared" ref="EP2" si="29">+DQ2</f>
        <v>Actuals</v>
      </c>
      <c r="EQ2" s="36" t="str">
        <f>+DR2</f>
        <v>Actuals</v>
      </c>
      <c r="ER2" s="36" t="str">
        <f t="shared" ref="ER2" si="30">+DS2</f>
        <v>Actuals</v>
      </c>
      <c r="ES2" s="36" t="str">
        <f t="shared" ref="ES2" si="31">+DT2</f>
        <v>Schedule</v>
      </c>
      <c r="ET2" s="36" t="str">
        <f t="shared" ref="ET2" si="32">+DU2</f>
        <v>Schedule</v>
      </c>
      <c r="EU2" s="40" t="str">
        <f t="shared" ref="EU2" si="33">+DV2</f>
        <v>Pre Month Schedule</v>
      </c>
      <c r="EV2" s="36" t="str">
        <f>+EU2</f>
        <v>Pre Month Schedule</v>
      </c>
      <c r="EW2" s="36" t="str">
        <f t="shared" ref="EW2:FC2" si="34">+EV2</f>
        <v>Pre Month Schedule</v>
      </c>
      <c r="EX2" s="36" t="str">
        <f t="shared" si="34"/>
        <v>Pre Month Schedule</v>
      </c>
      <c r="EY2" s="36" t="str">
        <f t="shared" si="34"/>
        <v>Pre Month Schedule</v>
      </c>
      <c r="EZ2" s="36" t="str">
        <f t="shared" si="34"/>
        <v>Pre Month Schedule</v>
      </c>
      <c r="FA2" s="36" t="str">
        <f t="shared" si="34"/>
        <v>Pre Month Schedule</v>
      </c>
      <c r="FB2" s="36" t="str">
        <f t="shared" si="34"/>
        <v>Pre Month Schedule</v>
      </c>
      <c r="FC2" s="36" t="str">
        <f t="shared" si="34"/>
        <v>Pre Month Schedule</v>
      </c>
      <c r="FD2" s="36" t="str">
        <f t="shared" ref="FD2" si="35">+FC2</f>
        <v>Pre Month Schedule</v>
      </c>
      <c r="FE2" s="36" t="str">
        <f t="shared" ref="FE2" si="36">+FD2</f>
        <v>Pre Month Schedule</v>
      </c>
      <c r="FF2" s="36" t="str">
        <f t="shared" ref="FF2" si="37">+FE2</f>
        <v>Pre Month Schedule</v>
      </c>
      <c r="FG2" s="36" t="str">
        <f t="shared" ref="FG2" si="38">+FF2</f>
        <v>Pre Month Schedule</v>
      </c>
    </row>
    <row r="3" spans="1:174" ht="21" x14ac:dyDescent="0.35">
      <c r="A3" s="41" t="s">
        <v>1</v>
      </c>
      <c r="B3" s="5">
        <f>SUM(B4:B16)-B4</f>
        <v>3317098</v>
      </c>
      <c r="C3" s="5">
        <f>SUM(C4:C16)-C4</f>
        <v>3306913</v>
      </c>
      <c r="D3" s="5">
        <f t="shared" ref="D3:E3" si="39">SUM(D4:D16)-D4</f>
        <v>2436994</v>
      </c>
      <c r="E3" s="5">
        <f t="shared" si="39"/>
        <v>2922816</v>
      </c>
      <c r="F3" s="5">
        <f t="shared" ref="F3:G3" si="40">SUM(F4:F16)-F4</f>
        <v>4385690</v>
      </c>
      <c r="G3" s="5">
        <f t="shared" si="40"/>
        <v>4539743</v>
      </c>
      <c r="H3" s="5">
        <f t="shared" ref="H3:I3" si="41">SUM(H4:H16)-H4</f>
        <v>3175301</v>
      </c>
      <c r="I3" s="5">
        <f t="shared" si="41"/>
        <v>2322944</v>
      </c>
      <c r="J3" s="5">
        <f t="shared" ref="J3:L3" si="42">SUM(J4:J16)-J4</f>
        <v>2871328</v>
      </c>
      <c r="K3" s="5">
        <f t="shared" ref="K3" si="43">SUM(K4:K16)-K4</f>
        <v>3320691</v>
      </c>
      <c r="L3" s="5">
        <f t="shared" si="42"/>
        <v>1805185</v>
      </c>
      <c r="M3" s="122">
        <f t="shared" ref="M3:N3" si="44">SUM(M4:M16)-M4</f>
        <v>61600</v>
      </c>
      <c r="N3" s="5">
        <f t="shared" si="44"/>
        <v>2095492</v>
      </c>
      <c r="O3" s="5">
        <f t="shared" ref="O3" si="45">SUM(O4:O16)-O4</f>
        <v>-190323</v>
      </c>
      <c r="P3" s="122">
        <f t="shared" ref="P3:Q3" si="46">SUM(P4:P16)-P4</f>
        <v>0</v>
      </c>
      <c r="Q3" s="122">
        <f t="shared" si="46"/>
        <v>2228800</v>
      </c>
      <c r="R3" s="5">
        <f>SUM(R4:R16)-R4</f>
        <v>2228800</v>
      </c>
      <c r="S3" s="5">
        <f>SUM(S4:S16)-S4</f>
        <v>1979373</v>
      </c>
      <c r="T3" s="90">
        <f>S3-R3</f>
        <v>-249427</v>
      </c>
      <c r="U3" s="5">
        <f>SUM(U4:U16)-U4</f>
        <v>2650000</v>
      </c>
      <c r="V3" s="5">
        <f>SUM(V4:V16)-V4</f>
        <v>2882200</v>
      </c>
      <c r="W3" s="5">
        <f t="shared" ref="W3" si="47">SUM(W4:W16)-W4</f>
        <v>1942902.2</v>
      </c>
      <c r="X3" s="5">
        <f t="shared" ref="X3" si="48">SUM(X4:X16)-X4</f>
        <v>2274125</v>
      </c>
      <c r="Y3" s="4">
        <f t="shared" ref="Y3:Z3" si="49">SUM(Y4:Y16)</f>
        <v>2514600</v>
      </c>
      <c r="Z3" s="5">
        <f t="shared" si="49"/>
        <v>2289300</v>
      </c>
      <c r="AA3" s="5">
        <f t="shared" ref="AA3" si="50">SUM(AA4:AA16)</f>
        <v>2171667</v>
      </c>
      <c r="AB3" s="6">
        <f>SUM(AB4:AB16)</f>
        <v>-117633</v>
      </c>
      <c r="AC3" s="4">
        <f t="shared" ref="AC3:AI3" si="51">SUM(AC4:AC16)</f>
        <v>1632375</v>
      </c>
      <c r="AD3" s="5">
        <f t="shared" si="51"/>
        <v>1633180</v>
      </c>
      <c r="AE3" s="6">
        <f t="shared" si="51"/>
        <v>1633180</v>
      </c>
      <c r="AF3" s="5">
        <f t="shared" si="51"/>
        <v>1760000</v>
      </c>
      <c r="AG3" s="5">
        <f t="shared" si="51"/>
        <v>1430000</v>
      </c>
      <c r="AH3" s="5">
        <f t="shared" si="51"/>
        <v>820000</v>
      </c>
      <c r="AI3" s="5">
        <f t="shared" si="51"/>
        <v>1173333</v>
      </c>
      <c r="AJ3" s="5">
        <f t="shared" ref="AJ3:AK3" si="52">SUM(AJ4:AJ16)</f>
        <v>733333</v>
      </c>
      <c r="AK3" s="5">
        <f t="shared" si="52"/>
        <v>1153333</v>
      </c>
      <c r="AL3" s="5">
        <f t="shared" ref="AL3:AN3" si="53">SUM(AL4:AL16)</f>
        <v>923333</v>
      </c>
      <c r="AM3" s="5">
        <f t="shared" si="53"/>
        <v>1143333</v>
      </c>
      <c r="AN3" s="5">
        <f t="shared" si="53"/>
        <v>418333</v>
      </c>
      <c r="AO3" s="179"/>
      <c r="AP3" s="5"/>
      <c r="AQ3" s="5"/>
      <c r="AR3" s="6"/>
      <c r="AS3" s="4"/>
      <c r="AT3" s="5"/>
      <c r="AU3" s="6"/>
      <c r="AV3" s="4"/>
      <c r="AW3" s="5"/>
      <c r="AX3" s="6"/>
      <c r="AY3" s="4"/>
      <c r="AZ3" s="5"/>
      <c r="BA3" s="6"/>
      <c r="BB3" s="4"/>
      <c r="BC3" s="5"/>
      <c r="BD3" s="6"/>
      <c r="BE3" s="4"/>
      <c r="BF3" s="5"/>
      <c r="BG3" s="6"/>
      <c r="BH3" s="4"/>
      <c r="BI3" s="5"/>
      <c r="BJ3" s="6"/>
      <c r="BK3" s="4"/>
      <c r="BL3" s="5"/>
      <c r="BM3" s="6"/>
      <c r="BN3" s="4"/>
      <c r="BO3" s="5"/>
      <c r="BP3" s="6"/>
      <c r="BQ3" s="4"/>
      <c r="BR3" s="5"/>
      <c r="BS3" s="6"/>
      <c r="BT3" s="4"/>
      <c r="BU3" s="5"/>
      <c r="BV3" s="6"/>
      <c r="BW3" s="4"/>
      <c r="BX3" s="5"/>
      <c r="BY3" s="6"/>
      <c r="BZ3" s="4"/>
      <c r="CA3" s="5"/>
      <c r="CB3" s="6"/>
      <c r="CC3" s="4"/>
      <c r="CD3" s="5"/>
      <c r="CE3" s="6"/>
      <c r="CF3" s="4"/>
      <c r="CG3" s="5"/>
      <c r="CH3" s="6"/>
      <c r="CI3" s="4"/>
      <c r="CJ3" s="5"/>
      <c r="CK3" s="6"/>
      <c r="CL3" s="4"/>
      <c r="CM3" s="5"/>
      <c r="CN3" s="6"/>
      <c r="CO3" s="4"/>
      <c r="CP3" s="5"/>
      <c r="CQ3" s="6"/>
      <c r="CR3" s="4"/>
      <c r="CS3" s="5"/>
      <c r="CT3" s="6"/>
      <c r="CU3" s="4"/>
      <c r="CV3" s="5"/>
      <c r="CW3" s="6"/>
      <c r="CX3" s="4"/>
      <c r="CY3" s="5"/>
      <c r="CZ3" s="6"/>
      <c r="DA3" s="4"/>
      <c r="DB3" s="5"/>
      <c r="DC3" s="6"/>
      <c r="DD3" s="4"/>
      <c r="DE3" s="5"/>
      <c r="DF3" s="6"/>
      <c r="DG3" s="4"/>
      <c r="DH3" s="5"/>
      <c r="DI3" s="6"/>
      <c r="DK3" s="23"/>
      <c r="DL3" s="24"/>
      <c r="DM3" s="24"/>
      <c r="DN3" s="24"/>
      <c r="DO3" s="24"/>
      <c r="DP3" s="24"/>
      <c r="DQ3" s="24"/>
      <c r="DR3" s="5"/>
      <c r="DS3" s="24"/>
      <c r="DT3" s="24"/>
      <c r="DU3" s="24"/>
      <c r="DV3" s="2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J3" s="23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O3" t="s">
        <v>131</v>
      </c>
      <c r="FP3" t="s">
        <v>132</v>
      </c>
      <c r="FQ3" t="s">
        <v>133</v>
      </c>
    </row>
    <row r="4" spans="1:174" outlineLevel="1" x14ac:dyDescent="0.25">
      <c r="A4" s="28" t="s">
        <v>2</v>
      </c>
      <c r="B4" s="9">
        <f>SUMIF(Prophix!$Q:$Q,'Fds Units'!$A4,Prophix!D:D)-B8</f>
        <v>2001734</v>
      </c>
      <c r="C4" s="9">
        <f>SUMIF(Prophix!$Q:$Q,'Fds Units'!$A4,Prophix!E:E)-C8</f>
        <v>1659825</v>
      </c>
      <c r="D4" s="9">
        <f>SUMIF(Prophix!$Q:$Q,'Fds Units'!$A4,Prophix!F:F)-D8</f>
        <v>1876069</v>
      </c>
      <c r="E4" s="9">
        <f>SUMIF(Prophix!$Q:$Q,'Fds Units'!$A4,Prophix!G:G)-E8</f>
        <v>1866232</v>
      </c>
      <c r="F4" s="9">
        <f>SUMIF(Prophix!$Q:$Q,'Fds Units'!$A4,Prophix!H:H)-F8</f>
        <v>2534579</v>
      </c>
      <c r="G4" s="9">
        <f>SUMIF(Prophix!$Q:$Q,'Fds Units'!$A4,Prophix!I:I)-G8</f>
        <v>2606293</v>
      </c>
      <c r="H4" s="9">
        <f>SUMIF(Prophix!$Q:$Q,'Fds Units'!$A4,Prophix!J:J)-H8</f>
        <v>2504242</v>
      </c>
      <c r="I4" s="9">
        <f>SUMIF(Prophix!$Q:$Q,'Fds Units'!$A4,Prophix!K:K)-I8</f>
        <v>845959</v>
      </c>
      <c r="J4" s="9">
        <f>SUMIF(Prophix!$Q:$Q,'Fds Units'!$A4,Prophix!L:L)-J8</f>
        <v>1225444</v>
      </c>
      <c r="K4" s="9">
        <f>SUMIF(Prophix!$Q:$Q,'Fds Units'!$A4,Prophix!M:M)-K8</f>
        <v>1666391</v>
      </c>
      <c r="L4" s="9"/>
      <c r="M4" s="133"/>
      <c r="N4" s="9">
        <f>SUM(N5:N7)</f>
        <v>1585000</v>
      </c>
      <c r="O4" s="9">
        <f>SUM(O5:O7)</f>
        <v>-225793</v>
      </c>
      <c r="P4" s="142">
        <f>+P5</f>
        <v>0</v>
      </c>
      <c r="Q4" s="133">
        <f>R4</f>
        <v>1261000</v>
      </c>
      <c r="R4" s="9">
        <f>SUM(R5:R7)</f>
        <v>1261000</v>
      </c>
      <c r="S4" s="9">
        <f>SUM(S5:S7)</f>
        <v>1251687</v>
      </c>
      <c r="T4" s="186">
        <f>S4-R4</f>
        <v>-9313</v>
      </c>
      <c r="U4" s="92">
        <v>1915000</v>
      </c>
      <c r="V4" s="92">
        <v>2020000</v>
      </c>
      <c r="W4" s="92">
        <v>1369806.2</v>
      </c>
      <c r="X4" s="9">
        <v>1827130</v>
      </c>
      <c r="Y4" s="241">
        <v>1410000</v>
      </c>
      <c r="Z4" s="165">
        <v>1299000</v>
      </c>
      <c r="AA4" s="165">
        <v>1392780</v>
      </c>
      <c r="AB4" s="242">
        <f>AA4-Z4</f>
        <v>93780</v>
      </c>
      <c r="AC4" s="241">
        <v>1000000</v>
      </c>
      <c r="AD4" s="165">
        <v>1210000</v>
      </c>
      <c r="AE4" s="242">
        <v>1210000</v>
      </c>
      <c r="AF4" s="170">
        <v>1315000</v>
      </c>
      <c r="AG4" s="170">
        <v>1010000</v>
      </c>
      <c r="AH4" s="170">
        <v>400000</v>
      </c>
      <c r="AI4" s="170">
        <v>810000</v>
      </c>
      <c r="AJ4" s="170">
        <v>295000</v>
      </c>
      <c r="AK4" s="170">
        <v>820000</v>
      </c>
      <c r="AL4" s="170">
        <v>695000</v>
      </c>
      <c r="AM4" s="170">
        <v>810000</v>
      </c>
      <c r="AN4" s="170">
        <v>400000</v>
      </c>
      <c r="AO4" s="59"/>
      <c r="AP4" s="9"/>
      <c r="AQ4" s="9"/>
      <c r="AR4" s="10"/>
      <c r="AS4" s="8"/>
      <c r="AT4" s="9"/>
      <c r="AU4" s="10"/>
      <c r="AV4" s="8"/>
      <c r="AW4" s="9"/>
      <c r="AX4" s="10"/>
      <c r="AY4" s="8"/>
      <c r="AZ4" s="9"/>
      <c r="BA4" s="10"/>
      <c r="BB4" s="8"/>
      <c r="BC4" s="9"/>
      <c r="BD4" s="10"/>
      <c r="BE4" s="8"/>
      <c r="BF4" s="9"/>
      <c r="BG4" s="10"/>
      <c r="BH4" s="8"/>
      <c r="BI4" s="9"/>
      <c r="BJ4" s="10"/>
      <c r="BK4" s="8"/>
      <c r="BL4" s="9"/>
      <c r="BM4" s="10"/>
      <c r="BN4" s="8"/>
      <c r="BO4" s="9"/>
      <c r="BP4" s="10"/>
      <c r="BQ4" s="8"/>
      <c r="BR4" s="9"/>
      <c r="BS4" s="10"/>
      <c r="BT4" s="8"/>
      <c r="BU4" s="9"/>
      <c r="BV4" s="10"/>
      <c r="BW4" s="8"/>
      <c r="BX4" s="9"/>
      <c r="BY4" s="10"/>
      <c r="BZ4" s="8" t="s">
        <v>620</v>
      </c>
      <c r="CA4" s="9">
        <v>105000</v>
      </c>
      <c r="CB4" s="10">
        <v>4</v>
      </c>
      <c r="CC4" s="8" t="s">
        <v>620</v>
      </c>
      <c r="CD4" s="9">
        <v>105000</v>
      </c>
      <c r="CE4" s="10">
        <v>4</v>
      </c>
      <c r="CF4" s="8" t="s">
        <v>620</v>
      </c>
      <c r="CG4" s="9">
        <v>105000</v>
      </c>
      <c r="CH4" s="10">
        <v>4</v>
      </c>
      <c r="CI4" s="8" t="s">
        <v>620</v>
      </c>
      <c r="CJ4" s="9">
        <v>105000</v>
      </c>
      <c r="CK4" s="10">
        <v>4</v>
      </c>
      <c r="CL4" s="8" t="s">
        <v>620</v>
      </c>
      <c r="CM4" s="9">
        <v>105000</v>
      </c>
      <c r="CN4" s="10">
        <v>4</v>
      </c>
      <c r="CO4" s="8" t="s">
        <v>620</v>
      </c>
      <c r="CP4" s="9">
        <v>105000</v>
      </c>
      <c r="CQ4" s="10">
        <v>4</v>
      </c>
      <c r="CR4" s="8" t="s">
        <v>620</v>
      </c>
      <c r="CS4" s="9">
        <v>105000</v>
      </c>
      <c r="CT4" s="10">
        <v>4</v>
      </c>
      <c r="CU4" s="8" t="s">
        <v>620</v>
      </c>
      <c r="CV4" s="9">
        <v>105000</v>
      </c>
      <c r="CW4" s="10">
        <v>4</v>
      </c>
      <c r="CX4" s="8" t="s">
        <v>620</v>
      </c>
      <c r="CY4" s="9">
        <v>105000</v>
      </c>
      <c r="CZ4" s="10">
        <v>4</v>
      </c>
      <c r="DA4" s="8" t="s">
        <v>620</v>
      </c>
      <c r="DB4" s="9">
        <v>105000</v>
      </c>
      <c r="DC4" s="10">
        <v>4</v>
      </c>
      <c r="DD4" s="8" t="s">
        <v>620</v>
      </c>
      <c r="DE4" s="9">
        <v>105000</v>
      </c>
      <c r="DF4" s="10">
        <v>4</v>
      </c>
      <c r="DG4" s="8" t="s">
        <v>620</v>
      </c>
      <c r="DH4" s="9">
        <v>105000</v>
      </c>
      <c r="DI4" s="10">
        <v>4</v>
      </c>
      <c r="DK4" s="8">
        <v>0</v>
      </c>
      <c r="DL4" s="9">
        <f t="shared" ref="DL4:DL16" si="54">IFERROR(ROUNDUP(+C4/$AT4,0),0)</f>
        <v>0</v>
      </c>
      <c r="DM4" s="9">
        <f t="shared" ref="DM4:DM16" si="55">IFERROR(ROUNDUP(+D4/$AW4,0),0)</f>
        <v>0</v>
      </c>
      <c r="DN4" s="9">
        <f>IFERROR(ROUNDUP(+E4/$AZ4,0),0)</f>
        <v>0</v>
      </c>
      <c r="DO4" s="9">
        <f t="shared" ref="DO4:DO16" si="56">IFERROR(ROUNDUP(+F4/$BC4,0),0)</f>
        <v>0</v>
      </c>
      <c r="DP4" s="9">
        <f t="shared" ref="DP4:DP16" si="57">IFERROR(ROUNDUP(+G4/$BF4,0),0)</f>
        <v>0</v>
      </c>
      <c r="DQ4" s="9">
        <f t="shared" ref="DQ4:DQ16" si="58">IFERROR(ROUNDUP(+$H4/$BI4,0),0)</f>
        <v>0</v>
      </c>
      <c r="DR4" s="9">
        <f t="shared" ref="DR4:DR16" si="59">IFERROR(ROUNDUP(+I4/$BL4,0),0)</f>
        <v>0</v>
      </c>
      <c r="DS4" s="9">
        <f t="shared" ref="DS4:DS16" si="60">IFERROR(ROUNDUP(J4/BO4,0),0)</f>
        <v>0</v>
      </c>
      <c r="DT4" s="9">
        <f>IFERROR(ROUNDUP(+K4/BR4,0),0)</f>
        <v>0</v>
      </c>
      <c r="DU4" s="9">
        <f>IFERROR(ROUNDUP(+N4/BU4,0),0)</f>
        <v>0</v>
      </c>
      <c r="DV4" s="10">
        <f>IFERROR(ROUNDUP(+R4/BX4,0),0)</f>
        <v>0</v>
      </c>
      <c r="DW4" s="9">
        <f>IFERROR(ROUNDUP(+V4/CA4,0),0)</f>
        <v>20</v>
      </c>
      <c r="DX4" s="9">
        <f t="shared" ref="DX4:DX16" si="61">IFERROR(ROUNDUP(+Y4/CD4,0),0)</f>
        <v>14</v>
      </c>
      <c r="DY4" s="9">
        <f>IFERROR(ROUNDUP(+AE4/CG4,0),0)</f>
        <v>12</v>
      </c>
      <c r="DZ4" s="9">
        <f t="shared" ref="DZ4:DZ16" si="62">IFERROR(ROUNDUP(+AF4/CJ4,0),0)</f>
        <v>13</v>
      </c>
      <c r="EA4" s="9">
        <f t="shared" ref="EA4:EA16" si="63">IFERROR(ROUNDUP(+AG4/CM4,0),0)</f>
        <v>10</v>
      </c>
      <c r="EB4" s="9">
        <f t="shared" ref="EB4:EB16" si="64">IFERROR(ROUNDUP(+AH4/CP4,0),0)</f>
        <v>4</v>
      </c>
      <c r="EC4" s="9">
        <f t="shared" ref="EC4:EC16" si="65">IFERROR(ROUNDUP(+AI4/CS4,0),0)</f>
        <v>8</v>
      </c>
      <c r="ED4" s="9">
        <f t="shared" ref="ED4:ED16" si="66">IFERROR(ROUNDUP(+AJ4/CV4,0),0)</f>
        <v>3</v>
      </c>
      <c r="EE4" s="9">
        <f t="shared" ref="EE4:EE16" si="67">IFERROR(ROUNDUP(+AK4/CY4,0),0)</f>
        <v>8</v>
      </c>
      <c r="EF4" s="9">
        <f t="shared" ref="EF4:EF16" si="68">IFERROR(ROUNDUP(+AL4/DB4,0),0)</f>
        <v>7</v>
      </c>
      <c r="EG4" s="9">
        <f t="shared" ref="EG4:EG16" si="69">IFERROR(ROUNDUP(+AM4/DE4,0),0)</f>
        <v>8</v>
      </c>
      <c r="EH4" s="9">
        <f t="shared" ref="EH4:EH16" si="70">IFERROR(ROUNDUP(+AN4/DH4,0),0)</f>
        <v>4</v>
      </c>
      <c r="EJ4" s="8">
        <f>$AR4*DK4</f>
        <v>0</v>
      </c>
      <c r="EK4" s="9">
        <f>$AU4*DL4</f>
        <v>0</v>
      </c>
      <c r="EL4" s="9">
        <f>$AX4*DM4</f>
        <v>0</v>
      </c>
      <c r="EM4" s="9">
        <f>$BA4*DN4</f>
        <v>0</v>
      </c>
      <c r="EN4" s="9">
        <f>$BD4*DO4</f>
        <v>0</v>
      </c>
      <c r="EO4" s="9">
        <f t="shared" ref="EO4" si="71">$BG4*DP4</f>
        <v>0</v>
      </c>
      <c r="EP4" s="9">
        <f t="shared" ref="EP4:EP16" si="72">BJ4*DQ4</f>
        <v>0</v>
      </c>
      <c r="EQ4" s="9">
        <f t="shared" ref="EQ4:EQ16" si="73">+BM4*DR4</f>
        <v>0</v>
      </c>
      <c r="ER4" s="9">
        <f t="shared" ref="ER4:ER16" si="74">BP4*DS4</f>
        <v>0</v>
      </c>
      <c r="ES4" s="9">
        <f t="shared" ref="ES4:ES16" si="75">+BS4*DT4</f>
        <v>0</v>
      </c>
      <c r="ET4" s="9">
        <f t="shared" ref="ET4:ET16" si="76">+BV4*DU4</f>
        <v>0</v>
      </c>
      <c r="EU4" s="10">
        <f t="shared" ref="EU4:EU16" si="77">+BY4*DV4</f>
        <v>0</v>
      </c>
      <c r="EV4" s="9">
        <f t="shared" ref="EV4:EV16" si="78">+CB4*DW4</f>
        <v>80</v>
      </c>
      <c r="EW4" s="9">
        <f t="shared" ref="EW4:EW16" si="79">+CE4*DX4</f>
        <v>56</v>
      </c>
      <c r="EX4" s="9">
        <f t="shared" ref="EX4:EX16" si="80">+CH4*DY4</f>
        <v>48</v>
      </c>
      <c r="EY4" s="9">
        <f t="shared" ref="EY4:EY16" si="81">+CK4*DZ4</f>
        <v>52</v>
      </c>
      <c r="EZ4" s="9">
        <f t="shared" ref="EZ4:EZ16" si="82">+CN4*EA4</f>
        <v>40</v>
      </c>
      <c r="FA4" s="9">
        <f t="shared" ref="FA4:FA16" si="83">+CQ4*EB4</f>
        <v>16</v>
      </c>
      <c r="FB4" s="9">
        <f t="shared" ref="FB4:FB16" si="84">+CT4*EC4</f>
        <v>32</v>
      </c>
      <c r="FC4" s="9">
        <f t="shared" ref="FC4:FC16" si="85">+CW4*ED4</f>
        <v>12</v>
      </c>
      <c r="FD4" s="9">
        <f>+CZ4*EE4</f>
        <v>32</v>
      </c>
      <c r="FE4" s="9">
        <f>+DC4*EF4</f>
        <v>28</v>
      </c>
      <c r="FF4" s="9">
        <f>+DF4*EG4</f>
        <v>32</v>
      </c>
      <c r="FG4" s="9">
        <f>+DI4*EH4</f>
        <v>16</v>
      </c>
      <c r="FO4" t="str">
        <f t="shared" ref="FO4:FO22" si="86">+A4&amp;BQ4</f>
        <v>MRE Base</v>
      </c>
      <c r="FP4" t="str">
        <f t="shared" ref="FP4:FP20" si="87">+A4&amp;BT4</f>
        <v>MRE Base</v>
      </c>
      <c r="FQ4" t="str">
        <f t="shared" ref="FQ4:FQ30" si="88">+A4&amp;BW4</f>
        <v>MRE Base</v>
      </c>
      <c r="FR4" t="s">
        <v>847</v>
      </c>
    </row>
    <row r="5" spans="1:174" s="93" customFormat="1" hidden="1" outlineLevel="2" x14ac:dyDescent="0.25">
      <c r="A5" s="43" t="s">
        <v>2</v>
      </c>
      <c r="B5" s="92">
        <f>+B4</f>
        <v>2001734</v>
      </c>
      <c r="C5" s="92">
        <f t="shared" ref="C5:E5" si="89">+C4</f>
        <v>1659825</v>
      </c>
      <c r="D5" s="92">
        <f t="shared" si="89"/>
        <v>1876069</v>
      </c>
      <c r="E5" s="92">
        <f t="shared" si="89"/>
        <v>1866232</v>
      </c>
      <c r="F5" s="92">
        <f t="shared" ref="F5:K5" si="90">+F4-F6-F7</f>
        <v>1962049</v>
      </c>
      <c r="G5" s="92">
        <f t="shared" si="90"/>
        <v>1703275</v>
      </c>
      <c r="H5" s="92">
        <f t="shared" si="90"/>
        <v>2003278</v>
      </c>
      <c r="I5" s="92">
        <f t="shared" si="90"/>
        <v>845959</v>
      </c>
      <c r="J5" s="92">
        <f t="shared" si="90"/>
        <v>1225444</v>
      </c>
      <c r="K5" s="92">
        <f t="shared" si="90"/>
        <v>1665495</v>
      </c>
      <c r="L5" s="92">
        <v>1359207</v>
      </c>
      <c r="M5" s="134">
        <f>-'[1]RNC by SKU'!$U$77+20000</f>
        <v>20000</v>
      </c>
      <c r="N5" s="92">
        <v>1585000</v>
      </c>
      <c r="O5" s="92">
        <f>L5-N5</f>
        <v>-225793</v>
      </c>
      <c r="P5" s="143"/>
      <c r="Q5" s="134">
        <f>R5</f>
        <v>1261000</v>
      </c>
      <c r="R5" s="92">
        <v>1261000</v>
      </c>
      <c r="S5" s="92">
        <v>1251687</v>
      </c>
      <c r="T5" s="187">
        <f>+R5-Q5</f>
        <v>0</v>
      </c>
      <c r="U5" s="92">
        <v>1915000</v>
      </c>
      <c r="V5" s="92">
        <v>2020000</v>
      </c>
      <c r="W5" s="92">
        <f>W4</f>
        <v>1369806.2</v>
      </c>
      <c r="X5" s="9">
        <v>1827130</v>
      </c>
      <c r="Y5" s="241">
        <v>0</v>
      </c>
      <c r="Z5" s="165"/>
      <c r="AA5" s="165"/>
      <c r="AB5" s="242">
        <v>0</v>
      </c>
      <c r="AC5" s="241"/>
      <c r="AD5" s="165"/>
      <c r="AE5" s="242"/>
      <c r="AF5" s="170"/>
      <c r="AG5" s="170"/>
      <c r="AH5" s="170"/>
      <c r="AI5" s="170"/>
      <c r="AJ5" s="170"/>
      <c r="AK5" s="170"/>
      <c r="AL5" s="170"/>
      <c r="AM5" s="170"/>
      <c r="AN5" s="170"/>
      <c r="AO5" s="59"/>
      <c r="AP5" s="92" t="s">
        <v>620</v>
      </c>
      <c r="AQ5" s="92">
        <v>105000</v>
      </c>
      <c r="AR5" s="95">
        <v>4</v>
      </c>
      <c r="AS5" s="94" t="s">
        <v>620</v>
      </c>
      <c r="AT5" s="92">
        <v>95000</v>
      </c>
      <c r="AU5" s="95">
        <v>3</v>
      </c>
      <c r="AV5" s="94" t="s">
        <v>620</v>
      </c>
      <c r="AW5" s="92">
        <v>88000</v>
      </c>
      <c r="AX5" s="95">
        <v>4</v>
      </c>
      <c r="AY5" s="94" t="s">
        <v>620</v>
      </c>
      <c r="AZ5" s="92">
        <f>+E5/21</f>
        <v>88868.190476190473</v>
      </c>
      <c r="BA5" s="95">
        <v>4</v>
      </c>
      <c r="BB5" s="94" t="s">
        <v>620</v>
      </c>
      <c r="BC5" s="9">
        <v>100000</v>
      </c>
      <c r="BD5" s="10">
        <v>4</v>
      </c>
      <c r="BE5" s="94" t="s">
        <v>620</v>
      </c>
      <c r="BF5" s="9">
        <f>+G5/18</f>
        <v>94626.388888888891</v>
      </c>
      <c r="BG5" s="10">
        <v>4</v>
      </c>
      <c r="BH5" s="8" t="s">
        <v>620</v>
      </c>
      <c r="BI5" s="9">
        <f>+H5/22</f>
        <v>91058.090909090912</v>
      </c>
      <c r="BJ5" s="10">
        <v>4</v>
      </c>
      <c r="BK5" s="8" t="s">
        <v>620</v>
      </c>
      <c r="BL5" s="9">
        <f>+I5/13</f>
        <v>65073.769230769234</v>
      </c>
      <c r="BM5" s="10">
        <v>4</v>
      </c>
      <c r="BN5" s="8" t="s">
        <v>620</v>
      </c>
      <c r="BO5" s="9">
        <f>+J5/14</f>
        <v>87531.71428571429</v>
      </c>
      <c r="BP5" s="10">
        <v>4</v>
      </c>
      <c r="BQ5" s="8" t="s">
        <v>620</v>
      </c>
      <c r="BR5" s="9">
        <f>+N5/8</f>
        <v>198125</v>
      </c>
      <c r="BS5" s="10">
        <v>4</v>
      </c>
      <c r="BT5" s="8" t="s">
        <v>620</v>
      </c>
      <c r="BU5" s="9">
        <f>+R5/20</f>
        <v>63050</v>
      </c>
      <c r="BV5" s="10">
        <v>4</v>
      </c>
      <c r="BW5" s="8" t="s">
        <v>620</v>
      </c>
      <c r="BX5" s="9">
        <v>105000</v>
      </c>
      <c r="BY5" s="10">
        <v>4</v>
      </c>
      <c r="BZ5" s="8"/>
      <c r="CA5" s="9"/>
      <c r="CB5" s="10"/>
      <c r="CC5" s="8"/>
      <c r="CD5" s="9"/>
      <c r="CE5" s="10"/>
      <c r="CF5" s="8"/>
      <c r="CG5" s="9"/>
      <c r="CH5" s="10"/>
      <c r="CI5" s="8"/>
      <c r="CJ5" s="9"/>
      <c r="CK5" s="10"/>
      <c r="CL5" s="8"/>
      <c r="CM5" s="9"/>
      <c r="CN5" s="10"/>
      <c r="CO5" s="8"/>
      <c r="CP5" s="9"/>
      <c r="CQ5" s="10"/>
      <c r="CR5" s="8"/>
      <c r="CS5" s="9"/>
      <c r="CT5" s="10"/>
      <c r="CU5" s="8"/>
      <c r="CV5" s="9"/>
      <c r="CW5" s="10"/>
      <c r="CX5" s="8"/>
      <c r="CY5" s="9"/>
      <c r="CZ5" s="10"/>
      <c r="DA5" s="8"/>
      <c r="DB5" s="9"/>
      <c r="DC5" s="10"/>
      <c r="DD5" s="8"/>
      <c r="DE5" s="9"/>
      <c r="DF5" s="10"/>
      <c r="DG5" s="8"/>
      <c r="DH5" s="9"/>
      <c r="DI5" s="10"/>
      <c r="DK5" s="94">
        <v>22</v>
      </c>
      <c r="DL5" s="92">
        <f t="shared" si="54"/>
        <v>18</v>
      </c>
      <c r="DM5" s="92">
        <f t="shared" si="55"/>
        <v>22</v>
      </c>
      <c r="DN5" s="92">
        <v>20</v>
      </c>
      <c r="DO5" s="92">
        <f t="shared" si="56"/>
        <v>20</v>
      </c>
      <c r="DP5" s="92">
        <f t="shared" si="57"/>
        <v>18</v>
      </c>
      <c r="DQ5" s="9">
        <f t="shared" si="58"/>
        <v>22</v>
      </c>
      <c r="DR5" s="116">
        <f t="shared" si="59"/>
        <v>13</v>
      </c>
      <c r="DS5" s="9">
        <f t="shared" si="60"/>
        <v>14</v>
      </c>
      <c r="DT5" s="9">
        <f>IFERROR(ROUNDUP(+K5/BR5,0),0)-9</f>
        <v>0</v>
      </c>
      <c r="DU5" s="9">
        <v>15</v>
      </c>
      <c r="DV5" s="10">
        <v>14</v>
      </c>
      <c r="DW5" s="9">
        <f>IFERROR(ROUNDUP(+U5/CA5,0),0)</f>
        <v>0</v>
      </c>
      <c r="DX5" s="9">
        <f t="shared" si="61"/>
        <v>0</v>
      </c>
      <c r="DY5" s="9">
        <f t="shared" ref="DY5:DY16" si="91">IFERROR(ROUNDUP(+AE5/CG5,0),0)</f>
        <v>0</v>
      </c>
      <c r="DZ5" s="9">
        <f t="shared" si="62"/>
        <v>0</v>
      </c>
      <c r="EA5" s="9">
        <f t="shared" si="63"/>
        <v>0</v>
      </c>
      <c r="EB5" s="9">
        <f t="shared" si="64"/>
        <v>0</v>
      </c>
      <c r="EC5" s="9">
        <f t="shared" si="65"/>
        <v>0</v>
      </c>
      <c r="ED5" s="9">
        <f t="shared" si="66"/>
        <v>0</v>
      </c>
      <c r="EE5" s="9">
        <f t="shared" si="67"/>
        <v>0</v>
      </c>
      <c r="EF5" s="9">
        <f t="shared" si="68"/>
        <v>0</v>
      </c>
      <c r="EG5" s="9">
        <f t="shared" si="69"/>
        <v>0</v>
      </c>
      <c r="EH5" s="9">
        <f t="shared" si="70"/>
        <v>0</v>
      </c>
      <c r="EI5"/>
      <c r="EJ5" s="8">
        <f t="shared" ref="EJ5:EJ16" si="92">$AR5*DK5</f>
        <v>88</v>
      </c>
      <c r="EK5" s="9">
        <f t="shared" ref="EK5:EK16" si="93">$AU5*DL5</f>
        <v>54</v>
      </c>
      <c r="EL5" s="9">
        <f t="shared" ref="EL5:EL16" si="94">$AX5*DM5</f>
        <v>88</v>
      </c>
      <c r="EM5" s="9">
        <f t="shared" ref="EM5:EM16" si="95">$BA5*DN5</f>
        <v>80</v>
      </c>
      <c r="EN5" s="9">
        <f t="shared" ref="EN5:EN16" si="96">$BD5*DO5</f>
        <v>80</v>
      </c>
      <c r="EO5" s="9">
        <f t="shared" ref="EO5:EO16" si="97">$BG5*DP5</f>
        <v>72</v>
      </c>
      <c r="EP5" s="9">
        <f t="shared" si="72"/>
        <v>88</v>
      </c>
      <c r="EQ5" s="9">
        <f t="shared" si="73"/>
        <v>52</v>
      </c>
      <c r="ER5" s="9">
        <f t="shared" si="74"/>
        <v>56</v>
      </c>
      <c r="ES5" s="9">
        <f t="shared" si="75"/>
        <v>0</v>
      </c>
      <c r="ET5" s="9">
        <f t="shared" si="76"/>
        <v>60</v>
      </c>
      <c r="EU5" s="10">
        <f t="shared" si="77"/>
        <v>56</v>
      </c>
      <c r="EV5" s="9">
        <f t="shared" si="78"/>
        <v>0</v>
      </c>
      <c r="EW5" s="9">
        <f t="shared" si="79"/>
        <v>0</v>
      </c>
      <c r="EX5" s="9">
        <f t="shared" si="80"/>
        <v>0</v>
      </c>
      <c r="EY5" s="9">
        <f t="shared" si="81"/>
        <v>0</v>
      </c>
      <c r="EZ5" s="9">
        <f t="shared" si="82"/>
        <v>0</v>
      </c>
      <c r="FA5" s="9">
        <f t="shared" si="83"/>
        <v>0</v>
      </c>
      <c r="FB5" s="9">
        <f t="shared" si="84"/>
        <v>0</v>
      </c>
      <c r="FC5" s="9">
        <f t="shared" si="85"/>
        <v>0</v>
      </c>
      <c r="FD5" s="9">
        <f t="shared" ref="FD5:FD16" si="98">+CZ5*EE5</f>
        <v>0</v>
      </c>
      <c r="FE5" s="9">
        <f t="shared" ref="FE5:FE16" si="99">+DC5*EF5</f>
        <v>0</v>
      </c>
      <c r="FF5" s="9">
        <f t="shared" ref="FF5:FF16" si="100">+DF5*EG5</f>
        <v>0</v>
      </c>
      <c r="FG5" s="9">
        <f t="shared" ref="FG5:FG16" si="101">+DI5*EH5</f>
        <v>0</v>
      </c>
      <c r="FO5" t="str">
        <f t="shared" si="86"/>
        <v>MRE BaseY3NS</v>
      </c>
      <c r="FP5" t="str">
        <f t="shared" si="87"/>
        <v>MRE BaseY3NS</v>
      </c>
      <c r="FQ5" t="str">
        <f t="shared" si="88"/>
        <v>MRE BaseY3NS</v>
      </c>
      <c r="FR5" t="s">
        <v>847</v>
      </c>
    </row>
    <row r="6" spans="1:174" s="93" customFormat="1" hidden="1" outlineLevel="2" x14ac:dyDescent="0.25">
      <c r="A6" s="43" t="s">
        <v>2</v>
      </c>
      <c r="B6" s="92"/>
      <c r="C6" s="92"/>
      <c r="D6" s="92"/>
      <c r="E6" s="92"/>
      <c r="F6" s="92">
        <v>296927</v>
      </c>
      <c r="G6" s="92"/>
      <c r="H6" s="92"/>
      <c r="I6" s="92"/>
      <c r="J6" s="92"/>
      <c r="K6" s="92"/>
      <c r="L6" s="92"/>
      <c r="M6" s="134"/>
      <c r="N6" s="92">
        <v>0</v>
      </c>
      <c r="O6" s="92">
        <f>+N6-M6</f>
        <v>0</v>
      </c>
      <c r="P6" s="143"/>
      <c r="Q6" s="134"/>
      <c r="R6" s="92">
        <f>SUMIF(Schedule!$R:$R,$FQ6,Schedule!Q:Q)</f>
        <v>0</v>
      </c>
      <c r="S6" s="92"/>
      <c r="T6" s="187"/>
      <c r="U6" s="92"/>
      <c r="V6" s="92"/>
      <c r="W6" s="92"/>
      <c r="X6" s="92"/>
      <c r="Y6" s="241">
        <v>0</v>
      </c>
      <c r="Z6" s="165"/>
      <c r="AA6" s="165"/>
      <c r="AB6" s="242">
        <v>0</v>
      </c>
      <c r="AC6" s="241"/>
      <c r="AD6" s="165"/>
      <c r="AE6" s="242"/>
      <c r="AF6" s="170"/>
      <c r="AG6" s="170"/>
      <c r="AH6" s="170"/>
      <c r="AI6" s="170"/>
      <c r="AJ6" s="170"/>
      <c r="AK6" s="170"/>
      <c r="AL6" s="170"/>
      <c r="AM6" s="170"/>
      <c r="AN6" s="170"/>
      <c r="AO6" s="59"/>
      <c r="AP6" s="92"/>
      <c r="AQ6" s="92"/>
      <c r="AR6" s="95"/>
      <c r="AS6" s="94"/>
      <c r="AT6" s="92"/>
      <c r="AU6" s="95"/>
      <c r="AV6" s="94"/>
      <c r="AW6" s="92"/>
      <c r="AX6" s="95"/>
      <c r="AY6" s="94"/>
      <c r="AZ6" s="92"/>
      <c r="BA6" s="95"/>
      <c r="BB6" s="94" t="s">
        <v>78</v>
      </c>
      <c r="BC6" s="92">
        <v>75000</v>
      </c>
      <c r="BD6" s="95">
        <v>3</v>
      </c>
      <c r="BE6" s="94" t="s">
        <v>78</v>
      </c>
      <c r="BF6" s="92">
        <v>75000</v>
      </c>
      <c r="BG6" s="95">
        <v>3</v>
      </c>
      <c r="BH6" s="94" t="s">
        <v>78</v>
      </c>
      <c r="BI6" s="92">
        <v>75000</v>
      </c>
      <c r="BJ6" s="95">
        <v>3</v>
      </c>
      <c r="BK6" s="94" t="s">
        <v>78</v>
      </c>
      <c r="BL6" s="92">
        <v>75000</v>
      </c>
      <c r="BM6" s="95">
        <v>3</v>
      </c>
      <c r="BN6" s="94" t="s">
        <v>78</v>
      </c>
      <c r="BO6" s="92">
        <v>75000</v>
      </c>
      <c r="BP6" s="95">
        <v>3</v>
      </c>
      <c r="BQ6" s="94" t="s">
        <v>78</v>
      </c>
      <c r="BR6" s="92">
        <v>75000</v>
      </c>
      <c r="BS6" s="95">
        <v>3</v>
      </c>
      <c r="BT6" s="94" t="s">
        <v>78</v>
      </c>
      <c r="BU6" s="92">
        <v>75000</v>
      </c>
      <c r="BV6" s="95">
        <v>3</v>
      </c>
      <c r="BW6" s="94"/>
      <c r="BX6" s="92"/>
      <c r="BY6" s="95"/>
      <c r="BZ6" s="8">
        <f t="shared" ref="BZ6:BZ16" si="102">+BW6</f>
        <v>0</v>
      </c>
      <c r="CA6" s="9">
        <f t="shared" ref="CA6:CA15" si="103">+BX6</f>
        <v>0</v>
      </c>
      <c r="CB6" s="10">
        <f t="shared" ref="CB6:CB15" si="104">+BY6</f>
        <v>0</v>
      </c>
      <c r="CC6" s="8">
        <f t="shared" ref="CC6:CC16" si="105">+BZ6</f>
        <v>0</v>
      </c>
      <c r="CD6" s="9">
        <f t="shared" ref="CD6:CD16" si="106">+CA6</f>
        <v>0</v>
      </c>
      <c r="CE6" s="10">
        <f t="shared" ref="CE6:CE16" si="107">+CB6</f>
        <v>0</v>
      </c>
      <c r="CF6" s="8">
        <f t="shared" ref="CF6:CF16" si="108">+CC6</f>
        <v>0</v>
      </c>
      <c r="CG6" s="9">
        <f t="shared" ref="CG6:CG16" si="109">+CD6</f>
        <v>0</v>
      </c>
      <c r="CH6" s="10">
        <f t="shared" ref="CH6:CH16" si="110">+CE6</f>
        <v>0</v>
      </c>
      <c r="CI6" s="8">
        <f t="shared" ref="CI6:CI16" si="111">+CF6</f>
        <v>0</v>
      </c>
      <c r="CJ6" s="9">
        <f t="shared" ref="CJ6:CJ16" si="112">+CG6</f>
        <v>0</v>
      </c>
      <c r="CK6" s="10">
        <f t="shared" ref="CK6:CK16" si="113">+CH6</f>
        <v>0</v>
      </c>
      <c r="CL6" s="8">
        <f t="shared" ref="CL6:CL16" si="114">+CI6</f>
        <v>0</v>
      </c>
      <c r="CM6" s="9">
        <f t="shared" ref="CM6:CM16" si="115">+CJ6</f>
        <v>0</v>
      </c>
      <c r="CN6" s="10">
        <f t="shared" ref="CN6:CN16" si="116">+CK6</f>
        <v>0</v>
      </c>
      <c r="CO6" s="8">
        <f t="shared" ref="CO6:CO16" si="117">+CL6</f>
        <v>0</v>
      </c>
      <c r="CP6" s="9">
        <f t="shared" ref="CP6:CP16" si="118">+CM6</f>
        <v>0</v>
      </c>
      <c r="CQ6" s="10">
        <f t="shared" ref="CQ6:CQ16" si="119">+CN6</f>
        <v>0</v>
      </c>
      <c r="CR6" s="8">
        <f t="shared" ref="CR6:CR16" si="120">+CO6</f>
        <v>0</v>
      </c>
      <c r="CS6" s="9">
        <f t="shared" ref="CS6:CS16" si="121">+CP6</f>
        <v>0</v>
      </c>
      <c r="CT6" s="10">
        <f t="shared" ref="CT6:CT16" si="122">+CQ6</f>
        <v>0</v>
      </c>
      <c r="CU6" s="8">
        <f t="shared" ref="CU6:CU16" si="123">+CR6</f>
        <v>0</v>
      </c>
      <c r="CV6" s="9">
        <f t="shared" ref="CV6:CV16" si="124">+CS6</f>
        <v>0</v>
      </c>
      <c r="CW6" s="10">
        <f t="shared" ref="CW6:CW16" si="125">+CT6</f>
        <v>0</v>
      </c>
      <c r="CX6" s="8">
        <f t="shared" ref="CX6:CX16" si="126">+CU6</f>
        <v>0</v>
      </c>
      <c r="CY6" s="9">
        <f t="shared" ref="CY6:CY16" si="127">+CV6</f>
        <v>0</v>
      </c>
      <c r="CZ6" s="10">
        <f t="shared" ref="CZ6:CZ16" si="128">+CW6</f>
        <v>0</v>
      </c>
      <c r="DA6" s="8">
        <f t="shared" ref="DA6:DA16" si="129">+CX6</f>
        <v>0</v>
      </c>
      <c r="DB6" s="9">
        <f t="shared" ref="DB6:DB16" si="130">+CY6</f>
        <v>0</v>
      </c>
      <c r="DC6" s="10">
        <f t="shared" ref="DC6:DC16" si="131">+CZ6</f>
        <v>0</v>
      </c>
      <c r="DD6" s="8">
        <f t="shared" ref="DD6:DD16" si="132">+DA6</f>
        <v>0</v>
      </c>
      <c r="DE6" s="9">
        <f t="shared" ref="DE6:DE16" si="133">+DB6</f>
        <v>0</v>
      </c>
      <c r="DF6" s="10">
        <f t="shared" ref="DF6:DF16" si="134">+DC6</f>
        <v>0</v>
      </c>
      <c r="DG6" s="8">
        <f t="shared" ref="DG6:DG16" si="135">+DD6</f>
        <v>0</v>
      </c>
      <c r="DH6" s="9">
        <f t="shared" ref="DH6:DH16" si="136">+DE6</f>
        <v>0</v>
      </c>
      <c r="DI6" s="10">
        <f t="shared" ref="DI6:DI16" si="137">+DF6</f>
        <v>0</v>
      </c>
      <c r="DK6" s="94">
        <f t="shared" ref="DK6:DK16" si="138">IFERROR(ROUNDUP(+B6/$AQ6,0),0)</f>
        <v>0</v>
      </c>
      <c r="DL6" s="92">
        <f t="shared" si="54"/>
        <v>0</v>
      </c>
      <c r="DM6" s="92">
        <f t="shared" si="55"/>
        <v>0</v>
      </c>
      <c r="DN6" s="92">
        <f t="shared" ref="DN6:DN16" si="139">IFERROR(ROUNDUP(+E6/$AZ6,0),0)</f>
        <v>0</v>
      </c>
      <c r="DO6" s="92">
        <f t="shared" si="56"/>
        <v>4</v>
      </c>
      <c r="DP6" s="92">
        <f t="shared" si="57"/>
        <v>0</v>
      </c>
      <c r="DQ6" s="9">
        <f t="shared" si="58"/>
        <v>0</v>
      </c>
      <c r="DR6" s="92">
        <f t="shared" si="59"/>
        <v>0</v>
      </c>
      <c r="DS6" s="9">
        <f t="shared" si="60"/>
        <v>0</v>
      </c>
      <c r="DT6" s="9">
        <f>IFERROR(ROUNDUP(+K6/BR6,0),0)</f>
        <v>0</v>
      </c>
      <c r="DU6" s="9">
        <f>IFERROR(ROUNDUP(+N6/BU6,0),0)</f>
        <v>0</v>
      </c>
      <c r="DV6" s="10">
        <f t="shared" ref="DV6:DV16" si="140">IFERROR(ROUNDUP(+R6/BX6,0),0)</f>
        <v>0</v>
      </c>
      <c r="DW6" s="9">
        <f>IFERROR(ROUNDUP(+U6/CA6,0),0)</f>
        <v>0</v>
      </c>
      <c r="DX6" s="9">
        <f t="shared" si="61"/>
        <v>0</v>
      </c>
      <c r="DY6" s="9">
        <f t="shared" si="91"/>
        <v>0</v>
      </c>
      <c r="DZ6" s="9">
        <f t="shared" si="62"/>
        <v>0</v>
      </c>
      <c r="EA6" s="9">
        <f t="shared" si="63"/>
        <v>0</v>
      </c>
      <c r="EB6" s="9">
        <f t="shared" si="64"/>
        <v>0</v>
      </c>
      <c r="EC6" s="9">
        <f t="shared" si="65"/>
        <v>0</v>
      </c>
      <c r="ED6" s="9">
        <f t="shared" si="66"/>
        <v>0</v>
      </c>
      <c r="EE6" s="9">
        <f t="shared" si="67"/>
        <v>0</v>
      </c>
      <c r="EF6" s="9">
        <f t="shared" si="68"/>
        <v>0</v>
      </c>
      <c r="EG6" s="9">
        <f t="shared" si="69"/>
        <v>0</v>
      </c>
      <c r="EH6" s="9">
        <f t="shared" si="70"/>
        <v>0</v>
      </c>
      <c r="EI6"/>
      <c r="EJ6" s="8">
        <f t="shared" si="92"/>
        <v>0</v>
      </c>
      <c r="EK6" s="9">
        <f t="shared" si="93"/>
        <v>0</v>
      </c>
      <c r="EL6" s="9">
        <f t="shared" si="94"/>
        <v>0</v>
      </c>
      <c r="EM6" s="9">
        <f t="shared" si="95"/>
        <v>0</v>
      </c>
      <c r="EN6" s="9">
        <f t="shared" si="96"/>
        <v>12</v>
      </c>
      <c r="EO6" s="9">
        <f t="shared" si="97"/>
        <v>0</v>
      </c>
      <c r="EP6" s="9">
        <f t="shared" si="72"/>
        <v>0</v>
      </c>
      <c r="EQ6" s="9">
        <f t="shared" si="73"/>
        <v>0</v>
      </c>
      <c r="ER6" s="9">
        <f t="shared" si="74"/>
        <v>0</v>
      </c>
      <c r="ES6" s="9">
        <f t="shared" si="75"/>
        <v>0</v>
      </c>
      <c r="ET6" s="9">
        <f t="shared" si="76"/>
        <v>0</v>
      </c>
      <c r="EU6" s="10">
        <f t="shared" si="77"/>
        <v>0</v>
      </c>
      <c r="EV6" s="9">
        <f t="shared" si="78"/>
        <v>0</v>
      </c>
      <c r="EW6" s="9">
        <f t="shared" si="79"/>
        <v>0</v>
      </c>
      <c r="EX6" s="9">
        <f t="shared" si="80"/>
        <v>0</v>
      </c>
      <c r="EY6" s="9">
        <f t="shared" si="81"/>
        <v>0</v>
      </c>
      <c r="EZ6" s="9">
        <f t="shared" si="82"/>
        <v>0</v>
      </c>
      <c r="FA6" s="9">
        <f t="shared" si="83"/>
        <v>0</v>
      </c>
      <c r="FB6" s="9">
        <f t="shared" si="84"/>
        <v>0</v>
      </c>
      <c r="FC6" s="9">
        <f t="shared" si="85"/>
        <v>0</v>
      </c>
      <c r="FD6" s="9">
        <f t="shared" si="98"/>
        <v>0</v>
      </c>
      <c r="FE6" s="9">
        <f t="shared" si="99"/>
        <v>0</v>
      </c>
      <c r="FF6" s="9">
        <f t="shared" si="100"/>
        <v>0</v>
      </c>
      <c r="FG6" s="9">
        <f t="shared" si="101"/>
        <v>0</v>
      </c>
      <c r="FO6" t="str">
        <f t="shared" si="86"/>
        <v>MRE BaseY4S/Y5</v>
      </c>
      <c r="FP6" t="str">
        <f t="shared" si="87"/>
        <v>MRE BaseY4S/Y5</v>
      </c>
      <c r="FQ6" t="str">
        <f t="shared" si="88"/>
        <v>MRE Base</v>
      </c>
      <c r="FR6" t="s">
        <v>847</v>
      </c>
    </row>
    <row r="7" spans="1:174" s="93" customFormat="1" hidden="1" outlineLevel="2" x14ac:dyDescent="0.25">
      <c r="A7" s="43" t="s">
        <v>2</v>
      </c>
      <c r="B7" s="92"/>
      <c r="C7" s="92"/>
      <c r="D7" s="92"/>
      <c r="E7" s="92"/>
      <c r="F7" s="92">
        <v>275603</v>
      </c>
      <c r="G7" s="92">
        <v>903018</v>
      </c>
      <c r="H7" s="92">
        <v>500964</v>
      </c>
      <c r="I7" s="92"/>
      <c r="J7" s="92"/>
      <c r="K7" s="92">
        <v>896</v>
      </c>
      <c r="L7" s="92"/>
      <c r="M7" s="134">
        <v>600</v>
      </c>
      <c r="N7" s="165">
        <v>0</v>
      </c>
      <c r="O7" s="92">
        <f>L7-N7</f>
        <v>0</v>
      </c>
      <c r="P7" s="143"/>
      <c r="Q7" s="134"/>
      <c r="R7" s="92">
        <f>SUMIF(Schedule!$R:$R,$FQ7,Schedule!Q:Q)</f>
        <v>0</v>
      </c>
      <c r="S7" s="92"/>
      <c r="T7" s="187"/>
      <c r="U7" s="92"/>
      <c r="V7" s="92"/>
      <c r="W7" s="92"/>
      <c r="X7" s="92"/>
      <c r="Y7" s="241">
        <v>0</v>
      </c>
      <c r="Z7" s="165"/>
      <c r="AA7" s="165"/>
      <c r="AB7" s="242">
        <v>0</v>
      </c>
      <c r="AC7" s="241"/>
      <c r="AD7" s="165"/>
      <c r="AE7" s="242"/>
      <c r="AF7" s="170"/>
      <c r="AG7" s="170"/>
      <c r="AH7" s="170"/>
      <c r="AI7" s="170"/>
      <c r="AJ7" s="170"/>
      <c r="AK7" s="170"/>
      <c r="AL7" s="170"/>
      <c r="AM7" s="170"/>
      <c r="AN7" s="170"/>
      <c r="AO7" s="59"/>
      <c r="AP7" s="92"/>
      <c r="AQ7" s="92"/>
      <c r="AR7" s="95"/>
      <c r="AS7" s="94"/>
      <c r="AT7" s="92"/>
      <c r="AU7" s="95"/>
      <c r="AV7" s="94"/>
      <c r="AW7" s="92"/>
      <c r="AX7" s="95"/>
      <c r="AY7" s="94"/>
      <c r="AZ7" s="92"/>
      <c r="BA7" s="95"/>
      <c r="BB7" s="94" t="s">
        <v>79</v>
      </c>
      <c r="BC7" s="92">
        <v>45000</v>
      </c>
      <c r="BD7" s="95">
        <v>3</v>
      </c>
      <c r="BE7" s="94" t="s">
        <v>79</v>
      </c>
      <c r="BF7" s="92">
        <f>+G7/22</f>
        <v>41046.272727272728</v>
      </c>
      <c r="BG7" s="95">
        <v>3</v>
      </c>
      <c r="BH7" s="94" t="s">
        <v>79</v>
      </c>
      <c r="BI7" s="92">
        <f>+H7/11</f>
        <v>45542.181818181816</v>
      </c>
      <c r="BJ7" s="95">
        <v>3</v>
      </c>
      <c r="BK7" s="94" t="s">
        <v>79</v>
      </c>
      <c r="BL7" s="92">
        <v>50000</v>
      </c>
      <c r="BM7" s="95">
        <v>3</v>
      </c>
      <c r="BN7" s="94" t="s">
        <v>79</v>
      </c>
      <c r="BO7" s="92">
        <v>50000</v>
      </c>
      <c r="BP7" s="95">
        <v>3</v>
      </c>
      <c r="BQ7" s="94" t="s">
        <v>79</v>
      </c>
      <c r="BR7" s="92">
        <v>50000</v>
      </c>
      <c r="BS7" s="95">
        <v>3</v>
      </c>
      <c r="BT7" s="94" t="s">
        <v>79</v>
      </c>
      <c r="BU7" s="92">
        <v>50000</v>
      </c>
      <c r="BV7" s="95">
        <v>3</v>
      </c>
      <c r="BW7" s="94"/>
      <c r="BX7" s="92"/>
      <c r="BY7" s="95"/>
      <c r="BZ7" s="8">
        <f t="shared" si="102"/>
        <v>0</v>
      </c>
      <c r="CA7" s="9">
        <f t="shared" si="103"/>
        <v>0</v>
      </c>
      <c r="CB7" s="10">
        <f t="shared" si="104"/>
        <v>0</v>
      </c>
      <c r="CC7" s="8">
        <f t="shared" si="105"/>
        <v>0</v>
      </c>
      <c r="CD7" s="9">
        <f t="shared" si="106"/>
        <v>0</v>
      </c>
      <c r="CE7" s="10">
        <f t="shared" si="107"/>
        <v>0</v>
      </c>
      <c r="CF7" s="8">
        <f t="shared" si="108"/>
        <v>0</v>
      </c>
      <c r="CG7" s="9">
        <f t="shared" si="109"/>
        <v>0</v>
      </c>
      <c r="CH7" s="10">
        <f t="shared" si="110"/>
        <v>0</v>
      </c>
      <c r="CI7" s="8">
        <f t="shared" si="111"/>
        <v>0</v>
      </c>
      <c r="CJ7" s="9">
        <f t="shared" si="112"/>
        <v>0</v>
      </c>
      <c r="CK7" s="10">
        <f t="shared" si="113"/>
        <v>0</v>
      </c>
      <c r="CL7" s="8">
        <f t="shared" si="114"/>
        <v>0</v>
      </c>
      <c r="CM7" s="9">
        <f t="shared" si="115"/>
        <v>0</v>
      </c>
      <c r="CN7" s="10">
        <f t="shared" si="116"/>
        <v>0</v>
      </c>
      <c r="CO7" s="8">
        <f t="shared" si="117"/>
        <v>0</v>
      </c>
      <c r="CP7" s="9">
        <f t="shared" si="118"/>
        <v>0</v>
      </c>
      <c r="CQ7" s="10">
        <f t="shared" si="119"/>
        <v>0</v>
      </c>
      <c r="CR7" s="8">
        <f t="shared" si="120"/>
        <v>0</v>
      </c>
      <c r="CS7" s="9">
        <f t="shared" si="121"/>
        <v>0</v>
      </c>
      <c r="CT7" s="10">
        <f t="shared" si="122"/>
        <v>0</v>
      </c>
      <c r="CU7" s="8">
        <f t="shared" si="123"/>
        <v>0</v>
      </c>
      <c r="CV7" s="9">
        <f t="shared" si="124"/>
        <v>0</v>
      </c>
      <c r="CW7" s="10">
        <f t="shared" si="125"/>
        <v>0</v>
      </c>
      <c r="CX7" s="8">
        <f t="shared" si="126"/>
        <v>0</v>
      </c>
      <c r="CY7" s="9">
        <f t="shared" si="127"/>
        <v>0</v>
      </c>
      <c r="CZ7" s="10">
        <f t="shared" si="128"/>
        <v>0</v>
      </c>
      <c r="DA7" s="8">
        <f t="shared" si="129"/>
        <v>0</v>
      </c>
      <c r="DB7" s="9">
        <f t="shared" si="130"/>
        <v>0</v>
      </c>
      <c r="DC7" s="10">
        <f t="shared" si="131"/>
        <v>0</v>
      </c>
      <c r="DD7" s="8">
        <f t="shared" si="132"/>
        <v>0</v>
      </c>
      <c r="DE7" s="9">
        <f t="shared" si="133"/>
        <v>0</v>
      </c>
      <c r="DF7" s="10">
        <f t="shared" si="134"/>
        <v>0</v>
      </c>
      <c r="DG7" s="8">
        <f t="shared" si="135"/>
        <v>0</v>
      </c>
      <c r="DH7" s="9">
        <f t="shared" si="136"/>
        <v>0</v>
      </c>
      <c r="DI7" s="10">
        <f t="shared" si="137"/>
        <v>0</v>
      </c>
      <c r="DK7" s="94">
        <f t="shared" si="138"/>
        <v>0</v>
      </c>
      <c r="DL7" s="92">
        <f t="shared" si="54"/>
        <v>0</v>
      </c>
      <c r="DM7" s="92">
        <f t="shared" si="55"/>
        <v>0</v>
      </c>
      <c r="DN7" s="92">
        <f t="shared" si="139"/>
        <v>0</v>
      </c>
      <c r="DO7" s="92">
        <f t="shared" si="56"/>
        <v>7</v>
      </c>
      <c r="DP7" s="92">
        <f t="shared" si="57"/>
        <v>22</v>
      </c>
      <c r="DQ7" s="9">
        <f t="shared" si="58"/>
        <v>11</v>
      </c>
      <c r="DR7" s="92">
        <f t="shared" si="59"/>
        <v>0</v>
      </c>
      <c r="DS7" s="9">
        <f t="shared" si="60"/>
        <v>0</v>
      </c>
      <c r="DT7" s="9">
        <f>IFERROR(ROUNDUP(+K7/BR7,0),0)</f>
        <v>1</v>
      </c>
      <c r="DU7" s="9">
        <f>IFERROR(ROUNDUP(+N7/BU7,0),0)</f>
        <v>0</v>
      </c>
      <c r="DV7" s="10">
        <f t="shared" si="140"/>
        <v>0</v>
      </c>
      <c r="DW7" s="9">
        <f>IFERROR(ROUNDUP(+U7/CA7,0),0)</f>
        <v>0</v>
      </c>
      <c r="DX7" s="9">
        <f t="shared" si="61"/>
        <v>0</v>
      </c>
      <c r="DY7" s="9">
        <f t="shared" si="91"/>
        <v>0</v>
      </c>
      <c r="DZ7" s="9">
        <f t="shared" si="62"/>
        <v>0</v>
      </c>
      <c r="EA7" s="9">
        <f t="shared" si="63"/>
        <v>0</v>
      </c>
      <c r="EB7" s="9">
        <f t="shared" si="64"/>
        <v>0</v>
      </c>
      <c r="EC7" s="9">
        <f t="shared" si="65"/>
        <v>0</v>
      </c>
      <c r="ED7" s="9">
        <f t="shared" si="66"/>
        <v>0</v>
      </c>
      <c r="EE7" s="9">
        <f t="shared" si="67"/>
        <v>0</v>
      </c>
      <c r="EF7" s="9">
        <f t="shared" si="68"/>
        <v>0</v>
      </c>
      <c r="EG7" s="9">
        <f t="shared" si="69"/>
        <v>0</v>
      </c>
      <c r="EH7" s="9">
        <f t="shared" si="70"/>
        <v>0</v>
      </c>
      <c r="EI7"/>
      <c r="EJ7" s="8">
        <f t="shared" si="92"/>
        <v>0</v>
      </c>
      <c r="EK7" s="9">
        <f t="shared" si="93"/>
        <v>0</v>
      </c>
      <c r="EL7" s="9">
        <f t="shared" si="94"/>
        <v>0</v>
      </c>
      <c r="EM7" s="9">
        <f t="shared" si="95"/>
        <v>0</v>
      </c>
      <c r="EN7" s="9">
        <f t="shared" si="96"/>
        <v>21</v>
      </c>
      <c r="EO7" s="9">
        <f t="shared" si="97"/>
        <v>66</v>
      </c>
      <c r="EP7" s="9">
        <f t="shared" si="72"/>
        <v>33</v>
      </c>
      <c r="EQ7" s="9">
        <f t="shared" si="73"/>
        <v>0</v>
      </c>
      <c r="ER7" s="9">
        <f t="shared" si="74"/>
        <v>0</v>
      </c>
      <c r="ES7" s="9">
        <f t="shared" si="75"/>
        <v>3</v>
      </c>
      <c r="ET7" s="9">
        <f t="shared" si="76"/>
        <v>0</v>
      </c>
      <c r="EU7" s="10">
        <f t="shared" si="77"/>
        <v>0</v>
      </c>
      <c r="EV7" s="9">
        <f t="shared" si="78"/>
        <v>0</v>
      </c>
      <c r="EW7" s="9">
        <f t="shared" si="79"/>
        <v>0</v>
      </c>
      <c r="EX7" s="9">
        <f t="shared" si="80"/>
        <v>0</v>
      </c>
      <c r="EY7" s="9">
        <f t="shared" si="81"/>
        <v>0</v>
      </c>
      <c r="EZ7" s="9">
        <f t="shared" si="82"/>
        <v>0</v>
      </c>
      <c r="FA7" s="9">
        <f t="shared" si="83"/>
        <v>0</v>
      </c>
      <c r="FB7" s="9">
        <f t="shared" si="84"/>
        <v>0</v>
      </c>
      <c r="FC7" s="9">
        <f t="shared" si="85"/>
        <v>0</v>
      </c>
      <c r="FD7" s="9">
        <f t="shared" si="98"/>
        <v>0</v>
      </c>
      <c r="FE7" s="9">
        <f t="shared" si="99"/>
        <v>0</v>
      </c>
      <c r="FF7" s="9">
        <f t="shared" si="100"/>
        <v>0</v>
      </c>
      <c r="FG7" s="9">
        <f t="shared" si="101"/>
        <v>0</v>
      </c>
      <c r="FO7" t="str">
        <f t="shared" si="86"/>
        <v>MRE BaseY4N</v>
      </c>
      <c r="FP7" t="str">
        <f t="shared" si="87"/>
        <v>MRE BaseY4N</v>
      </c>
      <c r="FQ7" t="str">
        <f t="shared" si="88"/>
        <v>MRE Base</v>
      </c>
      <c r="FR7" t="s">
        <v>847</v>
      </c>
    </row>
    <row r="8" spans="1:174" ht="17.25" customHeight="1" outlineLevel="1" collapsed="1" x14ac:dyDescent="0.25">
      <c r="A8" s="28" t="s">
        <v>1123</v>
      </c>
      <c r="B8" s="9">
        <f>SUMIF(Prophix!$Q:$Q,'Fds Units'!$A8,Prophix!D:D)</f>
        <v>127554</v>
      </c>
      <c r="C8" s="9">
        <f>SUMIF(Prophix!$Q:$Q,'Fds Units'!$A8,Prophix!E:E)</f>
        <v>85061</v>
      </c>
      <c r="D8" s="9">
        <f>SUMIF(Prophix!$Q:$Q,'Fds Units'!$A8,Prophix!F:F)</f>
        <v>138202</v>
      </c>
      <c r="E8" s="9">
        <f>SUMIF(Prophix!$Q:$Q,'Fds Units'!$A8,Prophix!G:G)</f>
        <v>208528</v>
      </c>
      <c r="F8" s="9">
        <f>SUMIF(Prophix!$Q:$Q,'Fds Units'!$A8,Prophix!H:H)</f>
        <v>207735</v>
      </c>
      <c r="G8" s="9">
        <f>SUMIF(Prophix!$Q:$Q,'Fds Units'!$A8,Prophix!I:I)</f>
        <v>228150</v>
      </c>
      <c r="H8" s="9">
        <f>SUMIF(Prophix!$Q:$Q,'Fds Units'!$A8,Prophix!J:J)</f>
        <v>219156</v>
      </c>
      <c r="I8" s="9">
        <f>SUMIF(Prophix!$Q:$Q,'Fds Units'!$A8,Prophix!K:K)</f>
        <v>141173</v>
      </c>
      <c r="J8" s="9">
        <f>SUMIF(Prophix!$Q:$Q,'Fds Units'!$A8,Prophix!L:L)</f>
        <v>142731</v>
      </c>
      <c r="K8" s="9">
        <f>SUMIF(Prophix!$Q:$Q,'Fds Units'!$A8,Prophix!M:M)</f>
        <v>24055</v>
      </c>
      <c r="L8" s="92"/>
      <c r="M8" s="134">
        <v>500</v>
      </c>
      <c r="N8" s="165">
        <v>0</v>
      </c>
      <c r="O8" s="92">
        <f>L8-N8</f>
        <v>0</v>
      </c>
      <c r="P8" s="142"/>
      <c r="Q8" s="134">
        <f>+P8</f>
        <v>0</v>
      </c>
      <c r="R8" s="92">
        <f>SUMIF(Schedule!$R:$R,$FQ8,Schedule!Q:Q)</f>
        <v>0</v>
      </c>
      <c r="S8" s="92"/>
      <c r="T8" s="186">
        <f>+R8-Q8</f>
        <v>0</v>
      </c>
      <c r="U8" s="92">
        <v>0</v>
      </c>
      <c r="V8" s="92"/>
      <c r="W8" s="92">
        <v>0</v>
      </c>
      <c r="X8" s="9">
        <f>+W8-U8</f>
        <v>0</v>
      </c>
      <c r="Y8" s="241">
        <v>0</v>
      </c>
      <c r="Z8" s="165"/>
      <c r="AA8" s="165"/>
      <c r="AB8" s="242">
        <f>AA8-Z8</f>
        <v>0</v>
      </c>
      <c r="AC8" s="241">
        <v>0</v>
      </c>
      <c r="AD8" s="165">
        <v>0</v>
      </c>
      <c r="AE8" s="242">
        <v>0</v>
      </c>
      <c r="AF8" s="170"/>
      <c r="AG8" s="170"/>
      <c r="AH8" s="170"/>
      <c r="AI8" s="170"/>
      <c r="AJ8" s="170"/>
      <c r="AK8" s="170"/>
      <c r="AL8" s="170"/>
      <c r="AM8" s="170"/>
      <c r="AN8" s="170"/>
      <c r="AO8" s="59"/>
      <c r="AP8" s="9" t="s">
        <v>608</v>
      </c>
      <c r="AQ8" s="9">
        <v>50000</v>
      </c>
      <c r="AR8" s="10">
        <v>2</v>
      </c>
      <c r="AS8" s="8" t="s">
        <v>608</v>
      </c>
      <c r="AT8" s="9">
        <v>35000</v>
      </c>
      <c r="AU8" s="10">
        <v>2</v>
      </c>
      <c r="AV8" s="8" t="s">
        <v>608</v>
      </c>
      <c r="AW8" s="9">
        <v>45000</v>
      </c>
      <c r="AX8" s="10">
        <v>2</v>
      </c>
      <c r="AY8" s="8" t="s">
        <v>608</v>
      </c>
      <c r="AZ8" s="9">
        <v>45000</v>
      </c>
      <c r="BA8" s="10">
        <v>2</v>
      </c>
      <c r="BB8" s="8" t="s">
        <v>608</v>
      </c>
      <c r="BC8" s="9">
        <v>47000</v>
      </c>
      <c r="BD8" s="10">
        <v>2</v>
      </c>
      <c r="BE8" s="8" t="s">
        <v>608</v>
      </c>
      <c r="BF8" s="9">
        <f>+G8/5</f>
        <v>45630</v>
      </c>
      <c r="BG8" s="10">
        <v>2</v>
      </c>
      <c r="BH8" s="8" t="s">
        <v>608</v>
      </c>
      <c r="BI8" s="9">
        <f>+H8/6</f>
        <v>36526</v>
      </c>
      <c r="BJ8" s="10">
        <v>2</v>
      </c>
      <c r="BK8" s="8" t="s">
        <v>608</v>
      </c>
      <c r="BL8" s="9">
        <v>52500</v>
      </c>
      <c r="BM8" s="10">
        <v>2</v>
      </c>
      <c r="BN8" s="8" t="s">
        <v>608</v>
      </c>
      <c r="BO8" s="9">
        <v>52500</v>
      </c>
      <c r="BP8" s="10">
        <v>2</v>
      </c>
      <c r="BQ8" s="8" t="s">
        <v>608</v>
      </c>
      <c r="BR8" s="9">
        <v>52500</v>
      </c>
      <c r="BS8" s="10">
        <v>2</v>
      </c>
      <c r="BT8" s="8" t="s">
        <v>608</v>
      </c>
      <c r="BU8" s="9">
        <v>5500</v>
      </c>
      <c r="BV8" s="10">
        <v>2</v>
      </c>
      <c r="BW8" s="8" t="s">
        <v>608</v>
      </c>
      <c r="BX8" s="9">
        <v>50000</v>
      </c>
      <c r="BY8" s="10">
        <v>2</v>
      </c>
      <c r="BZ8" s="8" t="str">
        <f t="shared" si="102"/>
        <v>V3</v>
      </c>
      <c r="CA8" s="9">
        <v>0</v>
      </c>
      <c r="CB8" s="10">
        <f t="shared" si="104"/>
        <v>2</v>
      </c>
      <c r="CC8" s="8" t="str">
        <f t="shared" si="105"/>
        <v>V3</v>
      </c>
      <c r="CD8" s="9">
        <f t="shared" si="106"/>
        <v>0</v>
      </c>
      <c r="CE8" s="10">
        <f t="shared" si="107"/>
        <v>2</v>
      </c>
      <c r="CF8" s="8" t="str">
        <f t="shared" si="108"/>
        <v>V3</v>
      </c>
      <c r="CG8" s="9">
        <f t="shared" si="109"/>
        <v>0</v>
      </c>
      <c r="CH8" s="10">
        <f t="shared" si="110"/>
        <v>2</v>
      </c>
      <c r="CI8" s="8" t="str">
        <f t="shared" si="111"/>
        <v>V3</v>
      </c>
      <c r="CJ8" s="9">
        <f t="shared" si="112"/>
        <v>0</v>
      </c>
      <c r="CK8" s="10">
        <f t="shared" si="113"/>
        <v>2</v>
      </c>
      <c r="CL8" s="8" t="str">
        <f t="shared" si="114"/>
        <v>V3</v>
      </c>
      <c r="CM8" s="9">
        <f t="shared" si="115"/>
        <v>0</v>
      </c>
      <c r="CN8" s="10">
        <f t="shared" si="116"/>
        <v>2</v>
      </c>
      <c r="CO8" s="8" t="str">
        <f t="shared" si="117"/>
        <v>V3</v>
      </c>
      <c r="CP8" s="9">
        <f t="shared" si="118"/>
        <v>0</v>
      </c>
      <c r="CQ8" s="10">
        <f t="shared" si="119"/>
        <v>2</v>
      </c>
      <c r="CR8" s="8" t="str">
        <f t="shared" si="120"/>
        <v>V3</v>
      </c>
      <c r="CS8" s="9">
        <f t="shared" si="121"/>
        <v>0</v>
      </c>
      <c r="CT8" s="10">
        <f t="shared" si="122"/>
        <v>2</v>
      </c>
      <c r="CU8" s="8" t="str">
        <f t="shared" si="123"/>
        <v>V3</v>
      </c>
      <c r="CV8" s="9">
        <f t="shared" si="124"/>
        <v>0</v>
      </c>
      <c r="CW8" s="10">
        <f t="shared" si="125"/>
        <v>2</v>
      </c>
      <c r="CX8" s="8" t="str">
        <f t="shared" si="126"/>
        <v>V3</v>
      </c>
      <c r="CY8" s="9">
        <f t="shared" si="127"/>
        <v>0</v>
      </c>
      <c r="CZ8" s="10">
        <f t="shared" si="128"/>
        <v>2</v>
      </c>
      <c r="DA8" s="8" t="str">
        <f t="shared" si="129"/>
        <v>V3</v>
      </c>
      <c r="DB8" s="9">
        <f t="shared" si="130"/>
        <v>0</v>
      </c>
      <c r="DC8" s="10">
        <f t="shared" si="131"/>
        <v>2</v>
      </c>
      <c r="DD8" s="8" t="str">
        <f t="shared" si="132"/>
        <v>V3</v>
      </c>
      <c r="DE8" s="9">
        <f t="shared" si="133"/>
        <v>0</v>
      </c>
      <c r="DF8" s="10">
        <f t="shared" si="134"/>
        <v>2</v>
      </c>
      <c r="DG8" s="8" t="str">
        <f t="shared" si="135"/>
        <v>V3</v>
      </c>
      <c r="DH8" s="9">
        <f t="shared" si="136"/>
        <v>0</v>
      </c>
      <c r="DI8" s="10">
        <f t="shared" si="137"/>
        <v>2</v>
      </c>
      <c r="DK8" s="8">
        <f t="shared" si="138"/>
        <v>3</v>
      </c>
      <c r="DL8" s="9">
        <f t="shared" si="54"/>
        <v>3</v>
      </c>
      <c r="DM8" s="9">
        <f t="shared" si="55"/>
        <v>4</v>
      </c>
      <c r="DN8" s="9">
        <f t="shared" si="139"/>
        <v>5</v>
      </c>
      <c r="DO8" s="9">
        <f t="shared" si="56"/>
        <v>5</v>
      </c>
      <c r="DP8" s="9">
        <f t="shared" si="57"/>
        <v>5</v>
      </c>
      <c r="DQ8" s="9">
        <f t="shared" si="58"/>
        <v>6</v>
      </c>
      <c r="DR8" s="9">
        <f t="shared" si="59"/>
        <v>3</v>
      </c>
      <c r="DS8" s="9">
        <f t="shared" si="60"/>
        <v>3</v>
      </c>
      <c r="DT8" s="9">
        <f>IFERROR(ROUNDUP(+K8/BR8,0),0)</f>
        <v>1</v>
      </c>
      <c r="DU8" s="9">
        <f>IFERROR(ROUNDUP(+N8/BU8,0),0)</f>
        <v>0</v>
      </c>
      <c r="DV8" s="10">
        <f t="shared" si="140"/>
        <v>0</v>
      </c>
      <c r="DW8" s="9">
        <f t="shared" ref="DW8:DW16" si="141">IFERROR(ROUNDUP(+V8/CA8,0),0)</f>
        <v>0</v>
      </c>
      <c r="DX8" s="9">
        <f t="shared" si="61"/>
        <v>0</v>
      </c>
      <c r="DY8" s="9">
        <f t="shared" si="91"/>
        <v>0</v>
      </c>
      <c r="DZ8" s="9">
        <f t="shared" si="62"/>
        <v>0</v>
      </c>
      <c r="EA8" s="9">
        <f t="shared" si="63"/>
        <v>0</v>
      </c>
      <c r="EB8" s="9">
        <f t="shared" si="64"/>
        <v>0</v>
      </c>
      <c r="EC8" s="9">
        <f t="shared" si="65"/>
        <v>0</v>
      </c>
      <c r="ED8" s="9">
        <f t="shared" si="66"/>
        <v>0</v>
      </c>
      <c r="EE8" s="9">
        <f t="shared" si="67"/>
        <v>0</v>
      </c>
      <c r="EF8" s="9">
        <f t="shared" si="68"/>
        <v>0</v>
      </c>
      <c r="EG8" s="9">
        <f t="shared" si="69"/>
        <v>0</v>
      </c>
      <c r="EH8" s="9">
        <f t="shared" si="70"/>
        <v>0</v>
      </c>
      <c r="EJ8" s="8">
        <f t="shared" si="92"/>
        <v>6</v>
      </c>
      <c r="EK8" s="9">
        <f t="shared" si="93"/>
        <v>6</v>
      </c>
      <c r="EL8" s="9">
        <f t="shared" si="94"/>
        <v>8</v>
      </c>
      <c r="EM8" s="9">
        <f t="shared" si="95"/>
        <v>10</v>
      </c>
      <c r="EN8" s="9">
        <f t="shared" si="96"/>
        <v>10</v>
      </c>
      <c r="EO8" s="9">
        <f t="shared" si="97"/>
        <v>10</v>
      </c>
      <c r="EP8" s="9">
        <f t="shared" si="72"/>
        <v>12</v>
      </c>
      <c r="EQ8" s="9">
        <f t="shared" si="73"/>
        <v>6</v>
      </c>
      <c r="ER8" s="9">
        <f t="shared" si="74"/>
        <v>6</v>
      </c>
      <c r="ES8" s="9">
        <f t="shared" si="75"/>
        <v>2</v>
      </c>
      <c r="ET8" s="9">
        <f t="shared" si="76"/>
        <v>0</v>
      </c>
      <c r="EU8" s="10">
        <f t="shared" si="77"/>
        <v>0</v>
      </c>
      <c r="EV8" s="9">
        <f t="shared" si="78"/>
        <v>0</v>
      </c>
      <c r="EW8" s="9">
        <f t="shared" si="79"/>
        <v>0</v>
      </c>
      <c r="EX8" s="9">
        <f t="shared" si="80"/>
        <v>0</v>
      </c>
      <c r="EY8" s="9">
        <f t="shared" si="81"/>
        <v>0</v>
      </c>
      <c r="EZ8" s="9">
        <f t="shared" si="82"/>
        <v>0</v>
      </c>
      <c r="FA8" s="9">
        <f t="shared" si="83"/>
        <v>0</v>
      </c>
      <c r="FB8" s="9">
        <f t="shared" si="84"/>
        <v>0</v>
      </c>
      <c r="FC8" s="9">
        <f t="shared" si="85"/>
        <v>0</v>
      </c>
      <c r="FD8" s="9">
        <f t="shared" si="98"/>
        <v>0</v>
      </c>
      <c r="FE8" s="9">
        <f t="shared" si="99"/>
        <v>0</v>
      </c>
      <c r="FF8" s="9">
        <f t="shared" si="100"/>
        <v>0</v>
      </c>
      <c r="FG8" s="9">
        <f t="shared" si="101"/>
        <v>0</v>
      </c>
      <c r="FO8" t="str">
        <f t="shared" si="86"/>
        <v>MRE PlaceableV3</v>
      </c>
      <c r="FP8" t="str">
        <f t="shared" si="87"/>
        <v>MRE PlaceableV3</v>
      </c>
      <c r="FQ8" t="str">
        <f t="shared" si="88"/>
        <v>MRE PlaceableV3</v>
      </c>
      <c r="FR8" t="s">
        <v>926</v>
      </c>
    </row>
    <row r="9" spans="1:174" outlineLevel="1" x14ac:dyDescent="0.25">
      <c r="A9" s="28" t="s">
        <v>3</v>
      </c>
      <c r="B9" s="9">
        <f>SUMIF(Prophix!$Q:$Q,'Fds Units'!$A9,Prophix!D:D)</f>
        <v>378535</v>
      </c>
      <c r="C9" s="9">
        <f>SUMIF(Prophix!$Q:$Q,'Fds Units'!$A9,Prophix!E:E)</f>
        <v>691107</v>
      </c>
      <c r="D9" s="9">
        <f>SUMIF(Prophix!$Q:$Q,'Fds Units'!$A9,Prophix!F:F)</f>
        <v>422723</v>
      </c>
      <c r="E9" s="9">
        <f>SUMIF(Prophix!$Q:$Q,'Fds Units'!$A9,Prophix!G:G)</f>
        <v>626418</v>
      </c>
      <c r="F9" s="9">
        <f>SUMIF(Prophix!$Q:$Q,'Fds Units'!$A9,Prophix!H:H)</f>
        <v>888962</v>
      </c>
      <c r="G9" s="9">
        <f>SUMIF(Prophix!$Q:$Q,'Fds Units'!$A9,Prophix!I:I)</f>
        <v>1239340</v>
      </c>
      <c r="H9" s="9">
        <f>SUMIF(Prophix!$Q:$Q,'Fds Units'!$A9,Prophix!J:J)</f>
        <v>351085</v>
      </c>
      <c r="I9" s="9">
        <f>SUMIF(Prophix!$Q:$Q,'Fds Units'!$A9,Prophix!K:K)</f>
        <v>432200</v>
      </c>
      <c r="J9" s="9">
        <f>SUMIF(Prophix!$Q:$Q,'Fds Units'!$A9,Prophix!L:L)</f>
        <v>95006</v>
      </c>
      <c r="K9" s="9">
        <f>SUMIF(Prophix!$Q:$Q,'Fds Units'!$A9,Prophix!M:M)</f>
        <v>216003</v>
      </c>
      <c r="L9" s="92">
        <v>421730</v>
      </c>
      <c r="M9" s="134">
        <f>-'[1]RNC by SKU'!$U$81</f>
        <v>0</v>
      </c>
      <c r="N9" s="92">
        <v>420000</v>
      </c>
      <c r="O9" s="92">
        <f>L9-N9</f>
        <v>1730</v>
      </c>
      <c r="P9" s="142"/>
      <c r="Q9" s="134">
        <f>R9</f>
        <v>945000</v>
      </c>
      <c r="R9" s="92">
        <v>945000</v>
      </c>
      <c r="S9" s="92">
        <v>707877</v>
      </c>
      <c r="T9" s="186">
        <f>S9-R9</f>
        <v>-237123</v>
      </c>
      <c r="U9" s="9">
        <v>735000</v>
      </c>
      <c r="V9" s="9">
        <v>840000</v>
      </c>
      <c r="W9" s="9">
        <v>573096</v>
      </c>
      <c r="X9" s="9">
        <v>426202</v>
      </c>
      <c r="Y9" s="72">
        <v>1050000</v>
      </c>
      <c r="Z9" s="67">
        <v>938000</v>
      </c>
      <c r="AA9" s="67">
        <v>728636</v>
      </c>
      <c r="AB9" s="242">
        <f>AA9-Z9</f>
        <v>-209364</v>
      </c>
      <c r="AC9" s="241">
        <v>630000</v>
      </c>
      <c r="AD9" s="165">
        <v>420000</v>
      </c>
      <c r="AE9" s="242">
        <v>420000</v>
      </c>
      <c r="AF9" s="168">
        <v>420000</v>
      </c>
      <c r="AG9" s="168">
        <v>420000</v>
      </c>
      <c r="AH9" s="168">
        <v>420000</v>
      </c>
      <c r="AI9" s="168">
        <v>105000</v>
      </c>
      <c r="AJ9" s="168">
        <v>420000</v>
      </c>
      <c r="AK9" s="168">
        <v>315000</v>
      </c>
      <c r="AL9" s="168">
        <v>210000</v>
      </c>
      <c r="AM9" s="168">
        <v>315000</v>
      </c>
      <c r="AN9" s="168">
        <v>0</v>
      </c>
      <c r="AO9" s="59"/>
      <c r="AP9" s="9" t="s">
        <v>620</v>
      </c>
      <c r="AQ9" s="9">
        <v>103000</v>
      </c>
      <c r="AR9" s="10">
        <v>4</v>
      </c>
      <c r="AS9" s="8" t="s">
        <v>620</v>
      </c>
      <c r="AT9" s="9">
        <v>105000</v>
      </c>
      <c r="AU9" s="10">
        <v>4</v>
      </c>
      <c r="AV9" s="8" t="s">
        <v>620</v>
      </c>
      <c r="AW9" s="9">
        <v>110000</v>
      </c>
      <c r="AX9" s="10">
        <v>4</v>
      </c>
      <c r="AY9" s="8" t="s">
        <v>620</v>
      </c>
      <c r="AZ9" s="9">
        <v>105000</v>
      </c>
      <c r="BA9" s="10">
        <v>4</v>
      </c>
      <c r="BB9" s="8" t="s">
        <v>620</v>
      </c>
      <c r="BC9" s="9">
        <v>115000</v>
      </c>
      <c r="BD9" s="10">
        <v>4</v>
      </c>
      <c r="BE9" s="94" t="s">
        <v>620</v>
      </c>
      <c r="BF9" s="9">
        <f>+G9/11</f>
        <v>112667.27272727272</v>
      </c>
      <c r="BG9" s="10">
        <v>4</v>
      </c>
      <c r="BH9" s="94" t="s">
        <v>620</v>
      </c>
      <c r="BI9" s="9">
        <f>+H9/3</f>
        <v>117028.33333333333</v>
      </c>
      <c r="BJ9" s="10">
        <v>4</v>
      </c>
      <c r="BK9" s="8" t="s">
        <v>620</v>
      </c>
      <c r="BL9" s="9">
        <f>+I9/4</f>
        <v>108050</v>
      </c>
      <c r="BM9" s="10">
        <v>4</v>
      </c>
      <c r="BN9" s="8" t="s">
        <v>620</v>
      </c>
      <c r="BO9" s="9">
        <v>105000</v>
      </c>
      <c r="BP9" s="10">
        <v>4</v>
      </c>
      <c r="BQ9" s="8" t="s">
        <v>620</v>
      </c>
      <c r="BR9" s="9">
        <v>105000</v>
      </c>
      <c r="BS9" s="10">
        <v>4</v>
      </c>
      <c r="BT9" s="8" t="s">
        <v>620</v>
      </c>
      <c r="BU9" s="9">
        <v>105000</v>
      </c>
      <c r="BV9" s="10">
        <v>4</v>
      </c>
      <c r="BW9" s="8" t="s">
        <v>620</v>
      </c>
      <c r="BX9" s="9">
        <v>105000</v>
      </c>
      <c r="BY9" s="10">
        <v>4</v>
      </c>
      <c r="BZ9" s="8" t="str">
        <f t="shared" si="102"/>
        <v>Y3NS</v>
      </c>
      <c r="CA9" s="9">
        <f t="shared" si="103"/>
        <v>105000</v>
      </c>
      <c r="CB9" s="10">
        <f t="shared" si="104"/>
        <v>4</v>
      </c>
      <c r="CC9" s="8" t="str">
        <f t="shared" si="105"/>
        <v>Y3NS</v>
      </c>
      <c r="CD9" s="9">
        <f t="shared" si="106"/>
        <v>105000</v>
      </c>
      <c r="CE9" s="10">
        <f t="shared" si="107"/>
        <v>4</v>
      </c>
      <c r="CF9" s="8" t="str">
        <f t="shared" si="108"/>
        <v>Y3NS</v>
      </c>
      <c r="CG9" s="9">
        <f t="shared" si="109"/>
        <v>105000</v>
      </c>
      <c r="CH9" s="10">
        <f t="shared" si="110"/>
        <v>4</v>
      </c>
      <c r="CI9" s="8" t="str">
        <f t="shared" si="111"/>
        <v>Y3NS</v>
      </c>
      <c r="CJ9" s="9">
        <f t="shared" si="112"/>
        <v>105000</v>
      </c>
      <c r="CK9" s="10">
        <f t="shared" si="113"/>
        <v>4</v>
      </c>
      <c r="CL9" s="8" t="str">
        <f t="shared" si="114"/>
        <v>Y3NS</v>
      </c>
      <c r="CM9" s="9">
        <f t="shared" si="115"/>
        <v>105000</v>
      </c>
      <c r="CN9" s="10">
        <f t="shared" si="116"/>
        <v>4</v>
      </c>
      <c r="CO9" s="8" t="str">
        <f t="shared" si="117"/>
        <v>Y3NS</v>
      </c>
      <c r="CP9" s="9">
        <f t="shared" si="118"/>
        <v>105000</v>
      </c>
      <c r="CQ9" s="10">
        <f t="shared" si="119"/>
        <v>4</v>
      </c>
      <c r="CR9" s="8" t="str">
        <f t="shared" si="120"/>
        <v>Y3NS</v>
      </c>
      <c r="CS9" s="9">
        <f t="shared" si="121"/>
        <v>105000</v>
      </c>
      <c r="CT9" s="10">
        <f t="shared" si="122"/>
        <v>4</v>
      </c>
      <c r="CU9" s="8" t="str">
        <f t="shared" si="123"/>
        <v>Y3NS</v>
      </c>
      <c r="CV9" s="9">
        <f t="shared" si="124"/>
        <v>105000</v>
      </c>
      <c r="CW9" s="10">
        <f t="shared" si="125"/>
        <v>4</v>
      </c>
      <c r="CX9" s="8" t="str">
        <f t="shared" si="126"/>
        <v>Y3NS</v>
      </c>
      <c r="CY9" s="9">
        <f t="shared" si="127"/>
        <v>105000</v>
      </c>
      <c r="CZ9" s="10">
        <f t="shared" si="128"/>
        <v>4</v>
      </c>
      <c r="DA9" s="8" t="str">
        <f t="shared" si="129"/>
        <v>Y3NS</v>
      </c>
      <c r="DB9" s="9">
        <f t="shared" si="130"/>
        <v>105000</v>
      </c>
      <c r="DC9" s="10">
        <f t="shared" si="131"/>
        <v>4</v>
      </c>
      <c r="DD9" s="8" t="str">
        <f t="shared" si="132"/>
        <v>Y3NS</v>
      </c>
      <c r="DE9" s="9">
        <f t="shared" si="133"/>
        <v>105000</v>
      </c>
      <c r="DF9" s="10">
        <f t="shared" si="134"/>
        <v>4</v>
      </c>
      <c r="DG9" s="8" t="str">
        <f t="shared" si="135"/>
        <v>Y3NS</v>
      </c>
      <c r="DH9" s="9">
        <f t="shared" si="136"/>
        <v>105000</v>
      </c>
      <c r="DI9" s="10">
        <f t="shared" si="137"/>
        <v>4</v>
      </c>
      <c r="DK9" s="8">
        <f t="shared" si="138"/>
        <v>4</v>
      </c>
      <c r="DL9" s="9">
        <f t="shared" si="54"/>
        <v>7</v>
      </c>
      <c r="DM9" s="9">
        <f t="shared" si="55"/>
        <v>4</v>
      </c>
      <c r="DN9" s="9">
        <f t="shared" si="139"/>
        <v>6</v>
      </c>
      <c r="DO9" s="9">
        <f t="shared" si="56"/>
        <v>8</v>
      </c>
      <c r="DP9" s="9">
        <f t="shared" si="57"/>
        <v>11</v>
      </c>
      <c r="DQ9" s="9">
        <f t="shared" si="58"/>
        <v>3</v>
      </c>
      <c r="DR9" s="116">
        <f t="shared" si="59"/>
        <v>4</v>
      </c>
      <c r="DS9" s="9">
        <f t="shared" si="60"/>
        <v>1</v>
      </c>
      <c r="DT9" s="9">
        <f>IFERROR(ROUNDUP(+K9/BR9,0),0)-1</f>
        <v>2</v>
      </c>
      <c r="DU9" s="9">
        <v>4</v>
      </c>
      <c r="DV9" s="10">
        <f t="shared" si="140"/>
        <v>9</v>
      </c>
      <c r="DW9" s="9">
        <f t="shared" si="141"/>
        <v>8</v>
      </c>
      <c r="DX9" s="9">
        <f t="shared" si="61"/>
        <v>10</v>
      </c>
      <c r="DY9" s="9">
        <f t="shared" si="91"/>
        <v>4</v>
      </c>
      <c r="DZ9" s="9">
        <f t="shared" si="62"/>
        <v>4</v>
      </c>
      <c r="EA9" s="9">
        <f t="shared" si="63"/>
        <v>4</v>
      </c>
      <c r="EB9" s="9">
        <f t="shared" si="64"/>
        <v>4</v>
      </c>
      <c r="EC9" s="9">
        <f t="shared" si="65"/>
        <v>1</v>
      </c>
      <c r="ED9" s="9">
        <f t="shared" si="66"/>
        <v>4</v>
      </c>
      <c r="EE9" s="9">
        <f t="shared" si="67"/>
        <v>3</v>
      </c>
      <c r="EF9" s="9">
        <f t="shared" si="68"/>
        <v>2</v>
      </c>
      <c r="EG9" s="9">
        <f t="shared" si="69"/>
        <v>3</v>
      </c>
      <c r="EH9" s="9">
        <f t="shared" si="70"/>
        <v>0</v>
      </c>
      <c r="EJ9" s="8">
        <f t="shared" si="92"/>
        <v>16</v>
      </c>
      <c r="EK9" s="9">
        <f t="shared" si="93"/>
        <v>28</v>
      </c>
      <c r="EL9" s="9">
        <f t="shared" si="94"/>
        <v>16</v>
      </c>
      <c r="EM9" s="9">
        <f t="shared" si="95"/>
        <v>24</v>
      </c>
      <c r="EN9" s="9">
        <f t="shared" si="96"/>
        <v>32</v>
      </c>
      <c r="EO9" s="9">
        <f t="shared" si="97"/>
        <v>44</v>
      </c>
      <c r="EP9" s="9">
        <f t="shared" si="72"/>
        <v>12</v>
      </c>
      <c r="EQ9" s="9">
        <f t="shared" si="73"/>
        <v>16</v>
      </c>
      <c r="ER9" s="9">
        <f t="shared" si="74"/>
        <v>4</v>
      </c>
      <c r="ES9" s="9">
        <f t="shared" si="75"/>
        <v>8</v>
      </c>
      <c r="ET9" s="9">
        <f t="shared" si="76"/>
        <v>16</v>
      </c>
      <c r="EU9" s="10">
        <f t="shared" si="77"/>
        <v>36</v>
      </c>
      <c r="EV9" s="9">
        <f t="shared" si="78"/>
        <v>32</v>
      </c>
      <c r="EW9" s="9">
        <f t="shared" si="79"/>
        <v>40</v>
      </c>
      <c r="EX9" s="9">
        <f t="shared" si="80"/>
        <v>16</v>
      </c>
      <c r="EY9" s="9">
        <f t="shared" si="81"/>
        <v>16</v>
      </c>
      <c r="EZ9" s="9">
        <f t="shared" si="82"/>
        <v>16</v>
      </c>
      <c r="FA9" s="9">
        <f t="shared" si="83"/>
        <v>16</v>
      </c>
      <c r="FB9" s="9">
        <f t="shared" si="84"/>
        <v>4</v>
      </c>
      <c r="FC9" s="9">
        <f t="shared" si="85"/>
        <v>16</v>
      </c>
      <c r="FD9" s="9">
        <f t="shared" si="98"/>
        <v>12</v>
      </c>
      <c r="FE9" s="9">
        <f t="shared" si="99"/>
        <v>8</v>
      </c>
      <c r="FF9" s="9">
        <f t="shared" si="100"/>
        <v>12</v>
      </c>
      <c r="FG9" s="9">
        <f t="shared" si="101"/>
        <v>0</v>
      </c>
      <c r="FO9" t="str">
        <f t="shared" si="86"/>
        <v>RNC FruitY3NS</v>
      </c>
      <c r="FP9" t="str">
        <f t="shared" si="87"/>
        <v>RNC FruitY3NS</v>
      </c>
      <c r="FQ9" t="str">
        <f t="shared" si="88"/>
        <v>RNC FruitY3NS</v>
      </c>
      <c r="FR9" t="s">
        <v>848</v>
      </c>
    </row>
    <row r="10" spans="1:174" outlineLevel="1" x14ac:dyDescent="0.25">
      <c r="A10" s="28" t="s">
        <v>4</v>
      </c>
      <c r="B10" s="9">
        <f>SUMIF(Prophix!$Q:$Q,'Fds Units'!$A10,Prophix!D:D)</f>
        <v>0</v>
      </c>
      <c r="C10" s="9">
        <f>SUMIF(Prophix!$Q:$Q,'Fds Units'!$A10,Prophix!E:E)</f>
        <v>0</v>
      </c>
      <c r="D10" s="9">
        <f>SUMIF(Prophix!$Q:$Q,'Fds Units'!$A10,Prophix!F:F)</f>
        <v>0</v>
      </c>
      <c r="E10" s="9">
        <f>SUMIF(Prophix!$Q:$Q,'Fds Units'!$A10,Prophix!G:G)</f>
        <v>0</v>
      </c>
      <c r="F10" s="9">
        <f>SUMIF(Prophix!$Q:$Q,'Fds Units'!$A10,Prophix!H:H)</f>
        <v>0</v>
      </c>
      <c r="G10" s="9">
        <f>SUMIF(Prophix!$Q:$Q,'Fds Units'!$A10,Prophix!I:I)</f>
        <v>0</v>
      </c>
      <c r="H10" s="9">
        <f>SUMIF(Prophix!$Q:$Q,'Fds Units'!$A10,Prophix!J:J)</f>
        <v>0</v>
      </c>
      <c r="I10" s="9">
        <f>SUMIF(Prophix!$Q:$Q,'Fds Units'!$A10,Prophix!K:K)</f>
        <v>250818</v>
      </c>
      <c r="J10" s="9">
        <f>SUMIF(Prophix!$Q:$Q,'Fds Units'!$A10,Prophix!L:L)</f>
        <v>0</v>
      </c>
      <c r="K10" s="9">
        <f>SUMIF(Prophix!$Q:$Q,'Fds Units'!$A10,Prophix!M:M)</f>
        <v>0</v>
      </c>
      <c r="L10" s="92"/>
      <c r="M10" s="133"/>
      <c r="N10" s="92">
        <f>SUMIF(Schedule!$R:$R,$FP10,Schedule!P:P)</f>
        <v>0</v>
      </c>
      <c r="O10" s="92">
        <f t="shared" ref="O10:O16" si="142">+N10-M10</f>
        <v>0</v>
      </c>
      <c r="P10" s="142"/>
      <c r="Q10" s="133"/>
      <c r="R10" s="92">
        <f>SUMIF(Schedule!$R:$R,$FQ10,Schedule!Q:Q)</f>
        <v>0</v>
      </c>
      <c r="S10" s="92"/>
      <c r="T10" s="186">
        <f t="shared" ref="T10:T16" si="143">+R10-Q10</f>
        <v>0</v>
      </c>
      <c r="U10" s="9"/>
      <c r="V10" s="9"/>
      <c r="W10" s="9">
        <v>0</v>
      </c>
      <c r="X10" s="9">
        <f>+W10-U10</f>
        <v>0</v>
      </c>
      <c r="Y10" s="241">
        <v>0</v>
      </c>
      <c r="Z10" s="165"/>
      <c r="AA10" s="165"/>
      <c r="AB10" s="242">
        <f>AA10-Z10</f>
        <v>0</v>
      </c>
      <c r="AC10" s="241">
        <v>0</v>
      </c>
      <c r="AD10" s="165">
        <v>0</v>
      </c>
      <c r="AE10" s="242">
        <v>0</v>
      </c>
      <c r="AF10" s="9"/>
      <c r="AG10" s="9"/>
      <c r="AH10" s="9"/>
      <c r="AI10" s="9">
        <v>240000</v>
      </c>
      <c r="AJ10" s="9"/>
      <c r="AK10" s="9"/>
      <c r="AL10" s="9"/>
      <c r="AM10" s="9"/>
      <c r="AN10" s="9"/>
      <c r="AO10" s="59"/>
      <c r="AP10" s="9"/>
      <c r="AQ10" s="9"/>
      <c r="AR10" s="10"/>
      <c r="AS10" s="8"/>
      <c r="AT10" s="9"/>
      <c r="AU10" s="10"/>
      <c r="AV10" s="8"/>
      <c r="AW10" s="9"/>
      <c r="AX10" s="10"/>
      <c r="AY10" s="8"/>
      <c r="AZ10" s="9"/>
      <c r="BA10" s="10"/>
      <c r="BB10" s="8"/>
      <c r="BC10" s="9"/>
      <c r="BD10" s="10"/>
      <c r="BE10" s="8"/>
      <c r="BF10" s="9"/>
      <c r="BG10" s="10"/>
      <c r="BH10" s="8" t="s">
        <v>620</v>
      </c>
      <c r="BI10" s="9">
        <v>105000</v>
      </c>
      <c r="BJ10" s="10">
        <v>4</v>
      </c>
      <c r="BK10" s="8" t="s">
        <v>620</v>
      </c>
      <c r="BL10" s="9">
        <f>+I10/3</f>
        <v>83606</v>
      </c>
      <c r="BM10" s="10">
        <v>4</v>
      </c>
      <c r="BN10" s="8" t="str">
        <f t="shared" ref="BN10" si="144">+BK10</f>
        <v>Y3NS</v>
      </c>
      <c r="BO10" s="9">
        <f>+BL10</f>
        <v>83606</v>
      </c>
      <c r="BP10" s="10">
        <f t="shared" ref="BP10" si="145">+BM10</f>
        <v>4</v>
      </c>
      <c r="BQ10" s="8" t="str">
        <f t="shared" ref="BQ10" si="146">+BN10</f>
        <v>Y3NS</v>
      </c>
      <c r="BR10" s="9">
        <f>+BO10</f>
        <v>83606</v>
      </c>
      <c r="BS10" s="10">
        <f t="shared" ref="BS10" si="147">+BP10</f>
        <v>4</v>
      </c>
      <c r="BT10" s="8" t="str">
        <f t="shared" ref="BT10" si="148">+BQ10</f>
        <v>Y3NS</v>
      </c>
      <c r="BU10" s="9">
        <f>+BR10</f>
        <v>83606</v>
      </c>
      <c r="BV10" s="10">
        <f t="shared" ref="BV10" si="149">+BS10</f>
        <v>4</v>
      </c>
      <c r="BW10" s="8" t="str">
        <f t="shared" ref="BW10" si="150">+BT10</f>
        <v>Y3NS</v>
      </c>
      <c r="BX10" s="9">
        <f>+BU10</f>
        <v>83606</v>
      </c>
      <c r="BY10" s="10">
        <f t="shared" ref="BY10" si="151">+BV10</f>
        <v>4</v>
      </c>
      <c r="BZ10" s="8" t="str">
        <f t="shared" si="102"/>
        <v>Y3NS</v>
      </c>
      <c r="CA10" s="9">
        <v>115000</v>
      </c>
      <c r="CB10" s="10">
        <f t="shared" si="104"/>
        <v>4</v>
      </c>
      <c r="CC10" s="8" t="str">
        <f t="shared" si="105"/>
        <v>Y3NS</v>
      </c>
      <c r="CD10" s="9">
        <f t="shared" si="106"/>
        <v>115000</v>
      </c>
      <c r="CE10" s="10">
        <f t="shared" si="107"/>
        <v>4</v>
      </c>
      <c r="CF10" s="8" t="str">
        <f t="shared" si="108"/>
        <v>Y3NS</v>
      </c>
      <c r="CG10" s="9">
        <f t="shared" si="109"/>
        <v>115000</v>
      </c>
      <c r="CH10" s="10">
        <f t="shared" si="110"/>
        <v>4</v>
      </c>
      <c r="CI10" s="8" t="str">
        <f t="shared" si="111"/>
        <v>Y3NS</v>
      </c>
      <c r="CJ10" s="9">
        <f t="shared" si="112"/>
        <v>115000</v>
      </c>
      <c r="CK10" s="10">
        <f t="shared" si="113"/>
        <v>4</v>
      </c>
      <c r="CL10" s="8" t="str">
        <f t="shared" si="114"/>
        <v>Y3NS</v>
      </c>
      <c r="CM10" s="9">
        <f t="shared" si="115"/>
        <v>115000</v>
      </c>
      <c r="CN10" s="10">
        <f t="shared" si="116"/>
        <v>4</v>
      </c>
      <c r="CO10" s="8" t="str">
        <f t="shared" si="117"/>
        <v>Y3NS</v>
      </c>
      <c r="CP10" s="9">
        <f t="shared" si="118"/>
        <v>115000</v>
      </c>
      <c r="CQ10" s="10">
        <f t="shared" si="119"/>
        <v>4</v>
      </c>
      <c r="CR10" s="8" t="str">
        <f t="shared" si="120"/>
        <v>Y3NS</v>
      </c>
      <c r="CS10" s="9">
        <f t="shared" si="121"/>
        <v>115000</v>
      </c>
      <c r="CT10" s="10">
        <f t="shared" si="122"/>
        <v>4</v>
      </c>
      <c r="CU10" s="8" t="str">
        <f t="shared" si="123"/>
        <v>Y3NS</v>
      </c>
      <c r="CV10" s="9">
        <f t="shared" si="124"/>
        <v>115000</v>
      </c>
      <c r="CW10" s="10">
        <f t="shared" si="125"/>
        <v>4</v>
      </c>
      <c r="CX10" s="8" t="str">
        <f t="shared" si="126"/>
        <v>Y3NS</v>
      </c>
      <c r="CY10" s="9">
        <f t="shared" si="127"/>
        <v>115000</v>
      </c>
      <c r="CZ10" s="10">
        <f t="shared" si="128"/>
        <v>4</v>
      </c>
      <c r="DA10" s="8" t="str">
        <f t="shared" si="129"/>
        <v>Y3NS</v>
      </c>
      <c r="DB10" s="9">
        <f t="shared" si="130"/>
        <v>115000</v>
      </c>
      <c r="DC10" s="10">
        <f t="shared" si="131"/>
        <v>4</v>
      </c>
      <c r="DD10" s="8" t="str">
        <f t="shared" si="132"/>
        <v>Y3NS</v>
      </c>
      <c r="DE10" s="9">
        <f t="shared" si="133"/>
        <v>115000</v>
      </c>
      <c r="DF10" s="10">
        <f t="shared" si="134"/>
        <v>4</v>
      </c>
      <c r="DG10" s="8" t="str">
        <f t="shared" si="135"/>
        <v>Y3NS</v>
      </c>
      <c r="DH10" s="9">
        <f t="shared" si="136"/>
        <v>115000</v>
      </c>
      <c r="DI10" s="10">
        <f t="shared" si="137"/>
        <v>4</v>
      </c>
      <c r="DK10" s="8">
        <f t="shared" si="138"/>
        <v>0</v>
      </c>
      <c r="DL10" s="9">
        <f t="shared" si="54"/>
        <v>0</v>
      </c>
      <c r="DM10" s="9">
        <f t="shared" si="55"/>
        <v>0</v>
      </c>
      <c r="DN10" s="9">
        <f t="shared" si="139"/>
        <v>0</v>
      </c>
      <c r="DO10" s="9">
        <f t="shared" si="56"/>
        <v>0</v>
      </c>
      <c r="DP10" s="9">
        <f t="shared" si="57"/>
        <v>0</v>
      </c>
      <c r="DQ10" s="9">
        <f t="shared" si="58"/>
        <v>0</v>
      </c>
      <c r="DR10" s="116">
        <f t="shared" si="59"/>
        <v>3</v>
      </c>
      <c r="DS10" s="9">
        <f t="shared" si="60"/>
        <v>0</v>
      </c>
      <c r="DT10" s="9">
        <f t="shared" ref="DT10:DT16" si="152">IFERROR(ROUNDUP(+K10/BR10,0),0)</f>
        <v>0</v>
      </c>
      <c r="DU10" s="9">
        <f t="shared" ref="DU10:DU16" si="153">IFERROR(ROUNDUP(+N10/BU10,0),0)</f>
        <v>0</v>
      </c>
      <c r="DV10" s="10">
        <f t="shared" si="140"/>
        <v>0</v>
      </c>
      <c r="DW10" s="9">
        <f t="shared" si="141"/>
        <v>0</v>
      </c>
      <c r="DX10" s="9">
        <f t="shared" si="61"/>
        <v>0</v>
      </c>
      <c r="DY10" s="9">
        <f t="shared" si="91"/>
        <v>0</v>
      </c>
      <c r="DZ10" s="9">
        <f t="shared" si="62"/>
        <v>0</v>
      </c>
      <c r="EA10" s="9">
        <f t="shared" si="63"/>
        <v>0</v>
      </c>
      <c r="EB10" s="9">
        <f t="shared" si="64"/>
        <v>0</v>
      </c>
      <c r="EC10" s="9">
        <f t="shared" si="65"/>
        <v>3</v>
      </c>
      <c r="ED10" s="9">
        <f t="shared" si="66"/>
        <v>0</v>
      </c>
      <c r="EE10" s="9">
        <f t="shared" si="67"/>
        <v>0</v>
      </c>
      <c r="EF10" s="9">
        <f t="shared" si="68"/>
        <v>0</v>
      </c>
      <c r="EG10" s="9">
        <f t="shared" si="69"/>
        <v>0</v>
      </c>
      <c r="EH10" s="9">
        <f t="shared" si="70"/>
        <v>0</v>
      </c>
      <c r="EJ10" s="8">
        <f t="shared" si="92"/>
        <v>0</v>
      </c>
      <c r="EK10" s="9">
        <f t="shared" si="93"/>
        <v>0</v>
      </c>
      <c r="EL10" s="9">
        <f t="shared" si="94"/>
        <v>0</v>
      </c>
      <c r="EM10" s="9">
        <f t="shared" si="95"/>
        <v>0</v>
      </c>
      <c r="EN10" s="9">
        <f t="shared" si="96"/>
        <v>0</v>
      </c>
      <c r="EO10" s="9">
        <f t="shared" si="97"/>
        <v>0</v>
      </c>
      <c r="EP10" s="9">
        <f t="shared" si="72"/>
        <v>0</v>
      </c>
      <c r="EQ10" s="9">
        <f t="shared" si="73"/>
        <v>12</v>
      </c>
      <c r="ER10" s="9">
        <f t="shared" si="74"/>
        <v>0</v>
      </c>
      <c r="ES10" s="9">
        <f t="shared" si="75"/>
        <v>0</v>
      </c>
      <c r="ET10" s="9">
        <f t="shared" si="76"/>
        <v>0</v>
      </c>
      <c r="EU10" s="10">
        <f t="shared" si="77"/>
        <v>0</v>
      </c>
      <c r="EV10" s="9">
        <f t="shared" si="78"/>
        <v>0</v>
      </c>
      <c r="EW10" s="9">
        <f t="shared" si="79"/>
        <v>0</v>
      </c>
      <c r="EX10" s="9">
        <f t="shared" si="80"/>
        <v>0</v>
      </c>
      <c r="EY10" s="9">
        <f t="shared" si="81"/>
        <v>0</v>
      </c>
      <c r="EZ10" s="9">
        <f t="shared" si="82"/>
        <v>0</v>
      </c>
      <c r="FA10" s="9">
        <f t="shared" si="83"/>
        <v>0</v>
      </c>
      <c r="FB10" s="9">
        <f t="shared" si="84"/>
        <v>12</v>
      </c>
      <c r="FC10" s="9">
        <f t="shared" si="85"/>
        <v>0</v>
      </c>
      <c r="FD10" s="9">
        <f t="shared" si="98"/>
        <v>0</v>
      </c>
      <c r="FE10" s="9">
        <f t="shared" si="99"/>
        <v>0</v>
      </c>
      <c r="FF10" s="9">
        <f t="shared" si="100"/>
        <v>0</v>
      </c>
      <c r="FG10" s="9">
        <f t="shared" si="101"/>
        <v>0</v>
      </c>
      <c r="FO10" t="str">
        <f t="shared" si="86"/>
        <v>Emergency drinking waterY3NS</v>
      </c>
      <c r="FP10" t="str">
        <f t="shared" si="87"/>
        <v>Emergency drinking waterY3NS</v>
      </c>
      <c r="FQ10" t="str">
        <f t="shared" si="88"/>
        <v>Emergency drinking waterY3NS</v>
      </c>
      <c r="FR10" t="s">
        <v>928</v>
      </c>
    </row>
    <row r="11" spans="1:174" s="108" customFormat="1" outlineLevel="1" x14ac:dyDescent="0.25">
      <c r="A11" s="28" t="s">
        <v>5</v>
      </c>
      <c r="B11" s="66">
        <f>SUMIF(Prophix!$Q:$Q,'Fds Units'!$A11,Prophix!D:D)</f>
        <v>16536</v>
      </c>
      <c r="C11" s="66">
        <f>SUMIF(Prophix!$Q:$Q,'Fds Units'!$A11,Prophix!E:E)</f>
        <v>47824</v>
      </c>
      <c r="D11" s="66">
        <f>SUMIF(Prophix!$Q:$Q,'Fds Units'!$A11,Prophix!F:F)</f>
        <v>0</v>
      </c>
      <c r="E11" s="66">
        <f>SUMIF(Prophix!$Q:$Q,'Fds Units'!$A11,Prophix!G:G)</f>
        <v>25798</v>
      </c>
      <c r="F11" s="66">
        <f>SUMIF(Prophix!$Q:$Q,'Fds Units'!$A11,Prophix!H:H)</f>
        <v>46054</v>
      </c>
      <c r="G11" s="66">
        <f>SUMIF(Prophix!$Q:$Q,'Fds Units'!$A11,Prophix!I:I)</f>
        <v>0</v>
      </c>
      <c r="H11" s="66">
        <f>SUMIF(Prophix!$Q:$Q,'Fds Units'!$A11,Prophix!J:J)</f>
        <v>754</v>
      </c>
      <c r="I11" s="66">
        <f>SUMIF(Prophix!$Q:$Q,'Fds Units'!$A11,Prophix!K:K)</f>
        <v>18378</v>
      </c>
      <c r="J11" s="66">
        <f>SUMIF(Prophix!$Q:$Q,'Fds Units'!$A11,Prophix!L:L)</f>
        <v>38231</v>
      </c>
      <c r="K11" s="66">
        <f>SUMIF(Prophix!$Q:$Q,'Fds Units'!$A11,Prophix!M:M)</f>
        <v>0</v>
      </c>
      <c r="L11" s="92">
        <v>24248</v>
      </c>
      <c r="M11" s="135">
        <f>+N11</f>
        <v>40500</v>
      </c>
      <c r="N11" s="92">
        <v>40500</v>
      </c>
      <c r="O11" s="92">
        <f>L11-N11</f>
        <v>-16252</v>
      </c>
      <c r="P11" s="144"/>
      <c r="Q11" s="135">
        <f>+R11</f>
        <v>22800</v>
      </c>
      <c r="R11" s="92">
        <v>22800</v>
      </c>
      <c r="S11" s="92">
        <v>19809</v>
      </c>
      <c r="T11" s="186">
        <f>S11-R11</f>
        <v>-2991</v>
      </c>
      <c r="U11" s="67"/>
      <c r="V11" s="67">
        <v>22200</v>
      </c>
      <c r="W11" s="67"/>
      <c r="X11" s="9">
        <v>20793</v>
      </c>
      <c r="Y11" s="8">
        <v>54600</v>
      </c>
      <c r="Z11" s="9">
        <v>52300</v>
      </c>
      <c r="AA11" s="9">
        <v>50251</v>
      </c>
      <c r="AB11" s="242">
        <f>AA11-Z11</f>
        <v>-2049</v>
      </c>
      <c r="AC11" s="241">
        <v>2375</v>
      </c>
      <c r="AD11" s="165">
        <v>3180</v>
      </c>
      <c r="AE11" s="242">
        <v>3180</v>
      </c>
      <c r="AF11" s="9">
        <v>25000</v>
      </c>
      <c r="AG11" s="66"/>
      <c r="AH11" s="66"/>
      <c r="AI11" s="66">
        <v>18333</v>
      </c>
      <c r="AJ11" s="66">
        <v>18333</v>
      </c>
      <c r="AK11" s="66">
        <v>18333</v>
      </c>
      <c r="AL11" s="66">
        <v>18333</v>
      </c>
      <c r="AM11" s="66">
        <v>18333</v>
      </c>
      <c r="AN11" s="66">
        <v>18333</v>
      </c>
      <c r="AO11" s="59"/>
      <c r="AP11" s="66" t="s">
        <v>73</v>
      </c>
      <c r="AQ11" s="66">
        <v>3000</v>
      </c>
      <c r="AR11" s="110">
        <v>6</v>
      </c>
      <c r="AS11" s="109" t="s">
        <v>73</v>
      </c>
      <c r="AT11" s="66">
        <v>4500</v>
      </c>
      <c r="AU11" s="110">
        <v>6</v>
      </c>
      <c r="AV11" s="109" t="s">
        <v>73</v>
      </c>
      <c r="AW11" s="66">
        <v>5000</v>
      </c>
      <c r="AX11" s="110">
        <v>6</v>
      </c>
      <c r="AY11" s="109" t="s">
        <v>73</v>
      </c>
      <c r="AZ11" s="66">
        <v>5000</v>
      </c>
      <c r="BA11" s="110">
        <v>6</v>
      </c>
      <c r="BB11" s="109" t="s">
        <v>73</v>
      </c>
      <c r="BC11" s="66">
        <v>4100</v>
      </c>
      <c r="BD11" s="110">
        <v>6</v>
      </c>
      <c r="BE11" s="109" t="s">
        <v>73</v>
      </c>
      <c r="BF11" s="66">
        <v>5000</v>
      </c>
      <c r="BG11" s="110">
        <v>6</v>
      </c>
      <c r="BH11" s="109" t="s">
        <v>73</v>
      </c>
      <c r="BI11" s="66">
        <v>5000</v>
      </c>
      <c r="BJ11" s="110">
        <v>6</v>
      </c>
      <c r="BK11" s="109" t="s">
        <v>73</v>
      </c>
      <c r="BL11" s="66">
        <f>+I11/6</f>
        <v>3063</v>
      </c>
      <c r="BM11" s="110">
        <v>6</v>
      </c>
      <c r="BN11" s="109" t="s">
        <v>73</v>
      </c>
      <c r="BO11" s="66">
        <v>5000</v>
      </c>
      <c r="BP11" s="110">
        <v>6</v>
      </c>
      <c r="BQ11" s="109" t="s">
        <v>73</v>
      </c>
      <c r="BR11" s="66">
        <v>5000</v>
      </c>
      <c r="BS11" s="110">
        <v>6</v>
      </c>
      <c r="BT11" s="109" t="s">
        <v>73</v>
      </c>
      <c r="BU11" s="66">
        <v>5300</v>
      </c>
      <c r="BV11" s="110">
        <v>6</v>
      </c>
      <c r="BW11" s="109" t="s">
        <v>73</v>
      </c>
      <c r="BX11" s="66">
        <v>5300</v>
      </c>
      <c r="BY11" s="110">
        <v>6</v>
      </c>
      <c r="BZ11" s="8" t="str">
        <f t="shared" si="102"/>
        <v>PT3</v>
      </c>
      <c r="CA11" s="9">
        <f t="shared" si="103"/>
        <v>5300</v>
      </c>
      <c r="CB11" s="10">
        <f t="shared" si="104"/>
        <v>6</v>
      </c>
      <c r="CC11" s="8" t="str">
        <f t="shared" si="105"/>
        <v>PT3</v>
      </c>
      <c r="CD11" s="9">
        <f t="shared" si="106"/>
        <v>5300</v>
      </c>
      <c r="CE11" s="10">
        <f t="shared" si="107"/>
        <v>6</v>
      </c>
      <c r="CF11" s="8" t="str">
        <f t="shared" si="108"/>
        <v>PT3</v>
      </c>
      <c r="CG11" s="9">
        <f t="shared" si="109"/>
        <v>5300</v>
      </c>
      <c r="CH11" s="10">
        <f t="shared" si="110"/>
        <v>6</v>
      </c>
      <c r="CI11" s="8" t="str">
        <f t="shared" si="111"/>
        <v>PT3</v>
      </c>
      <c r="CJ11" s="9">
        <f t="shared" si="112"/>
        <v>5300</v>
      </c>
      <c r="CK11" s="10">
        <f t="shared" si="113"/>
        <v>6</v>
      </c>
      <c r="CL11" s="8" t="str">
        <f t="shared" si="114"/>
        <v>PT3</v>
      </c>
      <c r="CM11" s="9">
        <f t="shared" si="115"/>
        <v>5300</v>
      </c>
      <c r="CN11" s="10">
        <f t="shared" si="116"/>
        <v>6</v>
      </c>
      <c r="CO11" s="8" t="str">
        <f t="shared" si="117"/>
        <v>PT3</v>
      </c>
      <c r="CP11" s="9">
        <f t="shared" si="118"/>
        <v>5300</v>
      </c>
      <c r="CQ11" s="10">
        <f t="shared" si="119"/>
        <v>6</v>
      </c>
      <c r="CR11" s="8" t="str">
        <f t="shared" si="120"/>
        <v>PT3</v>
      </c>
      <c r="CS11" s="9">
        <f t="shared" si="121"/>
        <v>5300</v>
      </c>
      <c r="CT11" s="10">
        <f t="shared" si="122"/>
        <v>6</v>
      </c>
      <c r="CU11" s="8" t="str">
        <f t="shared" si="123"/>
        <v>PT3</v>
      </c>
      <c r="CV11" s="9">
        <f t="shared" si="124"/>
        <v>5300</v>
      </c>
      <c r="CW11" s="10">
        <f t="shared" si="125"/>
        <v>6</v>
      </c>
      <c r="CX11" s="8" t="str">
        <f t="shared" si="126"/>
        <v>PT3</v>
      </c>
      <c r="CY11" s="9">
        <f t="shared" si="127"/>
        <v>5300</v>
      </c>
      <c r="CZ11" s="10">
        <f t="shared" si="128"/>
        <v>6</v>
      </c>
      <c r="DA11" s="8" t="str">
        <f t="shared" si="129"/>
        <v>PT3</v>
      </c>
      <c r="DB11" s="9">
        <f t="shared" si="130"/>
        <v>5300</v>
      </c>
      <c r="DC11" s="10">
        <f t="shared" si="131"/>
        <v>6</v>
      </c>
      <c r="DD11" s="8" t="str">
        <f t="shared" si="132"/>
        <v>PT3</v>
      </c>
      <c r="DE11" s="9">
        <f t="shared" si="133"/>
        <v>5300</v>
      </c>
      <c r="DF11" s="10">
        <f t="shared" si="134"/>
        <v>6</v>
      </c>
      <c r="DG11" s="8" t="str">
        <f t="shared" si="135"/>
        <v>PT3</v>
      </c>
      <c r="DH11" s="9">
        <f t="shared" si="136"/>
        <v>5300</v>
      </c>
      <c r="DI11" s="10">
        <f t="shared" si="137"/>
        <v>6</v>
      </c>
      <c r="DK11" s="8">
        <f t="shared" si="138"/>
        <v>6</v>
      </c>
      <c r="DL11" s="9">
        <f t="shared" si="54"/>
        <v>11</v>
      </c>
      <c r="DM11" s="9">
        <f t="shared" si="55"/>
        <v>0</v>
      </c>
      <c r="DN11" s="9">
        <f t="shared" si="139"/>
        <v>6</v>
      </c>
      <c r="DO11" s="9">
        <f t="shared" si="56"/>
        <v>12</v>
      </c>
      <c r="DP11" s="9">
        <f t="shared" si="57"/>
        <v>0</v>
      </c>
      <c r="DQ11" s="9">
        <f t="shared" si="58"/>
        <v>1</v>
      </c>
      <c r="DR11" s="116">
        <f t="shared" si="59"/>
        <v>6</v>
      </c>
      <c r="DS11" s="9">
        <f t="shared" si="60"/>
        <v>8</v>
      </c>
      <c r="DT11" s="9">
        <f t="shared" si="152"/>
        <v>0</v>
      </c>
      <c r="DU11" s="9">
        <f t="shared" si="153"/>
        <v>8</v>
      </c>
      <c r="DV11" s="10">
        <f t="shared" si="140"/>
        <v>5</v>
      </c>
      <c r="DW11" s="9">
        <f t="shared" si="141"/>
        <v>5</v>
      </c>
      <c r="DX11" s="9">
        <f t="shared" si="61"/>
        <v>11</v>
      </c>
      <c r="DY11" s="9">
        <f t="shared" si="91"/>
        <v>1</v>
      </c>
      <c r="DZ11" s="9">
        <f t="shared" si="62"/>
        <v>5</v>
      </c>
      <c r="EA11" s="9">
        <f t="shared" si="63"/>
        <v>0</v>
      </c>
      <c r="EB11" s="9">
        <f t="shared" si="64"/>
        <v>0</v>
      </c>
      <c r="EC11" s="9">
        <f t="shared" si="65"/>
        <v>4</v>
      </c>
      <c r="ED11" s="9">
        <f t="shared" si="66"/>
        <v>4</v>
      </c>
      <c r="EE11" s="9">
        <f t="shared" si="67"/>
        <v>4</v>
      </c>
      <c r="EF11" s="9">
        <f t="shared" si="68"/>
        <v>4</v>
      </c>
      <c r="EG11" s="9">
        <f t="shared" si="69"/>
        <v>4</v>
      </c>
      <c r="EH11" s="9">
        <f t="shared" si="70"/>
        <v>4</v>
      </c>
      <c r="EI11"/>
      <c r="EJ11" s="8">
        <f t="shared" si="92"/>
        <v>36</v>
      </c>
      <c r="EK11" s="9">
        <f t="shared" si="93"/>
        <v>66</v>
      </c>
      <c r="EL11" s="9">
        <f t="shared" si="94"/>
        <v>0</v>
      </c>
      <c r="EM11" s="9">
        <f t="shared" si="95"/>
        <v>36</v>
      </c>
      <c r="EN11" s="9">
        <f t="shared" si="96"/>
        <v>72</v>
      </c>
      <c r="EO11" s="9">
        <f t="shared" si="97"/>
        <v>0</v>
      </c>
      <c r="EP11" s="9">
        <f t="shared" si="72"/>
        <v>6</v>
      </c>
      <c r="EQ11" s="9">
        <f t="shared" si="73"/>
        <v>36</v>
      </c>
      <c r="ER11" s="9">
        <f t="shared" si="74"/>
        <v>48</v>
      </c>
      <c r="ES11" s="9">
        <f t="shared" si="75"/>
        <v>0</v>
      </c>
      <c r="ET11" s="9">
        <f t="shared" si="76"/>
        <v>48</v>
      </c>
      <c r="EU11" s="10">
        <f t="shared" si="77"/>
        <v>30</v>
      </c>
      <c r="EV11" s="9">
        <f t="shared" si="78"/>
        <v>30</v>
      </c>
      <c r="EW11" s="9">
        <f t="shared" si="79"/>
        <v>66</v>
      </c>
      <c r="EX11" s="9">
        <f t="shared" si="80"/>
        <v>6</v>
      </c>
      <c r="EY11" s="9">
        <f t="shared" si="81"/>
        <v>30</v>
      </c>
      <c r="EZ11" s="9">
        <f t="shared" si="82"/>
        <v>0</v>
      </c>
      <c r="FA11" s="9">
        <f t="shared" si="83"/>
        <v>0</v>
      </c>
      <c r="FB11" s="9">
        <f t="shared" si="84"/>
        <v>24</v>
      </c>
      <c r="FC11" s="9">
        <f t="shared" si="85"/>
        <v>24</v>
      </c>
      <c r="FD11" s="9">
        <f t="shared" si="98"/>
        <v>24</v>
      </c>
      <c r="FE11" s="9">
        <f t="shared" si="99"/>
        <v>24</v>
      </c>
      <c r="FF11" s="9">
        <f t="shared" si="100"/>
        <v>24</v>
      </c>
      <c r="FG11" s="9">
        <f t="shared" si="101"/>
        <v>24</v>
      </c>
      <c r="FO11" t="str">
        <f t="shared" si="86"/>
        <v>Poly TraysPT3</v>
      </c>
      <c r="FP11" t="str">
        <f t="shared" si="87"/>
        <v>Poly TraysPT3</v>
      </c>
      <c r="FQ11" t="str">
        <f t="shared" si="88"/>
        <v>Poly TraysPT3</v>
      </c>
      <c r="FR11" s="108" t="s">
        <v>849</v>
      </c>
    </row>
    <row r="12" spans="1:174" outlineLevel="1" x14ac:dyDescent="0.25">
      <c r="A12" s="28" t="s">
        <v>6</v>
      </c>
      <c r="B12" s="9">
        <f>SUMIF(Prophix!$Q:$Q,'Fds Units'!$A12,Prophix!D:D)</f>
        <v>0</v>
      </c>
      <c r="C12" s="9">
        <f>SUMIF(Prophix!$Q:$Q,'Fds Units'!$A12,Prophix!E:E)</f>
        <v>0</v>
      </c>
      <c r="D12" s="9">
        <f>SUMIF(Prophix!$Q:$Q,'Fds Units'!$A12,Prophix!F:F)</f>
        <v>0</v>
      </c>
      <c r="E12" s="9">
        <f>SUMIF(Prophix!$Q:$Q,'Fds Units'!$A12,Prophix!G:G)</f>
        <v>96336</v>
      </c>
      <c r="F12" s="9">
        <f>SUMIF(Prophix!$Q:$Q,'Fds Units'!$A12,Prophix!H:H)</f>
        <v>150984</v>
      </c>
      <c r="G12" s="9">
        <f>SUMIF(Prophix!$Q:$Q,'Fds Units'!$A12,Prophix!I:I)</f>
        <v>0</v>
      </c>
      <c r="H12" s="9">
        <f>SUMIF(Prophix!$Q:$Q,'Fds Units'!$A12,Prophix!J:J)</f>
        <v>0</v>
      </c>
      <c r="I12" s="9">
        <f>SUMIF(Prophix!$Q:$Q,'Fds Units'!$A12,Prophix!K:K)</f>
        <v>112602</v>
      </c>
      <c r="J12" s="9">
        <f>SUMIF(Prophix!$Q:$Q,'Fds Units'!$A12,Prophix!L:L)</f>
        <v>978150</v>
      </c>
      <c r="K12" s="9">
        <f>SUMIF(Prophix!$Q:$Q,'Fds Units'!$A12,Prophix!M:M)</f>
        <v>637560</v>
      </c>
      <c r="L12" s="92"/>
      <c r="M12" s="133"/>
      <c r="N12" s="92">
        <f>SUMIF(Schedule!$R:$R,$FP12,Schedule!P:P)</f>
        <v>0</v>
      </c>
      <c r="O12" s="92">
        <f t="shared" si="142"/>
        <v>0</v>
      </c>
      <c r="P12" s="142"/>
      <c r="Q12" s="133"/>
      <c r="R12" s="92">
        <f>SUMIF(Schedule!$R:$R,$FQ12,Schedule!Q:Q)</f>
        <v>0</v>
      </c>
      <c r="S12" s="92"/>
      <c r="T12" s="186">
        <f t="shared" si="143"/>
        <v>0</v>
      </c>
      <c r="U12" s="9"/>
      <c r="V12" s="9"/>
      <c r="W12" s="9"/>
      <c r="X12" s="9">
        <f>+W12-U12</f>
        <v>0</v>
      </c>
      <c r="Y12" s="241">
        <v>0</v>
      </c>
      <c r="Z12" s="165"/>
      <c r="AA12" s="165"/>
      <c r="AB12" s="242">
        <f>Z12-AA12</f>
        <v>0</v>
      </c>
      <c r="AC12" s="241">
        <v>0</v>
      </c>
      <c r="AD12" s="165">
        <v>0</v>
      </c>
      <c r="AE12" s="242">
        <v>0</v>
      </c>
      <c r="AF12" s="9"/>
      <c r="AG12" s="9"/>
      <c r="AH12" s="9"/>
      <c r="AI12" s="9"/>
      <c r="AJ12" s="9"/>
      <c r="AK12" s="9"/>
      <c r="AL12" s="9"/>
      <c r="AM12" s="9"/>
      <c r="AN12" s="9"/>
      <c r="AO12" s="59"/>
      <c r="AP12" s="9" t="s">
        <v>77</v>
      </c>
      <c r="AQ12" s="9">
        <v>175000</v>
      </c>
      <c r="AR12" s="10">
        <v>7</v>
      </c>
      <c r="AS12" s="8" t="s">
        <v>77</v>
      </c>
      <c r="AT12" s="9">
        <v>175000</v>
      </c>
      <c r="AU12" s="10">
        <v>7</v>
      </c>
      <c r="AV12" s="8" t="s">
        <v>77</v>
      </c>
      <c r="AW12" s="9">
        <v>175000</v>
      </c>
      <c r="AX12" s="10">
        <v>7</v>
      </c>
      <c r="AY12" s="8" t="s">
        <v>78</v>
      </c>
      <c r="AZ12" s="9">
        <v>100000</v>
      </c>
      <c r="BA12" s="10">
        <v>5</v>
      </c>
      <c r="BB12" s="8" t="s">
        <v>77</v>
      </c>
      <c r="BC12" s="9">
        <v>175000</v>
      </c>
      <c r="BD12" s="10">
        <v>7</v>
      </c>
      <c r="BE12" s="8" t="s">
        <v>77</v>
      </c>
      <c r="BF12" s="9">
        <v>175000</v>
      </c>
      <c r="BG12" s="10">
        <v>7</v>
      </c>
      <c r="BH12" s="8" t="s">
        <v>77</v>
      </c>
      <c r="BI12" s="9">
        <v>175000</v>
      </c>
      <c r="BJ12" s="10">
        <v>7</v>
      </c>
      <c r="BK12" s="8" t="s">
        <v>77</v>
      </c>
      <c r="BL12" s="9">
        <f>+I12/1</f>
        <v>112602</v>
      </c>
      <c r="BM12" s="10">
        <v>7</v>
      </c>
      <c r="BN12" s="8" t="str">
        <f t="shared" ref="BN12" si="154">+BK12</f>
        <v>W2</v>
      </c>
      <c r="BO12" s="9">
        <f>+J12/7</f>
        <v>139735.71428571429</v>
      </c>
      <c r="BP12" s="10">
        <f t="shared" ref="BP12" si="155">+BM12</f>
        <v>7</v>
      </c>
      <c r="BQ12" s="8" t="str">
        <f t="shared" ref="BQ12" si="156">+BN12</f>
        <v>W2</v>
      </c>
      <c r="BR12" s="9">
        <v>175000</v>
      </c>
      <c r="BS12" s="10">
        <f t="shared" ref="BS12" si="157">+BP12</f>
        <v>7</v>
      </c>
      <c r="BT12" s="8" t="str">
        <f t="shared" ref="BT12" si="158">+BQ12</f>
        <v>W2</v>
      </c>
      <c r="BU12" s="9">
        <f>+BR12</f>
        <v>175000</v>
      </c>
      <c r="BV12" s="10">
        <f t="shared" ref="BV12" si="159">+BS12</f>
        <v>7</v>
      </c>
      <c r="BW12" s="8" t="str">
        <f t="shared" ref="BW12" si="160">+BT12</f>
        <v>W2</v>
      </c>
      <c r="BX12" s="9">
        <f>+BU12</f>
        <v>175000</v>
      </c>
      <c r="BY12" s="10">
        <f t="shared" ref="BY12" si="161">+BV12</f>
        <v>7</v>
      </c>
      <c r="BZ12" s="8" t="str">
        <f t="shared" si="102"/>
        <v>W2</v>
      </c>
      <c r="CA12" s="9">
        <f t="shared" si="103"/>
        <v>175000</v>
      </c>
      <c r="CB12" s="10">
        <f t="shared" si="104"/>
        <v>7</v>
      </c>
      <c r="CC12" s="8" t="str">
        <f t="shared" si="105"/>
        <v>W2</v>
      </c>
      <c r="CD12" s="9">
        <f t="shared" si="106"/>
        <v>175000</v>
      </c>
      <c r="CE12" s="10">
        <f t="shared" si="107"/>
        <v>7</v>
      </c>
      <c r="CF12" s="8" t="str">
        <f t="shared" si="108"/>
        <v>W2</v>
      </c>
      <c r="CG12" s="9">
        <f t="shared" si="109"/>
        <v>175000</v>
      </c>
      <c r="CH12" s="10">
        <f t="shared" si="110"/>
        <v>7</v>
      </c>
      <c r="CI12" s="8" t="str">
        <f t="shared" si="111"/>
        <v>W2</v>
      </c>
      <c r="CJ12" s="9">
        <f t="shared" si="112"/>
        <v>175000</v>
      </c>
      <c r="CK12" s="10">
        <f t="shared" si="113"/>
        <v>7</v>
      </c>
      <c r="CL12" s="8" t="str">
        <f t="shared" si="114"/>
        <v>W2</v>
      </c>
      <c r="CM12" s="9">
        <f t="shared" si="115"/>
        <v>175000</v>
      </c>
      <c r="CN12" s="10">
        <f t="shared" si="116"/>
        <v>7</v>
      </c>
      <c r="CO12" s="8" t="str">
        <f t="shared" si="117"/>
        <v>W2</v>
      </c>
      <c r="CP12" s="9">
        <f>CM12</f>
        <v>175000</v>
      </c>
      <c r="CQ12" s="10">
        <f t="shared" si="119"/>
        <v>7</v>
      </c>
      <c r="CR12" s="8" t="str">
        <f t="shared" si="120"/>
        <v>W2</v>
      </c>
      <c r="CS12" s="9">
        <f t="shared" si="121"/>
        <v>175000</v>
      </c>
      <c r="CT12" s="10">
        <f t="shared" si="122"/>
        <v>7</v>
      </c>
      <c r="CU12" s="8" t="str">
        <f t="shared" si="123"/>
        <v>W2</v>
      </c>
      <c r="CV12" s="9">
        <f t="shared" si="124"/>
        <v>175000</v>
      </c>
      <c r="CW12" s="10">
        <f t="shared" si="125"/>
        <v>7</v>
      </c>
      <c r="CX12" s="8" t="str">
        <f t="shared" si="126"/>
        <v>W2</v>
      </c>
      <c r="CY12" s="9">
        <f t="shared" si="127"/>
        <v>175000</v>
      </c>
      <c r="CZ12" s="10">
        <f t="shared" si="128"/>
        <v>7</v>
      </c>
      <c r="DA12" s="8" t="str">
        <f t="shared" si="129"/>
        <v>W2</v>
      </c>
      <c r="DB12" s="9">
        <f t="shared" si="130"/>
        <v>175000</v>
      </c>
      <c r="DC12" s="10">
        <f t="shared" si="131"/>
        <v>7</v>
      </c>
      <c r="DD12" s="8" t="str">
        <f t="shared" si="132"/>
        <v>W2</v>
      </c>
      <c r="DE12" s="9">
        <f t="shared" si="133"/>
        <v>175000</v>
      </c>
      <c r="DF12" s="10">
        <f t="shared" si="134"/>
        <v>7</v>
      </c>
      <c r="DG12" s="8" t="str">
        <f t="shared" si="135"/>
        <v>W2</v>
      </c>
      <c r="DH12" s="9">
        <f t="shared" si="136"/>
        <v>175000</v>
      </c>
      <c r="DI12" s="10">
        <f t="shared" si="137"/>
        <v>7</v>
      </c>
      <c r="DK12" s="8">
        <f t="shared" si="138"/>
        <v>0</v>
      </c>
      <c r="DL12" s="9">
        <f t="shared" si="54"/>
        <v>0</v>
      </c>
      <c r="DM12" s="9">
        <f t="shared" si="55"/>
        <v>0</v>
      </c>
      <c r="DN12" s="9">
        <f t="shared" si="139"/>
        <v>1</v>
      </c>
      <c r="DO12" s="9">
        <f t="shared" si="56"/>
        <v>1</v>
      </c>
      <c r="DP12" s="9">
        <f t="shared" si="57"/>
        <v>0</v>
      </c>
      <c r="DQ12" s="9">
        <f t="shared" si="58"/>
        <v>0</v>
      </c>
      <c r="DR12" s="116">
        <f t="shared" si="59"/>
        <v>1</v>
      </c>
      <c r="DS12" s="9">
        <f t="shared" si="60"/>
        <v>7</v>
      </c>
      <c r="DT12" s="9">
        <f t="shared" si="152"/>
        <v>4</v>
      </c>
      <c r="DU12" s="9">
        <f t="shared" si="153"/>
        <v>0</v>
      </c>
      <c r="DV12" s="10">
        <f t="shared" si="140"/>
        <v>0</v>
      </c>
      <c r="DW12" s="9">
        <f t="shared" si="141"/>
        <v>0</v>
      </c>
      <c r="DX12" s="9">
        <f t="shared" si="61"/>
        <v>0</v>
      </c>
      <c r="DY12" s="9">
        <f t="shared" si="91"/>
        <v>0</v>
      </c>
      <c r="DZ12" s="9">
        <f t="shared" si="62"/>
        <v>0</v>
      </c>
      <c r="EA12" s="9">
        <f t="shared" si="63"/>
        <v>0</v>
      </c>
      <c r="EB12" s="9">
        <f t="shared" si="64"/>
        <v>0</v>
      </c>
      <c r="EC12" s="9">
        <f t="shared" si="65"/>
        <v>0</v>
      </c>
      <c r="ED12" s="9">
        <f t="shared" si="66"/>
        <v>0</v>
      </c>
      <c r="EE12" s="9">
        <f t="shared" si="67"/>
        <v>0</v>
      </c>
      <c r="EF12" s="9">
        <f t="shared" si="68"/>
        <v>0</v>
      </c>
      <c r="EG12" s="9">
        <f t="shared" si="69"/>
        <v>0</v>
      </c>
      <c r="EH12" s="9">
        <f t="shared" si="70"/>
        <v>0</v>
      </c>
      <c r="EJ12" s="8">
        <f t="shared" si="92"/>
        <v>0</v>
      </c>
      <c r="EK12" s="9">
        <f t="shared" si="93"/>
        <v>0</v>
      </c>
      <c r="EL12" s="9">
        <f t="shared" si="94"/>
        <v>0</v>
      </c>
      <c r="EM12" s="9">
        <f t="shared" si="95"/>
        <v>5</v>
      </c>
      <c r="EN12" s="9">
        <f t="shared" si="96"/>
        <v>7</v>
      </c>
      <c r="EO12" s="9">
        <f t="shared" si="97"/>
        <v>0</v>
      </c>
      <c r="EP12" s="9">
        <f t="shared" si="72"/>
        <v>0</v>
      </c>
      <c r="EQ12" s="9">
        <f t="shared" si="73"/>
        <v>7</v>
      </c>
      <c r="ER12" s="9">
        <f t="shared" si="74"/>
        <v>49</v>
      </c>
      <c r="ES12" s="9">
        <f t="shared" si="75"/>
        <v>28</v>
      </c>
      <c r="ET12" s="9">
        <f t="shared" si="76"/>
        <v>0</v>
      </c>
      <c r="EU12" s="10">
        <f t="shared" si="77"/>
        <v>0</v>
      </c>
      <c r="EV12" s="9">
        <f t="shared" si="78"/>
        <v>0</v>
      </c>
      <c r="EW12" s="9">
        <f t="shared" si="79"/>
        <v>0</v>
      </c>
      <c r="EX12" s="9">
        <f t="shared" si="80"/>
        <v>0</v>
      </c>
      <c r="EY12" s="9">
        <f t="shared" si="81"/>
        <v>0</v>
      </c>
      <c r="EZ12" s="9">
        <f t="shared" si="82"/>
        <v>0</v>
      </c>
      <c r="FA12" s="9">
        <f t="shared" si="83"/>
        <v>0</v>
      </c>
      <c r="FB12" s="9">
        <f t="shared" si="84"/>
        <v>0</v>
      </c>
      <c r="FC12" s="9">
        <f t="shared" si="85"/>
        <v>0</v>
      </c>
      <c r="FD12" s="9">
        <f t="shared" si="98"/>
        <v>0</v>
      </c>
      <c r="FE12" s="9">
        <f t="shared" si="99"/>
        <v>0</v>
      </c>
      <c r="FF12" s="9">
        <f t="shared" si="100"/>
        <v>0</v>
      </c>
      <c r="FG12" s="9">
        <f t="shared" si="101"/>
        <v>0</v>
      </c>
      <c r="FO12" t="str">
        <f t="shared" si="86"/>
        <v>SDRW2</v>
      </c>
      <c r="FP12" t="str">
        <f t="shared" si="87"/>
        <v>SDRW2</v>
      </c>
      <c r="FQ12" t="str">
        <f t="shared" si="88"/>
        <v>SDRW2</v>
      </c>
      <c r="FR12" t="s">
        <v>850</v>
      </c>
    </row>
    <row r="13" spans="1:174" outlineLevel="1" x14ac:dyDescent="0.25">
      <c r="A13" s="28" t="s">
        <v>7</v>
      </c>
      <c r="B13" s="9">
        <f>SUMIF(Prophix!$Q:$Q,'Fds Units'!$A13,Prophix!D:D)</f>
        <v>792739</v>
      </c>
      <c r="C13" s="9">
        <f>SUMIF(Prophix!$Q:$Q,'Fds Units'!$A13,Prophix!E:E)</f>
        <v>187176</v>
      </c>
      <c r="D13" s="9">
        <f>SUMIF(Prophix!$Q:$Q,'Fds Units'!$A13,Prophix!F:F)</f>
        <v>0</v>
      </c>
      <c r="E13" s="9">
        <f>SUMIF(Prophix!$Q:$Q,'Fds Units'!$A13,Prophix!G:G)</f>
        <v>99504</v>
      </c>
      <c r="F13" s="9">
        <f>SUMIF(Prophix!$Q:$Q,'Fds Units'!$A13,Prophix!H:H)</f>
        <v>525672</v>
      </c>
      <c r="G13" s="9">
        <f>SUMIF(Prophix!$Q:$Q,'Fds Units'!$A13,Prophix!I:I)</f>
        <v>0</v>
      </c>
      <c r="H13" s="9">
        <f>SUMIF(Prophix!$Q:$Q,'Fds Units'!$A13,Prophix!J:J)</f>
        <v>0</v>
      </c>
      <c r="I13" s="9">
        <f>SUMIF(Prophix!$Q:$Q,'Fds Units'!$A13,Prophix!K:K)</f>
        <v>521814</v>
      </c>
      <c r="J13" s="9">
        <f>SUMIF(Prophix!$Q:$Q,'Fds Units'!$A13,Prophix!L:L)</f>
        <v>391766</v>
      </c>
      <c r="K13" s="9">
        <f>SUMIF(Prophix!$Q:$Q,'Fds Units'!$A13,Prophix!M:M)</f>
        <v>776682</v>
      </c>
      <c r="L13" s="92"/>
      <c r="M13" s="133"/>
      <c r="N13" s="92">
        <f>SUMIF(Schedule!$R:$R,$FP13,Schedule!P:P)</f>
        <v>0</v>
      </c>
      <c r="O13" s="92">
        <f t="shared" si="142"/>
        <v>0</v>
      </c>
      <c r="P13" s="142"/>
      <c r="Q13" s="133"/>
      <c r="R13" s="92">
        <f>SUMIF(Schedule!$R:$R,$FQ13,Schedule!Q:Q)</f>
        <v>0</v>
      </c>
      <c r="S13" s="92"/>
      <c r="T13" s="186">
        <f t="shared" si="143"/>
        <v>0</v>
      </c>
      <c r="U13" s="9"/>
      <c r="V13" s="9"/>
      <c r="W13" s="9"/>
      <c r="X13" s="9">
        <f>+W13-U13</f>
        <v>0</v>
      </c>
      <c r="Y13" s="241">
        <v>0</v>
      </c>
      <c r="Z13" s="165"/>
      <c r="AA13" s="165"/>
      <c r="AB13" s="242">
        <v>0</v>
      </c>
      <c r="AC13" s="241">
        <v>0</v>
      </c>
      <c r="AD13" s="165">
        <v>0</v>
      </c>
      <c r="AE13" s="242">
        <v>0</v>
      </c>
      <c r="AF13" s="9"/>
      <c r="AG13" s="9"/>
      <c r="AH13" s="9"/>
      <c r="AI13" s="9"/>
      <c r="AJ13" s="9"/>
      <c r="AK13" s="9"/>
      <c r="AL13" s="9"/>
      <c r="AM13" s="9"/>
      <c r="AN13" s="9"/>
      <c r="AO13" s="59"/>
      <c r="AP13" s="9" t="s">
        <v>77</v>
      </c>
      <c r="AQ13" s="9">
        <v>184000</v>
      </c>
      <c r="AR13" s="10">
        <v>7</v>
      </c>
      <c r="AS13" s="8" t="s">
        <v>78</v>
      </c>
      <c r="AT13" s="9">
        <v>50000</v>
      </c>
      <c r="AU13" s="10">
        <v>4</v>
      </c>
      <c r="AV13" s="8" t="s">
        <v>77</v>
      </c>
      <c r="AW13" s="9">
        <v>175000</v>
      </c>
      <c r="AX13" s="10">
        <v>7</v>
      </c>
      <c r="AY13" s="8" t="s">
        <v>78</v>
      </c>
      <c r="AZ13" s="9">
        <v>100000</v>
      </c>
      <c r="BA13" s="10">
        <v>5</v>
      </c>
      <c r="BB13" s="8" t="s">
        <v>77</v>
      </c>
      <c r="BC13" s="9">
        <v>175000</v>
      </c>
      <c r="BD13" s="10">
        <v>7</v>
      </c>
      <c r="BE13" s="8" t="s">
        <v>77</v>
      </c>
      <c r="BF13" s="9">
        <v>175000</v>
      </c>
      <c r="BG13" s="10">
        <v>7</v>
      </c>
      <c r="BH13" s="8" t="s">
        <v>77</v>
      </c>
      <c r="BI13" s="9">
        <v>175000</v>
      </c>
      <c r="BJ13" s="10">
        <v>7</v>
      </c>
      <c r="BK13" s="8" t="s">
        <v>77</v>
      </c>
      <c r="BL13" s="9">
        <f>+I13/5</f>
        <v>104362.8</v>
      </c>
      <c r="BM13" s="10">
        <v>7</v>
      </c>
      <c r="BN13" s="8" t="str">
        <f t="shared" ref="BN13" si="162">+BK13</f>
        <v>W2</v>
      </c>
      <c r="BO13" s="9">
        <v>175000</v>
      </c>
      <c r="BP13" s="10">
        <f t="shared" ref="BP13" si="163">+BM13</f>
        <v>7</v>
      </c>
      <c r="BQ13" s="8" t="str">
        <f t="shared" ref="BQ13" si="164">+BN13</f>
        <v>W2</v>
      </c>
      <c r="BR13" s="9">
        <v>150000</v>
      </c>
      <c r="BS13" s="10">
        <f t="shared" ref="BS13" si="165">+BP13</f>
        <v>7</v>
      </c>
      <c r="BT13" s="8" t="str">
        <f t="shared" ref="BT13" si="166">+BQ13</f>
        <v>W2</v>
      </c>
      <c r="BU13" s="9">
        <f>+BR13</f>
        <v>150000</v>
      </c>
      <c r="BV13" s="10">
        <f t="shared" ref="BV13" si="167">+BS13</f>
        <v>7</v>
      </c>
      <c r="BW13" s="8" t="str">
        <f t="shared" ref="BW13" si="168">+BT13</f>
        <v>W2</v>
      </c>
      <c r="BX13" s="9">
        <f>+BU13</f>
        <v>150000</v>
      </c>
      <c r="BY13" s="10">
        <f t="shared" ref="BY13" si="169">+BV13</f>
        <v>7</v>
      </c>
      <c r="BZ13" s="8" t="str">
        <f t="shared" si="102"/>
        <v>W2</v>
      </c>
      <c r="CA13" s="9">
        <v>175000</v>
      </c>
      <c r="CB13" s="10">
        <f t="shared" si="104"/>
        <v>7</v>
      </c>
      <c r="CC13" s="8" t="str">
        <f t="shared" si="105"/>
        <v>W2</v>
      </c>
      <c r="CD13" s="9">
        <f t="shared" si="106"/>
        <v>175000</v>
      </c>
      <c r="CE13" s="10">
        <f t="shared" si="107"/>
        <v>7</v>
      </c>
      <c r="CF13" s="8" t="str">
        <f t="shared" si="108"/>
        <v>W2</v>
      </c>
      <c r="CG13" s="9">
        <f t="shared" si="109"/>
        <v>175000</v>
      </c>
      <c r="CH13" s="10">
        <f t="shared" si="110"/>
        <v>7</v>
      </c>
      <c r="CI13" s="8" t="str">
        <f t="shared" si="111"/>
        <v>W2</v>
      </c>
      <c r="CJ13" s="9">
        <f t="shared" si="112"/>
        <v>175000</v>
      </c>
      <c r="CK13" s="10">
        <f t="shared" si="113"/>
        <v>7</v>
      </c>
      <c r="CL13" s="8" t="str">
        <f t="shared" si="114"/>
        <v>W2</v>
      </c>
      <c r="CM13" s="9">
        <f t="shared" si="115"/>
        <v>175000</v>
      </c>
      <c r="CN13" s="10">
        <f t="shared" si="116"/>
        <v>7</v>
      </c>
      <c r="CO13" s="8" t="str">
        <f t="shared" si="117"/>
        <v>W2</v>
      </c>
      <c r="CP13" s="9">
        <f>CM13</f>
        <v>175000</v>
      </c>
      <c r="CQ13" s="10">
        <f t="shared" si="119"/>
        <v>7</v>
      </c>
      <c r="CR13" s="8" t="str">
        <f t="shared" si="120"/>
        <v>W2</v>
      </c>
      <c r="CS13" s="9">
        <f t="shared" si="121"/>
        <v>175000</v>
      </c>
      <c r="CT13" s="10">
        <f t="shared" si="122"/>
        <v>7</v>
      </c>
      <c r="CU13" s="8" t="str">
        <f t="shared" si="123"/>
        <v>W2</v>
      </c>
      <c r="CV13" s="9">
        <f t="shared" si="124"/>
        <v>175000</v>
      </c>
      <c r="CW13" s="10">
        <f t="shared" si="125"/>
        <v>7</v>
      </c>
      <c r="CX13" s="8" t="str">
        <f t="shared" si="126"/>
        <v>W2</v>
      </c>
      <c r="CY13" s="9">
        <f t="shared" si="127"/>
        <v>175000</v>
      </c>
      <c r="CZ13" s="10">
        <f t="shared" si="128"/>
        <v>7</v>
      </c>
      <c r="DA13" s="8" t="str">
        <f t="shared" si="129"/>
        <v>W2</v>
      </c>
      <c r="DB13" s="9">
        <f t="shared" si="130"/>
        <v>175000</v>
      </c>
      <c r="DC13" s="10">
        <f t="shared" si="131"/>
        <v>7</v>
      </c>
      <c r="DD13" s="8" t="str">
        <f t="shared" si="132"/>
        <v>W2</v>
      </c>
      <c r="DE13" s="9">
        <f t="shared" si="133"/>
        <v>175000</v>
      </c>
      <c r="DF13" s="10">
        <f t="shared" si="134"/>
        <v>7</v>
      </c>
      <c r="DG13" s="8" t="str">
        <f t="shared" si="135"/>
        <v>W2</v>
      </c>
      <c r="DH13" s="9">
        <f t="shared" si="136"/>
        <v>175000</v>
      </c>
      <c r="DI13" s="10">
        <f t="shared" si="137"/>
        <v>7</v>
      </c>
      <c r="DK13" s="8">
        <f t="shared" si="138"/>
        <v>5</v>
      </c>
      <c r="DL13" s="9">
        <f t="shared" si="54"/>
        <v>4</v>
      </c>
      <c r="DM13" s="9">
        <f t="shared" si="55"/>
        <v>0</v>
      </c>
      <c r="DN13" s="9">
        <f t="shared" si="139"/>
        <v>1</v>
      </c>
      <c r="DO13" s="9">
        <f t="shared" si="56"/>
        <v>4</v>
      </c>
      <c r="DP13" s="9">
        <f t="shared" si="57"/>
        <v>0</v>
      </c>
      <c r="DQ13" s="9">
        <f t="shared" si="58"/>
        <v>0</v>
      </c>
      <c r="DR13" s="116">
        <f t="shared" si="59"/>
        <v>5</v>
      </c>
      <c r="DS13" s="9">
        <f t="shared" si="60"/>
        <v>3</v>
      </c>
      <c r="DT13" s="9">
        <f t="shared" si="152"/>
        <v>6</v>
      </c>
      <c r="DU13" s="9">
        <f t="shared" si="153"/>
        <v>0</v>
      </c>
      <c r="DV13" s="10">
        <f t="shared" si="140"/>
        <v>0</v>
      </c>
      <c r="DW13" s="9">
        <f t="shared" si="141"/>
        <v>0</v>
      </c>
      <c r="DX13" s="9">
        <f t="shared" si="61"/>
        <v>0</v>
      </c>
      <c r="DY13" s="9">
        <f t="shared" si="91"/>
        <v>0</v>
      </c>
      <c r="DZ13" s="9">
        <f t="shared" si="62"/>
        <v>0</v>
      </c>
      <c r="EA13" s="9">
        <f t="shared" si="63"/>
        <v>0</v>
      </c>
      <c r="EB13" s="9">
        <f t="shared" si="64"/>
        <v>0</v>
      </c>
      <c r="EC13" s="9">
        <f t="shared" si="65"/>
        <v>0</v>
      </c>
      <c r="ED13" s="9">
        <f t="shared" si="66"/>
        <v>0</v>
      </c>
      <c r="EE13" s="9">
        <f t="shared" si="67"/>
        <v>0</v>
      </c>
      <c r="EF13" s="9">
        <f t="shared" si="68"/>
        <v>0</v>
      </c>
      <c r="EG13" s="9">
        <f t="shared" si="69"/>
        <v>0</v>
      </c>
      <c r="EH13" s="9">
        <f t="shared" si="70"/>
        <v>0</v>
      </c>
      <c r="EJ13" s="8">
        <f t="shared" si="92"/>
        <v>35</v>
      </c>
      <c r="EK13" s="9">
        <f t="shared" si="93"/>
        <v>16</v>
      </c>
      <c r="EL13" s="9">
        <f t="shared" si="94"/>
        <v>0</v>
      </c>
      <c r="EM13" s="9">
        <f t="shared" si="95"/>
        <v>5</v>
      </c>
      <c r="EN13" s="9">
        <f t="shared" si="96"/>
        <v>28</v>
      </c>
      <c r="EO13" s="9">
        <f t="shared" si="97"/>
        <v>0</v>
      </c>
      <c r="EP13" s="9">
        <f t="shared" si="72"/>
        <v>0</v>
      </c>
      <c r="EQ13" s="9">
        <f t="shared" si="73"/>
        <v>35</v>
      </c>
      <c r="ER13" s="9">
        <f t="shared" si="74"/>
        <v>21</v>
      </c>
      <c r="ES13" s="9">
        <f t="shared" si="75"/>
        <v>42</v>
      </c>
      <c r="ET13" s="9">
        <f t="shared" si="76"/>
        <v>0</v>
      </c>
      <c r="EU13" s="10">
        <f t="shared" si="77"/>
        <v>0</v>
      </c>
      <c r="EV13" s="9">
        <f t="shared" si="78"/>
        <v>0</v>
      </c>
      <c r="EW13" s="9">
        <f t="shared" si="79"/>
        <v>0</v>
      </c>
      <c r="EX13" s="9">
        <f t="shared" si="80"/>
        <v>0</v>
      </c>
      <c r="EY13" s="9">
        <f t="shared" si="81"/>
        <v>0</v>
      </c>
      <c r="EZ13" s="9">
        <f t="shared" si="82"/>
        <v>0</v>
      </c>
      <c r="FA13" s="9">
        <f t="shared" si="83"/>
        <v>0</v>
      </c>
      <c r="FB13" s="9">
        <f t="shared" si="84"/>
        <v>0</v>
      </c>
      <c r="FC13" s="9">
        <f t="shared" si="85"/>
        <v>0</v>
      </c>
      <c r="FD13" s="9">
        <f t="shared" si="98"/>
        <v>0</v>
      </c>
      <c r="FE13" s="9">
        <f t="shared" si="99"/>
        <v>0</v>
      </c>
      <c r="FF13" s="9">
        <f t="shared" si="100"/>
        <v>0</v>
      </c>
      <c r="FG13" s="9">
        <f t="shared" si="101"/>
        <v>0</v>
      </c>
      <c r="FO13" t="str">
        <f t="shared" si="86"/>
        <v>aPackW2</v>
      </c>
      <c r="FP13" t="str">
        <f t="shared" si="87"/>
        <v>aPackW2</v>
      </c>
      <c r="FQ13" t="str">
        <f t="shared" si="88"/>
        <v>aPackW2</v>
      </c>
      <c r="FR13" t="s">
        <v>851</v>
      </c>
    </row>
    <row r="14" spans="1:174" outlineLevel="1" x14ac:dyDescent="0.25">
      <c r="A14" s="28" t="s">
        <v>843</v>
      </c>
      <c r="B14" s="9">
        <f>SUMIF(Prophix!$Q:$Q,'Fds Units'!$A14,Prophix!D:D)</f>
        <v>0</v>
      </c>
      <c r="C14" s="9">
        <f>SUMIF(Prophix!$Q:$Q,'Fds Units'!$A14,Prophix!E:E)</f>
        <v>0</v>
      </c>
      <c r="D14" s="9">
        <f>SUMIF(Prophix!$Q:$Q,'Fds Units'!$A14,Prophix!F:F)</f>
        <v>0</v>
      </c>
      <c r="E14" s="9">
        <f>SUMIF(Prophix!$Q:$Q,'Fds Units'!$A14,Prophix!G:G)</f>
        <v>0</v>
      </c>
      <c r="F14" s="9">
        <f>SUMIF(Prophix!$Q:$Q,'Fds Units'!$A14,Prophix!H:H)</f>
        <v>31704</v>
      </c>
      <c r="G14" s="9">
        <f>SUMIF(Prophix!$Q:$Q,'Fds Units'!$A14,Prophix!I:I)</f>
        <v>0</v>
      </c>
      <c r="H14" s="9">
        <f>SUMIF(Prophix!$Q:$Q,'Fds Units'!$A14,Prophix!J:J)</f>
        <v>0</v>
      </c>
      <c r="I14" s="9">
        <f>SUMIF(Prophix!$Q:$Q,'Fds Units'!$A14,Prophix!K:K)</f>
        <v>0</v>
      </c>
      <c r="J14" s="9">
        <f>SUMIF(Prophix!$Q:$Q,'Fds Units'!$A14,Prophix!L:L)</f>
        <v>0</v>
      </c>
      <c r="K14" s="9">
        <f>SUMIF(Prophix!$Q:$Q,'Fds Units'!$A14,Prophix!M:M)</f>
        <v>0</v>
      </c>
      <c r="L14" s="92"/>
      <c r="M14" s="133"/>
      <c r="N14" s="92">
        <v>49992</v>
      </c>
      <c r="O14" s="92">
        <f t="shared" si="142"/>
        <v>49992</v>
      </c>
      <c r="P14" s="142"/>
      <c r="Q14" s="133">
        <f>+R14</f>
        <v>0</v>
      </c>
      <c r="R14" s="92"/>
      <c r="S14" s="92"/>
      <c r="T14" s="186">
        <f t="shared" si="143"/>
        <v>0</v>
      </c>
      <c r="U14" s="9"/>
      <c r="V14" s="9"/>
      <c r="W14" s="9"/>
      <c r="X14" s="9">
        <f>+W14-U14</f>
        <v>0</v>
      </c>
      <c r="Y14" s="241">
        <v>0</v>
      </c>
      <c r="AA14" s="165"/>
      <c r="AB14" s="242">
        <v>0</v>
      </c>
      <c r="AC14" s="241">
        <v>0</v>
      </c>
      <c r="AD14" s="165">
        <v>0</v>
      </c>
      <c r="AE14" s="242">
        <v>0</v>
      </c>
      <c r="AF14" s="9"/>
      <c r="AG14" s="9"/>
      <c r="AH14" s="9"/>
      <c r="AI14" s="9"/>
      <c r="AJ14" s="9"/>
      <c r="AK14" s="9"/>
      <c r="AL14" s="9"/>
      <c r="AM14" s="9"/>
      <c r="AN14" s="9"/>
      <c r="AO14" s="59"/>
      <c r="AP14" s="9" t="s">
        <v>607</v>
      </c>
      <c r="AQ14" s="9">
        <v>110000</v>
      </c>
      <c r="AR14" s="10">
        <v>9</v>
      </c>
      <c r="AS14" s="8" t="s">
        <v>607</v>
      </c>
      <c r="AT14" s="9">
        <v>110000</v>
      </c>
      <c r="AU14" s="10">
        <v>9</v>
      </c>
      <c r="AV14" s="8" t="s">
        <v>607</v>
      </c>
      <c r="AW14" s="9">
        <v>110000</v>
      </c>
      <c r="AX14" s="10">
        <v>9</v>
      </c>
      <c r="AY14" s="8" t="s">
        <v>607</v>
      </c>
      <c r="AZ14" s="9">
        <v>110000</v>
      </c>
      <c r="BA14" s="10">
        <v>9</v>
      </c>
      <c r="BB14" s="8" t="s">
        <v>607</v>
      </c>
      <c r="BC14" s="9">
        <v>110000</v>
      </c>
      <c r="BD14" s="10">
        <v>9</v>
      </c>
      <c r="BE14" s="8" t="s">
        <v>607</v>
      </c>
      <c r="BF14" s="9">
        <v>110000</v>
      </c>
      <c r="BG14" s="10">
        <v>9</v>
      </c>
      <c r="BH14" s="8" t="s">
        <v>607</v>
      </c>
      <c r="BI14" s="9">
        <v>110000</v>
      </c>
      <c r="BJ14" s="10">
        <v>9</v>
      </c>
      <c r="BK14" s="8" t="s">
        <v>607</v>
      </c>
      <c r="BL14" s="9">
        <v>110000</v>
      </c>
      <c r="BM14" s="10">
        <v>9</v>
      </c>
      <c r="BN14" s="8" t="s">
        <v>607</v>
      </c>
      <c r="BO14" s="9">
        <v>110000</v>
      </c>
      <c r="BP14" s="10">
        <v>9</v>
      </c>
      <c r="BQ14" s="8" t="s">
        <v>607</v>
      </c>
      <c r="BR14" s="9">
        <v>110000</v>
      </c>
      <c r="BS14" s="10">
        <v>9</v>
      </c>
      <c r="BT14" s="8" t="s">
        <v>78</v>
      </c>
      <c r="BU14" s="9">
        <v>110000</v>
      </c>
      <c r="BV14" s="10">
        <v>9</v>
      </c>
      <c r="BW14" s="8" t="s">
        <v>78</v>
      </c>
      <c r="BX14" s="9">
        <v>110000</v>
      </c>
      <c r="BY14" s="10">
        <v>9</v>
      </c>
      <c r="BZ14" s="8" t="str">
        <f t="shared" si="102"/>
        <v>Y4S/Y5</v>
      </c>
      <c r="CA14" s="9">
        <v>50000</v>
      </c>
      <c r="CB14" s="10">
        <f t="shared" si="104"/>
        <v>9</v>
      </c>
      <c r="CC14" s="8" t="str">
        <f t="shared" si="105"/>
        <v>Y4S/Y5</v>
      </c>
      <c r="CD14" s="9">
        <f t="shared" si="106"/>
        <v>50000</v>
      </c>
      <c r="CE14" s="10">
        <f t="shared" si="107"/>
        <v>9</v>
      </c>
      <c r="CF14" s="8" t="str">
        <f t="shared" si="108"/>
        <v>Y4S/Y5</v>
      </c>
      <c r="CG14" s="9">
        <f t="shared" si="109"/>
        <v>50000</v>
      </c>
      <c r="CH14" s="10">
        <f t="shared" si="110"/>
        <v>9</v>
      </c>
      <c r="CI14" s="8" t="str">
        <f t="shared" si="111"/>
        <v>Y4S/Y5</v>
      </c>
      <c r="CJ14" s="9">
        <f t="shared" si="112"/>
        <v>50000</v>
      </c>
      <c r="CK14" s="10">
        <f t="shared" si="113"/>
        <v>9</v>
      </c>
      <c r="CL14" s="8" t="str">
        <f t="shared" si="114"/>
        <v>Y4S/Y5</v>
      </c>
      <c r="CM14" s="9">
        <f t="shared" si="115"/>
        <v>50000</v>
      </c>
      <c r="CN14" s="10">
        <f t="shared" si="116"/>
        <v>9</v>
      </c>
      <c r="CO14" s="8" t="str">
        <f t="shared" si="117"/>
        <v>Y4S/Y5</v>
      </c>
      <c r="CP14" s="9">
        <f t="shared" si="118"/>
        <v>50000</v>
      </c>
      <c r="CQ14" s="10">
        <f t="shared" si="119"/>
        <v>9</v>
      </c>
      <c r="CR14" s="8" t="str">
        <f t="shared" si="120"/>
        <v>Y4S/Y5</v>
      </c>
      <c r="CS14" s="9">
        <f t="shared" si="121"/>
        <v>50000</v>
      </c>
      <c r="CT14" s="10">
        <f t="shared" si="122"/>
        <v>9</v>
      </c>
      <c r="CU14" s="8" t="str">
        <f t="shared" si="123"/>
        <v>Y4S/Y5</v>
      </c>
      <c r="CV14" s="9">
        <f t="shared" si="124"/>
        <v>50000</v>
      </c>
      <c r="CW14" s="10">
        <f t="shared" si="125"/>
        <v>9</v>
      </c>
      <c r="CX14" s="8" t="str">
        <f t="shared" si="126"/>
        <v>Y4S/Y5</v>
      </c>
      <c r="CY14" s="9">
        <f t="shared" si="127"/>
        <v>50000</v>
      </c>
      <c r="CZ14" s="10">
        <f t="shared" si="128"/>
        <v>9</v>
      </c>
      <c r="DA14" s="8" t="str">
        <f t="shared" si="129"/>
        <v>Y4S/Y5</v>
      </c>
      <c r="DB14" s="9">
        <f t="shared" si="130"/>
        <v>50000</v>
      </c>
      <c r="DC14" s="10">
        <f t="shared" si="131"/>
        <v>9</v>
      </c>
      <c r="DD14" s="8" t="str">
        <f t="shared" si="132"/>
        <v>Y4S/Y5</v>
      </c>
      <c r="DE14" s="9">
        <f t="shared" si="133"/>
        <v>50000</v>
      </c>
      <c r="DF14" s="10">
        <f t="shared" si="134"/>
        <v>9</v>
      </c>
      <c r="DG14" s="8" t="str">
        <f t="shared" si="135"/>
        <v>Y4S/Y5</v>
      </c>
      <c r="DH14" s="9">
        <f t="shared" si="136"/>
        <v>50000</v>
      </c>
      <c r="DI14" s="10">
        <f t="shared" si="137"/>
        <v>9</v>
      </c>
      <c r="DK14" s="8">
        <f t="shared" si="138"/>
        <v>0</v>
      </c>
      <c r="DL14" s="9">
        <f t="shared" si="54"/>
        <v>0</v>
      </c>
      <c r="DM14" s="9">
        <f t="shared" si="55"/>
        <v>0</v>
      </c>
      <c r="DN14" s="9">
        <f t="shared" si="139"/>
        <v>0</v>
      </c>
      <c r="DO14" s="9">
        <f t="shared" si="56"/>
        <v>1</v>
      </c>
      <c r="DP14" s="9">
        <f t="shared" si="57"/>
        <v>0</v>
      </c>
      <c r="DQ14" s="9">
        <f t="shared" si="58"/>
        <v>0</v>
      </c>
      <c r="DR14" s="9">
        <f t="shared" si="59"/>
        <v>0</v>
      </c>
      <c r="DS14" s="9">
        <f t="shared" si="60"/>
        <v>0</v>
      </c>
      <c r="DT14" s="9">
        <f t="shared" si="152"/>
        <v>0</v>
      </c>
      <c r="DU14" s="9">
        <f t="shared" si="153"/>
        <v>1</v>
      </c>
      <c r="DV14" s="10">
        <f t="shared" si="140"/>
        <v>0</v>
      </c>
      <c r="DW14" s="9">
        <f t="shared" si="141"/>
        <v>0</v>
      </c>
      <c r="DX14" s="9">
        <f t="shared" si="61"/>
        <v>0</v>
      </c>
      <c r="DY14" s="9">
        <f t="shared" si="91"/>
        <v>0</v>
      </c>
      <c r="DZ14" s="9">
        <f t="shared" si="62"/>
        <v>0</v>
      </c>
      <c r="EA14" s="9">
        <f t="shared" si="63"/>
        <v>0</v>
      </c>
      <c r="EB14" s="9">
        <f t="shared" si="64"/>
        <v>0</v>
      </c>
      <c r="EC14" s="9">
        <f t="shared" si="65"/>
        <v>0</v>
      </c>
      <c r="ED14" s="9">
        <f t="shared" si="66"/>
        <v>0</v>
      </c>
      <c r="EE14" s="9">
        <f t="shared" si="67"/>
        <v>0</v>
      </c>
      <c r="EF14" s="9">
        <f t="shared" si="68"/>
        <v>0</v>
      </c>
      <c r="EG14" s="9">
        <f t="shared" si="69"/>
        <v>0</v>
      </c>
      <c r="EH14" s="9">
        <f t="shared" si="70"/>
        <v>0</v>
      </c>
      <c r="EJ14" s="8">
        <f t="shared" si="92"/>
        <v>0</v>
      </c>
      <c r="EK14" s="9">
        <f t="shared" si="93"/>
        <v>0</v>
      </c>
      <c r="EL14" s="9">
        <f t="shared" si="94"/>
        <v>0</v>
      </c>
      <c r="EM14" s="9">
        <f t="shared" si="95"/>
        <v>0</v>
      </c>
      <c r="EN14" s="9">
        <f t="shared" si="96"/>
        <v>9</v>
      </c>
      <c r="EO14" s="9">
        <f t="shared" si="97"/>
        <v>0</v>
      </c>
      <c r="EP14" s="9">
        <f t="shared" si="72"/>
        <v>0</v>
      </c>
      <c r="EQ14" s="9">
        <f t="shared" si="73"/>
        <v>0</v>
      </c>
      <c r="ER14" s="9">
        <f t="shared" si="74"/>
        <v>0</v>
      </c>
      <c r="ES14" s="9">
        <f t="shared" si="75"/>
        <v>0</v>
      </c>
      <c r="ET14" s="9">
        <f t="shared" si="76"/>
        <v>9</v>
      </c>
      <c r="EU14" s="10">
        <f t="shared" si="77"/>
        <v>0</v>
      </c>
      <c r="EV14" s="9">
        <f t="shared" si="78"/>
        <v>0</v>
      </c>
      <c r="EW14" s="9">
        <f t="shared" si="79"/>
        <v>0</v>
      </c>
      <c r="EX14" s="9">
        <f t="shared" si="80"/>
        <v>0</v>
      </c>
      <c r="EY14" s="9">
        <f t="shared" si="81"/>
        <v>0</v>
      </c>
      <c r="EZ14" s="9">
        <f t="shared" si="82"/>
        <v>0</v>
      </c>
      <c r="FA14" s="9">
        <f t="shared" si="83"/>
        <v>0</v>
      </c>
      <c r="FB14" s="9">
        <f t="shared" si="84"/>
        <v>0</v>
      </c>
      <c r="FC14" s="9">
        <f t="shared" si="85"/>
        <v>0</v>
      </c>
      <c r="FD14" s="9">
        <f t="shared" si="98"/>
        <v>0</v>
      </c>
      <c r="FE14" s="9">
        <f t="shared" si="99"/>
        <v>0</v>
      </c>
      <c r="FF14" s="9">
        <f t="shared" si="100"/>
        <v>0</v>
      </c>
      <c r="FG14" s="9">
        <f t="shared" si="101"/>
        <v>0</v>
      </c>
      <c r="FO14" t="str">
        <f t="shared" si="86"/>
        <v>FLB OatmealY1/L1</v>
      </c>
      <c r="FP14" t="str">
        <f t="shared" si="87"/>
        <v>FLB OatmealY4S/Y5</v>
      </c>
      <c r="FQ14" t="str">
        <f t="shared" si="88"/>
        <v>FLB OatmealY4S/Y5</v>
      </c>
      <c r="FR14" t="e">
        <v>#N/A</v>
      </c>
    </row>
    <row r="15" spans="1:174" outlineLevel="1" x14ac:dyDescent="0.25">
      <c r="A15" s="28" t="s">
        <v>8</v>
      </c>
      <c r="B15" s="9">
        <f>SUMIF(Prophix!$Q:$Q,'Fds Units'!$A15,Prophix!D:D)</f>
        <v>0</v>
      </c>
      <c r="C15" s="9">
        <f>SUMIF(Prophix!$Q:$Q,'Fds Units'!$A15,Prophix!E:E)</f>
        <v>0</v>
      </c>
      <c r="D15" s="9">
        <f>SUMIF(Prophix!$Q:$Q,'Fds Units'!$A15,Prophix!F:F)</f>
        <v>0</v>
      </c>
      <c r="E15" s="9">
        <f>SUMIF(Prophix!$Q:$Q,'Fds Units'!$A15,Prophix!G:G)</f>
        <v>0</v>
      </c>
      <c r="F15" s="9">
        <f>SUMIF(Prophix!$Q:$Q,'Fds Units'!$A15,Prophix!H:H)</f>
        <v>0</v>
      </c>
      <c r="G15" s="9">
        <f>SUMIF(Prophix!$Q:$Q,'Fds Units'!$A15,Prophix!I:I)</f>
        <v>0</v>
      </c>
      <c r="H15" s="9">
        <f>SUMIF(Prophix!$Q:$Q,'Fds Units'!$A15,Prophix!J:J)</f>
        <v>0</v>
      </c>
      <c r="I15" s="9">
        <f>SUMIF(Prophix!$Q:$Q,'Fds Units'!$A15,Prophix!K:K)</f>
        <v>0</v>
      </c>
      <c r="J15" s="9">
        <f>SUMIF(Prophix!$Q:$Q,'Fds Units'!$A15,Prophix!L:L)</f>
        <v>0</v>
      </c>
      <c r="K15" s="9">
        <f>SUMIF(Prophix!$Q:$Q,'Fds Units'!$A15,Prophix!M:M)</f>
        <v>0</v>
      </c>
      <c r="L15" s="92"/>
      <c r="M15" s="133"/>
      <c r="N15" s="92">
        <f>SUMIF(Schedule!$R:$R,$FP15,Schedule!P:P)</f>
        <v>0</v>
      </c>
      <c r="O15" s="92">
        <f t="shared" si="142"/>
        <v>0</v>
      </c>
      <c r="P15" s="142"/>
      <c r="Q15" s="133"/>
      <c r="R15" s="92">
        <f>SUMIF(Schedule!$R:$R,$FQ15,Schedule!Q:Q)</f>
        <v>0</v>
      </c>
      <c r="S15" s="92"/>
      <c r="T15" s="186">
        <f t="shared" si="143"/>
        <v>0</v>
      </c>
      <c r="U15" s="9"/>
      <c r="V15" s="9"/>
      <c r="W15" s="9"/>
      <c r="X15" s="9">
        <f>+W15-U15</f>
        <v>0</v>
      </c>
      <c r="Y15" s="241">
        <v>0</v>
      </c>
      <c r="Z15" s="165"/>
      <c r="AA15" s="165"/>
      <c r="AB15" s="242">
        <v>0</v>
      </c>
      <c r="AC15" s="241">
        <v>0</v>
      </c>
      <c r="AD15" s="165">
        <v>0</v>
      </c>
      <c r="AE15" s="242">
        <v>0</v>
      </c>
      <c r="AF15" s="9"/>
      <c r="AG15" s="9"/>
      <c r="AH15" s="9"/>
      <c r="AI15" s="9"/>
      <c r="AJ15" s="129"/>
      <c r="AK15" s="9"/>
      <c r="AL15" s="9"/>
      <c r="AM15" s="9"/>
      <c r="AN15" s="9"/>
      <c r="AO15" s="59"/>
      <c r="AP15" s="9"/>
      <c r="AQ15" s="9"/>
      <c r="AR15" s="10"/>
      <c r="AS15" s="8"/>
      <c r="AT15" s="9"/>
      <c r="AU15" s="10"/>
      <c r="AV15" s="8"/>
      <c r="AW15" s="9"/>
      <c r="AX15" s="10"/>
      <c r="AY15" s="8"/>
      <c r="AZ15" s="9"/>
      <c r="BA15" s="10"/>
      <c r="BB15" s="8"/>
      <c r="BC15" s="9"/>
      <c r="BD15" s="10"/>
      <c r="BE15" s="8"/>
      <c r="BF15" s="9"/>
      <c r="BG15" s="10"/>
      <c r="BH15" s="8"/>
      <c r="BI15" s="9"/>
      <c r="BJ15" s="10"/>
      <c r="BK15" s="8"/>
      <c r="BL15" s="9"/>
      <c r="BM15" s="10"/>
      <c r="BN15" s="8"/>
      <c r="BO15" s="9"/>
      <c r="BP15" s="10"/>
      <c r="BQ15" s="8"/>
      <c r="BR15" s="9"/>
      <c r="BS15" s="10"/>
      <c r="BT15" s="8"/>
      <c r="BU15" s="9"/>
      <c r="BV15" s="10"/>
      <c r="BW15" s="8"/>
      <c r="BX15" s="9"/>
      <c r="BY15" s="10"/>
      <c r="BZ15" s="8">
        <f t="shared" si="102"/>
        <v>0</v>
      </c>
      <c r="CA15" s="9">
        <f t="shared" si="103"/>
        <v>0</v>
      </c>
      <c r="CB15" s="10">
        <f t="shared" si="104"/>
        <v>0</v>
      </c>
      <c r="CC15" s="8">
        <f t="shared" si="105"/>
        <v>0</v>
      </c>
      <c r="CD15" s="9">
        <f t="shared" si="106"/>
        <v>0</v>
      </c>
      <c r="CE15" s="10">
        <f t="shared" si="107"/>
        <v>0</v>
      </c>
      <c r="CF15" s="8">
        <f t="shared" si="108"/>
        <v>0</v>
      </c>
      <c r="CG15" s="9">
        <f t="shared" si="109"/>
        <v>0</v>
      </c>
      <c r="CH15" s="10">
        <f t="shared" si="110"/>
        <v>0</v>
      </c>
      <c r="CI15" s="8">
        <f t="shared" si="111"/>
        <v>0</v>
      </c>
      <c r="CJ15" s="9">
        <f t="shared" si="112"/>
        <v>0</v>
      </c>
      <c r="CK15" s="10">
        <f t="shared" si="113"/>
        <v>0</v>
      </c>
      <c r="CL15" s="8">
        <f t="shared" si="114"/>
        <v>0</v>
      </c>
      <c r="CM15" s="9">
        <f t="shared" si="115"/>
        <v>0</v>
      </c>
      <c r="CN15" s="10">
        <f t="shared" si="116"/>
        <v>0</v>
      </c>
      <c r="CO15" s="8">
        <f t="shared" si="117"/>
        <v>0</v>
      </c>
      <c r="CP15" s="9">
        <f t="shared" si="118"/>
        <v>0</v>
      </c>
      <c r="CQ15" s="10">
        <f t="shared" si="119"/>
        <v>0</v>
      </c>
      <c r="CR15" s="8">
        <f t="shared" si="120"/>
        <v>0</v>
      </c>
      <c r="CS15" s="9">
        <f t="shared" si="121"/>
        <v>0</v>
      </c>
      <c r="CT15" s="10">
        <f t="shared" si="122"/>
        <v>0</v>
      </c>
      <c r="CU15" s="8">
        <f t="shared" si="123"/>
        <v>0</v>
      </c>
      <c r="CV15" s="9">
        <f t="shared" si="124"/>
        <v>0</v>
      </c>
      <c r="CW15" s="10">
        <f t="shared" si="125"/>
        <v>0</v>
      </c>
      <c r="CX15" s="8">
        <f t="shared" si="126"/>
        <v>0</v>
      </c>
      <c r="CY15" s="9">
        <f t="shared" si="127"/>
        <v>0</v>
      </c>
      <c r="CZ15" s="10">
        <f t="shared" si="128"/>
        <v>0</v>
      </c>
      <c r="DA15" s="8">
        <f t="shared" si="129"/>
        <v>0</v>
      </c>
      <c r="DB15" s="9">
        <f t="shared" si="130"/>
        <v>0</v>
      </c>
      <c r="DC15" s="10">
        <f t="shared" si="131"/>
        <v>0</v>
      </c>
      <c r="DD15" s="8">
        <f t="shared" si="132"/>
        <v>0</v>
      </c>
      <c r="DE15" s="9">
        <f t="shared" si="133"/>
        <v>0</v>
      </c>
      <c r="DF15" s="10">
        <f t="shared" si="134"/>
        <v>0</v>
      </c>
      <c r="DG15" s="8">
        <f t="shared" si="135"/>
        <v>0</v>
      </c>
      <c r="DH15" s="9">
        <f t="shared" si="136"/>
        <v>0</v>
      </c>
      <c r="DI15" s="10">
        <f t="shared" si="137"/>
        <v>0</v>
      </c>
      <c r="DK15" s="8">
        <f t="shared" si="138"/>
        <v>0</v>
      </c>
      <c r="DL15" s="9">
        <f t="shared" si="54"/>
        <v>0</v>
      </c>
      <c r="DM15" s="9">
        <f t="shared" si="55"/>
        <v>0</v>
      </c>
      <c r="DN15" s="9">
        <f t="shared" si="139"/>
        <v>0</v>
      </c>
      <c r="DO15" s="9">
        <f t="shared" si="56"/>
        <v>0</v>
      </c>
      <c r="DP15" s="9">
        <f t="shared" si="57"/>
        <v>0</v>
      </c>
      <c r="DQ15" s="9">
        <f t="shared" si="58"/>
        <v>0</v>
      </c>
      <c r="DR15" s="9">
        <f t="shared" si="59"/>
        <v>0</v>
      </c>
      <c r="DS15" s="9">
        <f t="shared" si="60"/>
        <v>0</v>
      </c>
      <c r="DT15" s="9">
        <f t="shared" si="152"/>
        <v>0</v>
      </c>
      <c r="DU15" s="9">
        <f t="shared" si="153"/>
        <v>0</v>
      </c>
      <c r="DV15" s="10">
        <f t="shared" si="140"/>
        <v>0</v>
      </c>
      <c r="DW15" s="9">
        <f t="shared" si="141"/>
        <v>0</v>
      </c>
      <c r="DX15" s="9">
        <f t="shared" si="61"/>
        <v>0</v>
      </c>
      <c r="DY15" s="9">
        <f t="shared" si="91"/>
        <v>0</v>
      </c>
      <c r="DZ15" s="9">
        <f t="shared" si="62"/>
        <v>0</v>
      </c>
      <c r="EA15" s="9">
        <f t="shared" si="63"/>
        <v>0</v>
      </c>
      <c r="EB15" s="9">
        <f t="shared" si="64"/>
        <v>0</v>
      </c>
      <c r="EC15" s="9">
        <f t="shared" si="65"/>
        <v>0</v>
      </c>
      <c r="ED15" s="9">
        <f t="shared" si="66"/>
        <v>0</v>
      </c>
      <c r="EE15" s="9">
        <f t="shared" si="67"/>
        <v>0</v>
      </c>
      <c r="EF15" s="9">
        <f t="shared" si="68"/>
        <v>0</v>
      </c>
      <c r="EG15" s="9">
        <f t="shared" si="69"/>
        <v>0</v>
      </c>
      <c r="EH15" s="9">
        <f t="shared" si="70"/>
        <v>0</v>
      </c>
      <c r="EJ15" s="8">
        <f t="shared" si="92"/>
        <v>0</v>
      </c>
      <c r="EK15" s="9">
        <f t="shared" si="93"/>
        <v>0</v>
      </c>
      <c r="EL15" s="9">
        <f t="shared" si="94"/>
        <v>0</v>
      </c>
      <c r="EM15" s="9">
        <f t="shared" si="95"/>
        <v>0</v>
      </c>
      <c r="EN15" s="9">
        <f t="shared" si="96"/>
        <v>0</v>
      </c>
      <c r="EO15" s="9">
        <f t="shared" si="97"/>
        <v>0</v>
      </c>
      <c r="EP15" s="9">
        <f t="shared" si="72"/>
        <v>0</v>
      </c>
      <c r="EQ15" s="9">
        <f t="shared" si="73"/>
        <v>0</v>
      </c>
      <c r="ER15" s="9">
        <f t="shared" si="74"/>
        <v>0</v>
      </c>
      <c r="ES15" s="9">
        <f t="shared" si="75"/>
        <v>0</v>
      </c>
      <c r="ET15" s="9">
        <f t="shared" si="76"/>
        <v>0</v>
      </c>
      <c r="EU15" s="10">
        <f t="shared" si="77"/>
        <v>0</v>
      </c>
      <c r="EV15" s="9">
        <f t="shared" si="78"/>
        <v>0</v>
      </c>
      <c r="EW15" s="9">
        <f t="shared" si="79"/>
        <v>0</v>
      </c>
      <c r="EX15" s="9">
        <f t="shared" si="80"/>
        <v>0</v>
      </c>
      <c r="EY15" s="9">
        <f t="shared" si="81"/>
        <v>0</v>
      </c>
      <c r="EZ15" s="9">
        <f t="shared" si="82"/>
        <v>0</v>
      </c>
      <c r="FA15" s="9">
        <f t="shared" si="83"/>
        <v>0</v>
      </c>
      <c r="FB15" s="9">
        <f t="shared" si="84"/>
        <v>0</v>
      </c>
      <c r="FC15" s="9">
        <f t="shared" si="85"/>
        <v>0</v>
      </c>
      <c r="FD15" s="9">
        <f t="shared" si="98"/>
        <v>0</v>
      </c>
      <c r="FE15" s="9">
        <f t="shared" si="99"/>
        <v>0</v>
      </c>
      <c r="FF15" s="9">
        <f t="shared" si="100"/>
        <v>0</v>
      </c>
      <c r="FG15" s="9">
        <f t="shared" si="101"/>
        <v>0</v>
      </c>
      <c r="FO15" t="str">
        <f t="shared" si="86"/>
        <v>Rehydration Water Pouch</v>
      </c>
      <c r="FP15" t="str">
        <f t="shared" si="87"/>
        <v>Rehydration Water Pouch</v>
      </c>
      <c r="FQ15" t="str">
        <f t="shared" si="88"/>
        <v>Rehydration Water Pouch</v>
      </c>
      <c r="FR15">
        <v>0</v>
      </c>
    </row>
    <row r="16" spans="1:174" s="28" customFormat="1" outlineLevel="1" x14ac:dyDescent="0.25">
      <c r="A16" s="28" t="s">
        <v>9</v>
      </c>
      <c r="B16" s="9">
        <f>SUMIF(Prophix!$Q:$Q,'Fds Units'!$A16,Prophix!D:D)</f>
        <v>0</v>
      </c>
      <c r="C16" s="9">
        <f>SUMIF(Prophix!$Q:$Q,'Fds Units'!$A16,Prophix!E:E)</f>
        <v>635920</v>
      </c>
      <c r="D16" s="9">
        <f>SUMIF(Prophix!$Q:$Q,'Fds Units'!$A16,Prophix!F:F)</f>
        <v>0</v>
      </c>
      <c r="E16" s="9">
        <f>SUMIF(Prophix!$Q:$Q,'Fds Units'!$A16,Prophix!G:G)</f>
        <v>0</v>
      </c>
      <c r="F16" s="9">
        <f>SUMIF(Prophix!$Q:$Q,'Fds Units'!$A16,Prophix!H:H)</f>
        <v>0</v>
      </c>
      <c r="G16" s="9">
        <f>SUMIF(Prophix!$Q:$Q,'Fds Units'!$A16,Prophix!I:I)</f>
        <v>465960</v>
      </c>
      <c r="H16" s="9">
        <f>SUMIF(Prophix!$Q:$Q,'Fds Units'!$A16,Prophix!J:J)</f>
        <v>100064</v>
      </c>
      <c r="I16" s="9">
        <f>SUMIF(Prophix!$Q:$Q,'Fds Units'!$A16,Prophix!K:K)</f>
        <v>0</v>
      </c>
      <c r="J16" s="9">
        <f>SUMIF(Prophix!$Q:$Q,'Fds Units'!$A16,Prophix!L:L)</f>
        <v>0</v>
      </c>
      <c r="K16" s="9">
        <f>SUMIF(Prophix!$Q:$Q,'Fds Units'!$A16,Prophix!M:M)</f>
        <v>0</v>
      </c>
      <c r="L16" s="92"/>
      <c r="M16" s="133"/>
      <c r="N16" s="92">
        <f>SUMIF(Schedule!$R:$R,$FP16,Schedule!P:P)</f>
        <v>0</v>
      </c>
      <c r="O16" s="92">
        <f t="shared" si="142"/>
        <v>0</v>
      </c>
      <c r="P16" s="142"/>
      <c r="Q16" s="133"/>
      <c r="R16" s="92">
        <f>SUMIF(Schedule!$R:$R,$FQ16,Schedule!Q:Q)</f>
        <v>0</v>
      </c>
      <c r="S16" s="92"/>
      <c r="T16" s="186">
        <f t="shared" si="143"/>
        <v>0</v>
      </c>
      <c r="U16" s="9"/>
      <c r="V16" s="9"/>
      <c r="W16" s="9"/>
      <c r="X16" s="9">
        <f>+W16-U16</f>
        <v>0</v>
      </c>
      <c r="Y16" s="241">
        <v>0</v>
      </c>
      <c r="Z16" s="165"/>
      <c r="AA16" s="165"/>
      <c r="AB16" s="242">
        <v>0</v>
      </c>
      <c r="AC16" s="241">
        <v>0</v>
      </c>
      <c r="AD16" s="165">
        <v>0</v>
      </c>
      <c r="AE16" s="242">
        <v>0</v>
      </c>
      <c r="AF16" s="9"/>
      <c r="AG16" s="9"/>
      <c r="AH16" s="9"/>
      <c r="AI16" s="9"/>
      <c r="AJ16" s="9"/>
      <c r="AK16" s="9"/>
      <c r="AL16" s="9"/>
      <c r="AM16" s="9"/>
      <c r="AN16" s="9"/>
      <c r="AO16" s="59"/>
      <c r="AP16" s="9" t="s">
        <v>78</v>
      </c>
      <c r="AQ16" s="9">
        <v>90000</v>
      </c>
      <c r="AR16" s="10">
        <v>8</v>
      </c>
      <c r="AS16" s="8" t="s">
        <v>78</v>
      </c>
      <c r="AT16" s="9">
        <v>100000</v>
      </c>
      <c r="AU16" s="10">
        <v>8</v>
      </c>
      <c r="AV16" s="8" t="s">
        <v>78</v>
      </c>
      <c r="AW16" s="9">
        <v>90000</v>
      </c>
      <c r="AX16" s="10">
        <v>8</v>
      </c>
      <c r="AY16" s="8" t="s">
        <v>78</v>
      </c>
      <c r="AZ16" s="9">
        <v>90000</v>
      </c>
      <c r="BA16" s="10">
        <v>8</v>
      </c>
      <c r="BB16" s="8" t="s">
        <v>78</v>
      </c>
      <c r="BC16" s="9">
        <v>90000</v>
      </c>
      <c r="BD16" s="10">
        <v>8</v>
      </c>
      <c r="BE16" s="8" t="s">
        <v>78</v>
      </c>
      <c r="BF16" s="9">
        <f>+G16/5</f>
        <v>93192</v>
      </c>
      <c r="BG16" s="10">
        <v>8</v>
      </c>
      <c r="BH16" s="8" t="s">
        <v>78</v>
      </c>
      <c r="BI16" s="9">
        <f>+H16/1</f>
        <v>100064</v>
      </c>
      <c r="BJ16" s="10">
        <v>8</v>
      </c>
      <c r="BK16" s="8" t="s">
        <v>78</v>
      </c>
      <c r="BL16" s="9">
        <v>90000</v>
      </c>
      <c r="BM16" s="10">
        <v>8</v>
      </c>
      <c r="BN16" s="8" t="s">
        <v>78</v>
      </c>
      <c r="BO16" s="9">
        <v>90000</v>
      </c>
      <c r="BP16" s="10">
        <v>8</v>
      </c>
      <c r="BQ16" s="8" t="s">
        <v>78</v>
      </c>
      <c r="BR16" s="9">
        <v>90000</v>
      </c>
      <c r="BS16" s="10">
        <v>8</v>
      </c>
      <c r="BT16" s="8" t="s">
        <v>78</v>
      </c>
      <c r="BU16" s="9">
        <v>90000</v>
      </c>
      <c r="BV16" s="10">
        <v>8</v>
      </c>
      <c r="BW16" s="8" t="s">
        <v>78</v>
      </c>
      <c r="BX16" s="9">
        <v>90000</v>
      </c>
      <c r="BY16" s="10">
        <v>8</v>
      </c>
      <c r="BZ16" s="8" t="str">
        <f t="shared" si="102"/>
        <v>Y4S/Y5</v>
      </c>
      <c r="CA16" s="9">
        <v>100000</v>
      </c>
      <c r="CB16" s="10">
        <v>8</v>
      </c>
      <c r="CC16" s="8" t="str">
        <f t="shared" si="105"/>
        <v>Y4S/Y5</v>
      </c>
      <c r="CD16" s="9">
        <f t="shared" si="106"/>
        <v>100000</v>
      </c>
      <c r="CE16" s="10">
        <f t="shared" si="107"/>
        <v>8</v>
      </c>
      <c r="CF16" s="8" t="str">
        <f t="shared" si="108"/>
        <v>Y4S/Y5</v>
      </c>
      <c r="CG16" s="9">
        <f t="shared" si="109"/>
        <v>100000</v>
      </c>
      <c r="CH16" s="10">
        <f t="shared" si="110"/>
        <v>8</v>
      </c>
      <c r="CI16" s="8" t="str">
        <f t="shared" si="111"/>
        <v>Y4S/Y5</v>
      </c>
      <c r="CJ16" s="9">
        <f t="shared" si="112"/>
        <v>100000</v>
      </c>
      <c r="CK16" s="10">
        <f t="shared" si="113"/>
        <v>8</v>
      </c>
      <c r="CL16" s="8" t="str">
        <f t="shared" si="114"/>
        <v>Y4S/Y5</v>
      </c>
      <c r="CM16" s="9">
        <f t="shared" si="115"/>
        <v>100000</v>
      </c>
      <c r="CN16" s="10">
        <f t="shared" si="116"/>
        <v>8</v>
      </c>
      <c r="CO16" s="8" t="str">
        <f t="shared" si="117"/>
        <v>Y4S/Y5</v>
      </c>
      <c r="CP16" s="9">
        <f t="shared" si="118"/>
        <v>100000</v>
      </c>
      <c r="CQ16" s="10">
        <f t="shared" si="119"/>
        <v>8</v>
      </c>
      <c r="CR16" s="8" t="str">
        <f t="shared" si="120"/>
        <v>Y4S/Y5</v>
      </c>
      <c r="CS16" s="9">
        <f t="shared" si="121"/>
        <v>100000</v>
      </c>
      <c r="CT16" s="10">
        <f t="shared" si="122"/>
        <v>8</v>
      </c>
      <c r="CU16" s="8" t="str">
        <f t="shared" si="123"/>
        <v>Y4S/Y5</v>
      </c>
      <c r="CV16" s="9">
        <f t="shared" si="124"/>
        <v>100000</v>
      </c>
      <c r="CW16" s="10">
        <f t="shared" si="125"/>
        <v>8</v>
      </c>
      <c r="CX16" s="8" t="str">
        <f t="shared" si="126"/>
        <v>Y4S/Y5</v>
      </c>
      <c r="CY16" s="9">
        <f t="shared" si="127"/>
        <v>100000</v>
      </c>
      <c r="CZ16" s="10">
        <f t="shared" si="128"/>
        <v>8</v>
      </c>
      <c r="DA16" s="8" t="str">
        <f t="shared" si="129"/>
        <v>Y4S/Y5</v>
      </c>
      <c r="DB16" s="9">
        <f t="shared" si="130"/>
        <v>100000</v>
      </c>
      <c r="DC16" s="10">
        <f t="shared" si="131"/>
        <v>8</v>
      </c>
      <c r="DD16" s="8" t="str">
        <f t="shared" si="132"/>
        <v>Y4S/Y5</v>
      </c>
      <c r="DE16" s="9">
        <f t="shared" si="133"/>
        <v>100000</v>
      </c>
      <c r="DF16" s="10">
        <f t="shared" si="134"/>
        <v>8</v>
      </c>
      <c r="DG16" s="8" t="str">
        <f t="shared" si="135"/>
        <v>Y4S/Y5</v>
      </c>
      <c r="DH16" s="9">
        <f t="shared" si="136"/>
        <v>100000</v>
      </c>
      <c r="DI16" s="10">
        <f t="shared" si="137"/>
        <v>8</v>
      </c>
      <c r="DK16" s="8">
        <f t="shared" si="138"/>
        <v>0</v>
      </c>
      <c r="DL16" s="67">
        <f t="shared" si="54"/>
        <v>7</v>
      </c>
      <c r="DM16" s="67">
        <f t="shared" si="55"/>
        <v>0</v>
      </c>
      <c r="DN16" s="67">
        <f t="shared" si="139"/>
        <v>0</v>
      </c>
      <c r="DO16" s="67">
        <f t="shared" si="56"/>
        <v>0</v>
      </c>
      <c r="DP16" s="67">
        <f t="shared" si="57"/>
        <v>5</v>
      </c>
      <c r="DQ16" s="9">
        <f t="shared" si="58"/>
        <v>1</v>
      </c>
      <c r="DR16" s="9">
        <f t="shared" si="59"/>
        <v>0</v>
      </c>
      <c r="DS16" s="9">
        <f t="shared" si="60"/>
        <v>0</v>
      </c>
      <c r="DT16" s="9">
        <f t="shared" si="152"/>
        <v>0</v>
      </c>
      <c r="DU16" s="9">
        <f t="shared" si="153"/>
        <v>0</v>
      </c>
      <c r="DV16" s="10">
        <f t="shared" si="140"/>
        <v>0</v>
      </c>
      <c r="DW16" s="9">
        <f t="shared" si="141"/>
        <v>0</v>
      </c>
      <c r="DX16" s="9">
        <f t="shared" si="61"/>
        <v>0</v>
      </c>
      <c r="DY16" s="9">
        <f t="shared" si="91"/>
        <v>0</v>
      </c>
      <c r="DZ16" s="9">
        <f t="shared" si="62"/>
        <v>0</v>
      </c>
      <c r="EA16" s="9">
        <f t="shared" si="63"/>
        <v>0</v>
      </c>
      <c r="EB16" s="9">
        <f t="shared" si="64"/>
        <v>0</v>
      </c>
      <c r="EC16" s="9">
        <f t="shared" si="65"/>
        <v>0</v>
      </c>
      <c r="ED16" s="9">
        <f t="shared" si="66"/>
        <v>0</v>
      </c>
      <c r="EE16" s="9">
        <f t="shared" si="67"/>
        <v>0</v>
      </c>
      <c r="EF16" s="9">
        <f t="shared" si="68"/>
        <v>0</v>
      </c>
      <c r="EG16" s="9">
        <f t="shared" si="69"/>
        <v>0</v>
      </c>
      <c r="EH16" s="9">
        <f t="shared" si="70"/>
        <v>0</v>
      </c>
      <c r="EI16"/>
      <c r="EJ16" s="8">
        <f t="shared" si="92"/>
        <v>0</v>
      </c>
      <c r="EK16" s="9">
        <f t="shared" si="93"/>
        <v>56</v>
      </c>
      <c r="EL16" s="9">
        <f t="shared" si="94"/>
        <v>0</v>
      </c>
      <c r="EM16" s="9">
        <f t="shared" si="95"/>
        <v>0</v>
      </c>
      <c r="EN16" s="9">
        <f t="shared" si="96"/>
        <v>0</v>
      </c>
      <c r="EO16" s="9">
        <f t="shared" si="97"/>
        <v>40</v>
      </c>
      <c r="EP16" s="9">
        <f t="shared" si="72"/>
        <v>8</v>
      </c>
      <c r="EQ16" s="9">
        <f t="shared" si="73"/>
        <v>0</v>
      </c>
      <c r="ER16" s="9">
        <f t="shared" si="74"/>
        <v>0</v>
      </c>
      <c r="ES16" s="9">
        <f t="shared" si="75"/>
        <v>0</v>
      </c>
      <c r="ET16" s="9">
        <f t="shared" si="76"/>
        <v>0</v>
      </c>
      <c r="EU16" s="10">
        <f t="shared" si="77"/>
        <v>0</v>
      </c>
      <c r="EV16" s="9">
        <f t="shared" si="78"/>
        <v>0</v>
      </c>
      <c r="EW16" s="9">
        <f t="shared" si="79"/>
        <v>0</v>
      </c>
      <c r="EX16" s="9">
        <f t="shared" si="80"/>
        <v>0</v>
      </c>
      <c r="EY16" s="9">
        <f t="shared" si="81"/>
        <v>0</v>
      </c>
      <c r="EZ16" s="9">
        <f t="shared" si="82"/>
        <v>0</v>
      </c>
      <c r="FA16" s="9">
        <f t="shared" si="83"/>
        <v>0</v>
      </c>
      <c r="FB16" s="9">
        <f t="shared" si="84"/>
        <v>0</v>
      </c>
      <c r="FC16" s="9">
        <f t="shared" si="85"/>
        <v>0</v>
      </c>
      <c r="FD16" s="9">
        <f t="shared" si="98"/>
        <v>0</v>
      </c>
      <c r="FE16" s="9">
        <f t="shared" si="99"/>
        <v>0</v>
      </c>
      <c r="FF16" s="9">
        <f t="shared" si="100"/>
        <v>0</v>
      </c>
      <c r="FG16" s="9">
        <f t="shared" si="101"/>
        <v>0</v>
      </c>
      <c r="FO16" t="str">
        <f t="shared" si="86"/>
        <v>Luxfer Heater MealsY4S/Y5</v>
      </c>
      <c r="FP16" t="str">
        <f t="shared" si="87"/>
        <v>Luxfer Heater MealsY4S/Y5</v>
      </c>
      <c r="FQ16" t="str">
        <f t="shared" si="88"/>
        <v>Luxfer Heater MealsY4S/Y5</v>
      </c>
      <c r="FR16" s="28" t="s">
        <v>852</v>
      </c>
    </row>
    <row r="17" spans="1:174" ht="16.5" customHeight="1" x14ac:dyDescent="0.25">
      <c r="A17" s="2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133"/>
      <c r="N17" s="9"/>
      <c r="O17" s="9"/>
      <c r="P17" s="142"/>
      <c r="Q17" s="133"/>
      <c r="R17" s="9"/>
      <c r="S17" s="9"/>
      <c r="T17" s="186"/>
      <c r="U17" s="9"/>
      <c r="V17" s="9"/>
      <c r="W17" s="9"/>
      <c r="X17" s="9"/>
      <c r="Y17" s="8"/>
      <c r="Z17" s="9"/>
      <c r="AA17" s="9"/>
      <c r="AB17" s="10"/>
      <c r="AC17" s="8"/>
      <c r="AD17" s="9"/>
      <c r="AE17" s="10"/>
      <c r="AF17" s="9"/>
      <c r="AG17" s="9"/>
      <c r="AH17" s="9"/>
      <c r="AI17" s="9"/>
      <c r="AJ17" s="9"/>
      <c r="AK17" s="9"/>
      <c r="AL17" s="9"/>
      <c r="AM17" s="9"/>
      <c r="AN17" s="9"/>
      <c r="AO17" s="59"/>
      <c r="AP17" s="9"/>
      <c r="AQ17" s="9"/>
      <c r="AR17" s="10"/>
      <c r="AS17" s="8"/>
      <c r="AT17" s="9"/>
      <c r="AU17" s="10"/>
      <c r="AV17" s="8"/>
      <c r="AW17" s="9"/>
      <c r="AX17" s="10"/>
      <c r="AY17" s="8"/>
      <c r="AZ17" s="9"/>
      <c r="BA17" s="10"/>
      <c r="BB17" s="8"/>
      <c r="BC17" s="9"/>
      <c r="BD17" s="10"/>
      <c r="BE17" s="8"/>
      <c r="BF17" s="9"/>
      <c r="BG17" s="10"/>
      <c r="BH17" s="8"/>
      <c r="BI17" s="9"/>
      <c r="BJ17" s="10"/>
      <c r="BK17" s="8"/>
      <c r="BL17" s="9"/>
      <c r="BM17" s="10"/>
      <c r="BN17" s="8"/>
      <c r="BO17" s="9"/>
      <c r="BP17" s="10"/>
      <c r="BQ17" s="8"/>
      <c r="BR17" s="9"/>
      <c r="BS17" s="10"/>
      <c r="BT17" s="8"/>
      <c r="BU17" s="9"/>
      <c r="BV17" s="10"/>
      <c r="BW17" s="8"/>
      <c r="BX17" s="9"/>
      <c r="BY17" s="10"/>
      <c r="BZ17" s="8"/>
      <c r="CA17" s="9"/>
      <c r="CB17" s="10"/>
      <c r="CC17" s="8"/>
      <c r="CD17" s="9"/>
      <c r="CE17" s="10"/>
      <c r="CF17" s="8"/>
      <c r="CG17" s="9"/>
      <c r="CH17" s="10"/>
      <c r="CI17" s="8"/>
      <c r="CJ17" s="9"/>
      <c r="CK17" s="10"/>
      <c r="CL17" s="8"/>
      <c r="CM17" s="9"/>
      <c r="CN17" s="10"/>
      <c r="CO17" s="8"/>
      <c r="CP17" s="9"/>
      <c r="CQ17" s="10"/>
      <c r="CR17" s="8"/>
      <c r="CS17" s="9"/>
      <c r="CT17" s="10"/>
      <c r="CU17" s="8"/>
      <c r="CV17" s="9"/>
      <c r="CW17" s="10"/>
      <c r="CX17" s="8"/>
      <c r="CY17" s="9"/>
      <c r="CZ17" s="10"/>
      <c r="DA17" s="8"/>
      <c r="DB17" s="9"/>
      <c r="DC17" s="10"/>
      <c r="DD17" s="8"/>
      <c r="DE17" s="9"/>
      <c r="DF17" s="10"/>
      <c r="DG17" s="8"/>
      <c r="DH17" s="9"/>
      <c r="DI17" s="10"/>
      <c r="DK17" s="8"/>
      <c r="DL17" s="67"/>
      <c r="DM17" s="67"/>
      <c r="DN17" s="67"/>
      <c r="DO17" s="67"/>
      <c r="DP17" s="67"/>
      <c r="DQ17" s="67"/>
      <c r="DR17" s="9"/>
      <c r="DS17" s="9"/>
      <c r="DT17" s="9"/>
      <c r="DU17" s="9"/>
      <c r="DV17" s="10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J17" s="8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10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O17" t="str">
        <f t="shared" si="86"/>
        <v/>
      </c>
      <c r="FP17" t="str">
        <f t="shared" si="87"/>
        <v/>
      </c>
      <c r="FQ17" t="str">
        <f t="shared" si="88"/>
        <v/>
      </c>
    </row>
    <row r="18" spans="1:174" ht="21" x14ac:dyDescent="0.35">
      <c r="A18" s="41" t="s">
        <v>10</v>
      </c>
      <c r="B18" s="5">
        <f t="shared" ref="B18:AI18" si="170">SUM(B19:B24)</f>
        <v>1993608</v>
      </c>
      <c r="C18" s="5">
        <f t="shared" si="170"/>
        <v>1958364</v>
      </c>
      <c r="D18" s="5">
        <f t="shared" si="170"/>
        <v>2394792</v>
      </c>
      <c r="E18" s="5">
        <f t="shared" si="170"/>
        <v>809904</v>
      </c>
      <c r="F18" s="5">
        <f t="shared" ref="F18:G18" si="171">SUM(F19:F24)</f>
        <v>62856</v>
      </c>
      <c r="G18" s="5">
        <f t="shared" si="171"/>
        <v>1158108</v>
      </c>
      <c r="H18" s="5">
        <f t="shared" ref="H18:I18" si="172">SUM(H19:H24)</f>
        <v>0</v>
      </c>
      <c r="I18" s="5">
        <f t="shared" si="172"/>
        <v>0</v>
      </c>
      <c r="J18" s="5">
        <f t="shared" ref="J18:L18" si="173">SUM(J19:J24)</f>
        <v>0</v>
      </c>
      <c r="K18" s="5">
        <f t="shared" ref="K18" si="174">SUM(K19:K24)</f>
        <v>1028376</v>
      </c>
      <c r="L18" s="5">
        <f t="shared" si="173"/>
        <v>949704</v>
      </c>
      <c r="M18" s="122">
        <f t="shared" si="170"/>
        <v>492925</v>
      </c>
      <c r="N18" s="5">
        <f t="shared" ref="N18" si="175">SUM(N19:N24)</f>
        <v>995760</v>
      </c>
      <c r="O18" s="5">
        <f t="shared" si="170"/>
        <v>-46056</v>
      </c>
      <c r="P18" s="141">
        <f t="shared" ref="P18:Q18" si="176">SUM(P19:P24)</f>
        <v>0</v>
      </c>
      <c r="Q18" s="122">
        <f t="shared" si="176"/>
        <v>19200</v>
      </c>
      <c r="R18" s="5">
        <f t="shared" ref="R18:S18" si="177">SUM(R19:R24)</f>
        <v>19200</v>
      </c>
      <c r="S18" s="5">
        <f t="shared" si="177"/>
        <v>40104</v>
      </c>
      <c r="T18" s="90">
        <f>S18-R18</f>
        <v>20904</v>
      </c>
      <c r="U18" s="5">
        <f>SUM(U19:U25)</f>
        <v>1179948</v>
      </c>
      <c r="V18" s="5">
        <f>SUM(V19:V25)</f>
        <v>1328772</v>
      </c>
      <c r="W18" s="5">
        <f>SUM(W19:W25)</f>
        <v>948000</v>
      </c>
      <c r="X18" s="5">
        <f t="shared" ref="X18" si="178">SUM(X19:X24)</f>
        <v>1002771</v>
      </c>
      <c r="Y18" s="4">
        <f t="shared" ref="Y18:Z18" si="179">SUM(Y19:Y24)</f>
        <v>568800</v>
      </c>
      <c r="Z18" s="5">
        <f t="shared" si="179"/>
        <v>1399200</v>
      </c>
      <c r="AA18" s="5">
        <f t="shared" ref="AA18" si="180">SUM(AA19:AA24)</f>
        <v>605400</v>
      </c>
      <c r="AB18" s="6">
        <f>SUM(AB19:AB25)</f>
        <v>-793800</v>
      </c>
      <c r="AC18" s="4">
        <f t="shared" si="170"/>
        <v>609996</v>
      </c>
      <c r="AD18" s="5">
        <f t="shared" si="170"/>
        <v>820800</v>
      </c>
      <c r="AE18" s="6">
        <f t="shared" si="170"/>
        <v>820800</v>
      </c>
      <c r="AF18" s="5">
        <f t="shared" si="170"/>
        <v>768000</v>
      </c>
      <c r="AG18" s="5">
        <f t="shared" si="170"/>
        <v>768000</v>
      </c>
      <c r="AH18" s="5">
        <f t="shared" si="170"/>
        <v>768000</v>
      </c>
      <c r="AI18" s="5">
        <f t="shared" si="170"/>
        <v>972000</v>
      </c>
      <c r="AJ18" s="5">
        <f t="shared" ref="AJ18:AK18" si="181">SUM(AJ19:AJ24)</f>
        <v>972000</v>
      </c>
      <c r="AK18" s="5">
        <f t="shared" si="181"/>
        <v>960000</v>
      </c>
      <c r="AL18" s="5">
        <f t="shared" ref="AL18:AN18" si="182">SUM(AL19:AL24)</f>
        <v>1118400</v>
      </c>
      <c r="AM18" s="5">
        <f t="shared" si="182"/>
        <v>1065600</v>
      </c>
      <c r="AN18" s="5">
        <f t="shared" si="182"/>
        <v>1065600</v>
      </c>
      <c r="AO18" s="130">
        <v>0.5</v>
      </c>
      <c r="AP18" s="4"/>
      <c r="AQ18" s="5"/>
      <c r="AR18" s="6"/>
      <c r="AS18" s="4"/>
      <c r="AT18" s="5"/>
      <c r="AU18" s="6"/>
      <c r="AV18" s="4"/>
      <c r="AW18" s="5"/>
      <c r="AX18" s="6"/>
      <c r="AY18" s="4"/>
      <c r="AZ18" s="5"/>
      <c r="BA18" s="6"/>
      <c r="BB18" s="4"/>
      <c r="BC18" s="5"/>
      <c r="BD18" s="6"/>
      <c r="BE18" s="4"/>
      <c r="BF18" s="5"/>
      <c r="BG18" s="6"/>
      <c r="BH18" s="4"/>
      <c r="BI18" s="5"/>
      <c r="BJ18" s="6"/>
      <c r="BK18" s="4"/>
      <c r="BL18" s="5"/>
      <c r="BM18" s="6"/>
      <c r="BN18" s="4"/>
      <c r="BO18" s="5"/>
      <c r="BP18" s="6"/>
      <c r="BQ18" s="4"/>
      <c r="BR18" s="5"/>
      <c r="BS18" s="6"/>
      <c r="BT18" s="4"/>
      <c r="BU18" s="5"/>
      <c r="BV18" s="6"/>
      <c r="BW18" s="4"/>
      <c r="BX18" s="5"/>
      <c r="BY18" s="6"/>
      <c r="BZ18" s="4"/>
      <c r="CA18" s="5"/>
      <c r="CB18" s="6"/>
      <c r="CC18" s="4"/>
      <c r="CD18" s="5"/>
      <c r="CE18" s="6"/>
      <c r="CF18" s="4"/>
      <c r="CG18" s="5"/>
      <c r="CH18" s="6"/>
      <c r="CI18" s="4"/>
      <c r="CJ18" s="5"/>
      <c r="CK18" s="6"/>
      <c r="CL18" s="4"/>
      <c r="CM18" s="5"/>
      <c r="CN18" s="6"/>
      <c r="CO18" s="4"/>
      <c r="CP18" s="5"/>
      <c r="CQ18" s="6"/>
      <c r="CR18" s="4"/>
      <c r="CS18" s="5"/>
      <c r="CT18" s="6"/>
      <c r="CU18" s="4"/>
      <c r="CV18" s="5"/>
      <c r="CW18" s="6"/>
      <c r="CX18" s="4"/>
      <c r="CY18" s="5"/>
      <c r="CZ18" s="6"/>
      <c r="DA18" s="4"/>
      <c r="DB18" s="5"/>
      <c r="DC18" s="6"/>
      <c r="DD18" s="4"/>
      <c r="DE18" s="5"/>
      <c r="DF18" s="6"/>
      <c r="DG18" s="4"/>
      <c r="DH18" s="5"/>
      <c r="DI18" s="6"/>
      <c r="DK18" s="4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6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J18" s="4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6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O18" t="str">
        <f t="shared" si="86"/>
        <v>USDA</v>
      </c>
      <c r="FP18" t="str">
        <f t="shared" si="87"/>
        <v>USDA</v>
      </c>
      <c r="FQ18" t="str">
        <f t="shared" si="88"/>
        <v>USDA</v>
      </c>
    </row>
    <row r="19" spans="1:174" outlineLevel="1" x14ac:dyDescent="0.25">
      <c r="A19" s="28" t="s">
        <v>11</v>
      </c>
      <c r="B19" s="9">
        <f>SUMIF(Prophix!$Q:$Q,'Fds Units'!$A19,Prophix!D:D)</f>
        <v>1660464</v>
      </c>
      <c r="C19" s="9">
        <f>SUMIF(Prophix!$Q:$Q,'Fds Units'!$A19,Prophix!E:E)</f>
        <v>1215612</v>
      </c>
      <c r="D19" s="9">
        <f>SUMIF(Prophix!$Q:$Q,'Fds Units'!$A19,Prophix!F:F)</f>
        <v>1998936</v>
      </c>
      <c r="E19" s="9">
        <f>SUMIF(Prophix!$Q:$Q,'Fds Units'!$A19,Prophix!G:G)</f>
        <v>196488</v>
      </c>
      <c r="F19" s="9">
        <f>SUMIF(Prophix!$Q:$Q,'Fds Units'!$A19,Prophix!H:H)</f>
        <v>62856</v>
      </c>
      <c r="G19" s="9">
        <f>SUMIF(Prophix!$Q:$Q,'Fds Units'!$A19,Prophix!I:I)</f>
        <v>0</v>
      </c>
      <c r="H19" s="9">
        <f>SUMIF(Prophix!$Q:$Q,'Fds Units'!$A19,Prophix!J:J)</f>
        <v>0</v>
      </c>
      <c r="I19" s="9">
        <f>SUMIF(Prophix!$Q:$Q,'Fds Units'!$A19,Prophix!K:K)</f>
        <v>0</v>
      </c>
      <c r="J19" s="9">
        <f>SUMIF(Prophix!$Q:$Q,'Fds Units'!$A19,Prophix!L:L)</f>
        <v>0</v>
      </c>
      <c r="K19" s="9">
        <f>SUMIF(Prophix!$Q:$Q,'Fds Units'!$A19,Prophix!M:M)</f>
        <v>0</v>
      </c>
      <c r="L19" s="92"/>
      <c r="M19" s="133"/>
      <c r="N19" s="92">
        <f>SUMIF(Schedule!$R:$R,$FP19,Schedule!P:P)</f>
        <v>0</v>
      </c>
      <c r="O19" s="92">
        <f>L19-N19</f>
        <v>0</v>
      </c>
      <c r="P19" s="142"/>
      <c r="Q19" s="133"/>
      <c r="R19" s="92"/>
      <c r="S19" s="92"/>
      <c r="T19" s="186">
        <f>S19-R19</f>
        <v>0</v>
      </c>
      <c r="U19" s="176"/>
      <c r="V19" s="176"/>
      <c r="W19" s="168">
        <v>288000</v>
      </c>
      <c r="X19" s="9">
        <v>0</v>
      </c>
      <c r="Y19" s="249"/>
      <c r="Z19" s="117"/>
      <c r="AA19" s="117"/>
      <c r="AB19" s="242">
        <f t="shared" ref="AB19:AB25" si="183">AA19-Z19</f>
        <v>0</v>
      </c>
      <c r="AC19" s="241">
        <v>0</v>
      </c>
      <c r="AD19" s="165">
        <v>0</v>
      </c>
      <c r="AE19" s="242">
        <v>0</v>
      </c>
      <c r="AF19" s="66">
        <v>0</v>
      </c>
      <c r="AG19" s="66">
        <v>0</v>
      </c>
      <c r="AH19" s="66">
        <v>0</v>
      </c>
      <c r="AI19" s="66">
        <f t="shared" ref="AI19:AK19" si="184">576000*$AO$18</f>
        <v>288000</v>
      </c>
      <c r="AJ19" s="66">
        <f t="shared" si="184"/>
        <v>288000</v>
      </c>
      <c r="AK19" s="66">
        <f t="shared" si="184"/>
        <v>288000</v>
      </c>
      <c r="AL19" s="66">
        <f>57600*13*$AO$18</f>
        <v>374400</v>
      </c>
      <c r="AM19" s="66">
        <f>57600*12*$AO$18</f>
        <v>345600</v>
      </c>
      <c r="AN19" s="66">
        <f>57600*12*$AO$18</f>
        <v>345600</v>
      </c>
      <c r="AO19" s="59"/>
      <c r="AP19" s="8" t="s">
        <v>607</v>
      </c>
      <c r="AQ19" s="9">
        <v>110000</v>
      </c>
      <c r="AR19" s="10">
        <v>9</v>
      </c>
      <c r="AS19" s="8" t="s">
        <v>607</v>
      </c>
      <c r="AT19" s="9">
        <v>115000</v>
      </c>
      <c r="AU19" s="10">
        <v>12</v>
      </c>
      <c r="AV19" s="8" t="s">
        <v>607</v>
      </c>
      <c r="AW19" s="9">
        <v>115000</v>
      </c>
      <c r="AX19" s="10">
        <v>9</v>
      </c>
      <c r="AY19" s="8" t="s">
        <v>607</v>
      </c>
      <c r="AZ19" s="9">
        <v>100000</v>
      </c>
      <c r="BA19" s="10">
        <v>9</v>
      </c>
      <c r="BB19" s="8" t="s">
        <v>607</v>
      </c>
      <c r="BC19" s="9">
        <v>63000</v>
      </c>
      <c r="BD19" s="10">
        <v>6</v>
      </c>
      <c r="BE19" s="8" t="s">
        <v>78</v>
      </c>
      <c r="BF19" s="9">
        <v>100000</v>
      </c>
      <c r="BG19" s="10">
        <v>9</v>
      </c>
      <c r="BH19" s="8" t="s">
        <v>77</v>
      </c>
      <c r="BI19" s="9">
        <v>153000</v>
      </c>
      <c r="BJ19" s="10">
        <v>9</v>
      </c>
      <c r="BK19" s="8" t="s">
        <v>77</v>
      </c>
      <c r="BL19" s="9">
        <v>153000</v>
      </c>
      <c r="BM19" s="10">
        <v>9</v>
      </c>
      <c r="BN19" s="8" t="s">
        <v>77</v>
      </c>
      <c r="BO19" s="9">
        <v>153000</v>
      </c>
      <c r="BP19" s="10">
        <v>9</v>
      </c>
      <c r="BQ19" s="8" t="s">
        <v>77</v>
      </c>
      <c r="BR19" s="9">
        <v>153000</v>
      </c>
      <c r="BS19" s="10">
        <v>9</v>
      </c>
      <c r="BT19" s="8" t="s">
        <v>77</v>
      </c>
      <c r="BU19" s="9">
        <v>153000</v>
      </c>
      <c r="BV19" s="10">
        <v>9</v>
      </c>
      <c r="BW19" s="8" t="s">
        <v>77</v>
      </c>
      <c r="BX19" s="9">
        <v>153000</v>
      </c>
      <c r="BY19" s="10">
        <v>9</v>
      </c>
      <c r="BZ19" s="8" t="str">
        <f t="shared" ref="BZ19:BZ24" si="185">+BW19</f>
        <v>W2</v>
      </c>
      <c r="CA19" s="9">
        <f t="shared" ref="CA19" si="186">+BX19</f>
        <v>153000</v>
      </c>
      <c r="CB19" s="10">
        <f t="shared" ref="CB19:CB24" si="187">+BY19</f>
        <v>9</v>
      </c>
      <c r="CC19" s="8" t="str">
        <f t="shared" ref="CC19:CC24" si="188">+BZ19</f>
        <v>W2</v>
      </c>
      <c r="CD19" s="9">
        <f t="shared" ref="CD19:CD24" si="189">+CA19</f>
        <v>153000</v>
      </c>
      <c r="CE19" s="10">
        <f t="shared" ref="CE19:CE24" si="190">+CB19</f>
        <v>9</v>
      </c>
      <c r="CF19" s="8" t="str">
        <f t="shared" ref="CF19:CF24" si="191">+CC19</f>
        <v>W2</v>
      </c>
      <c r="CG19" s="9">
        <f t="shared" ref="CG19:CG24" si="192">+CD19</f>
        <v>153000</v>
      </c>
      <c r="CH19" s="10">
        <f t="shared" ref="CH19:CH24" si="193">+CE19</f>
        <v>9</v>
      </c>
      <c r="CI19" s="8" t="str">
        <f t="shared" ref="CI19:CI24" si="194">+CF19</f>
        <v>W2</v>
      </c>
      <c r="CJ19" s="9">
        <f t="shared" ref="CJ19:CJ24" si="195">+CG19</f>
        <v>153000</v>
      </c>
      <c r="CK19" s="10">
        <f t="shared" ref="CK19:CK24" si="196">+CH19</f>
        <v>9</v>
      </c>
      <c r="CL19" s="8" t="str">
        <f t="shared" ref="CL19:CL24" si="197">+CI19</f>
        <v>W2</v>
      </c>
      <c r="CM19" s="9">
        <f t="shared" ref="CM19:CM24" si="198">+CJ19</f>
        <v>153000</v>
      </c>
      <c r="CN19" s="10">
        <f t="shared" ref="CN19:CN24" si="199">+CK19</f>
        <v>9</v>
      </c>
      <c r="CO19" s="8" t="s">
        <v>74</v>
      </c>
      <c r="CP19" s="9">
        <f t="shared" ref="CP19:CP24" si="200">+CM19</f>
        <v>153000</v>
      </c>
      <c r="CQ19" s="10">
        <f t="shared" ref="CQ19:CQ24" si="201">+CN19</f>
        <v>9</v>
      </c>
      <c r="CR19" s="8" t="str">
        <f t="shared" ref="CR19:CR24" si="202">+CO19</f>
        <v>W3</v>
      </c>
      <c r="CS19" s="9">
        <f t="shared" ref="CS19:CS24" si="203">+CP19</f>
        <v>153000</v>
      </c>
      <c r="CT19" s="10">
        <f t="shared" ref="CT19:CT24" si="204">+CQ19</f>
        <v>9</v>
      </c>
      <c r="CU19" s="8" t="str">
        <f t="shared" ref="CU19:CU24" si="205">+CR19</f>
        <v>W3</v>
      </c>
      <c r="CV19" s="9">
        <f t="shared" ref="CV19:CV24" si="206">+CS19</f>
        <v>153000</v>
      </c>
      <c r="CW19" s="10">
        <f t="shared" ref="CW19:CW24" si="207">+CT19</f>
        <v>9</v>
      </c>
      <c r="CX19" s="8" t="str">
        <f t="shared" ref="CX19:CX24" si="208">+CU19</f>
        <v>W3</v>
      </c>
      <c r="CY19" s="9">
        <f t="shared" ref="CY19:CY24" si="209">+CV19</f>
        <v>153000</v>
      </c>
      <c r="CZ19" s="10">
        <f t="shared" ref="CZ19:CZ24" si="210">+CW19</f>
        <v>9</v>
      </c>
      <c r="DA19" s="8" t="str">
        <f t="shared" ref="DA19:DA24" si="211">+CX19</f>
        <v>W3</v>
      </c>
      <c r="DB19" s="9">
        <f t="shared" ref="DB19:DB24" si="212">+CY19</f>
        <v>153000</v>
      </c>
      <c r="DC19" s="10">
        <f t="shared" ref="DC19:DC24" si="213">+CZ19</f>
        <v>9</v>
      </c>
      <c r="DD19" s="8" t="str">
        <f t="shared" ref="DD19:DD24" si="214">+DA19</f>
        <v>W3</v>
      </c>
      <c r="DE19" s="9">
        <f t="shared" ref="DE19:DE24" si="215">+DB19</f>
        <v>153000</v>
      </c>
      <c r="DF19" s="10">
        <f t="shared" ref="DF19:DF24" si="216">+DC19</f>
        <v>9</v>
      </c>
      <c r="DG19" s="8" t="str">
        <f t="shared" ref="DG19:DG24" si="217">+DD19</f>
        <v>W3</v>
      </c>
      <c r="DH19" s="9">
        <f t="shared" ref="DH19:DH24" si="218">+DE19</f>
        <v>153000</v>
      </c>
      <c r="DI19" s="10">
        <f t="shared" ref="DI19:DI24" si="219">+DF19</f>
        <v>9</v>
      </c>
      <c r="DK19" s="8">
        <f>IFERROR(ROUNDUP(+B19/$AQ19,0),0)</f>
        <v>16</v>
      </c>
      <c r="DL19" s="67">
        <f>IFERROR(ROUNDUP(+C19/$AT19,0),0)</f>
        <v>11</v>
      </c>
      <c r="DM19" s="67">
        <f>IFERROR(ROUNDUP(+D19/$AW19,0),0)</f>
        <v>18</v>
      </c>
      <c r="DN19" s="67">
        <f>IFERROR(ROUNDUP(+E19/$AZ19,0),0)</f>
        <v>2</v>
      </c>
      <c r="DO19" s="67">
        <f>IFERROR(ROUNDUP(+F19/$BC19,0),0)</f>
        <v>1</v>
      </c>
      <c r="DP19" s="67">
        <f>IFERROR(ROUNDUP(+G19/$BF19,0),0)</f>
        <v>0</v>
      </c>
      <c r="DQ19" s="9">
        <f>IFERROR(ROUNDUP(+$H19/$BI19,0),0)</f>
        <v>0</v>
      </c>
      <c r="DR19" s="9">
        <f>IFERROR(ROUNDUP(+I19/$BL19,0),0)</f>
        <v>0</v>
      </c>
      <c r="DS19" s="9">
        <f>IFERROR(ROUNDUP(J19/BO19,0),0)</f>
        <v>0</v>
      </c>
      <c r="DT19" s="9">
        <f>IFERROR(ROUNDUP(+K19/BR19,0),0)</f>
        <v>0</v>
      </c>
      <c r="DU19" s="9">
        <f>IFERROR(ROUNDUP(+N19/BU19,0),0)</f>
        <v>0</v>
      </c>
      <c r="DV19" s="10">
        <f>IFERROR(ROUNDUP(+R19/BX19,0),0)</f>
        <v>0</v>
      </c>
      <c r="DW19" s="9">
        <f>IFERROR(ROUNDUP(+V19/CA19,0),0)</f>
        <v>0</v>
      </c>
      <c r="DX19" s="9">
        <f>IFERROR(ROUNDUP(+Y19/CD19,0),0)</f>
        <v>0</v>
      </c>
      <c r="DY19" s="9">
        <f>IFERROR(ROUNDUP(+AE19/CG19,0),0)</f>
        <v>0</v>
      </c>
      <c r="DZ19" s="9">
        <f>IFERROR(ROUNDUP(+AF19/CJ19,0),0)</f>
        <v>0</v>
      </c>
      <c r="EA19" s="9">
        <f>IFERROR(ROUNDUP(+AG19/CM19,0),0)</f>
        <v>0</v>
      </c>
      <c r="EB19" s="9">
        <f>IFERROR(ROUNDUP(+AH19/CP19,0),0)</f>
        <v>0</v>
      </c>
      <c r="EC19" s="9">
        <f>IFERROR(ROUNDUP(+AI19/CS19,0),0)</f>
        <v>2</v>
      </c>
      <c r="ED19" s="9">
        <f>IFERROR(ROUNDUP(+AJ19/CV19,0),0)</f>
        <v>2</v>
      </c>
      <c r="EE19" s="9">
        <f>IFERROR(ROUNDUP(+AK19/CY19,0),0)</f>
        <v>2</v>
      </c>
      <c r="EF19" s="9">
        <f>IFERROR(ROUNDUP(+AL19/DB19,0),0)</f>
        <v>3</v>
      </c>
      <c r="EG19" s="9">
        <f>IFERROR(ROUNDUP(+AM19/DE19,0),0)</f>
        <v>3</v>
      </c>
      <c r="EH19" s="9">
        <f>IFERROR(ROUNDUP(+AN19/DH19,0),0)</f>
        <v>3</v>
      </c>
      <c r="EJ19" s="8">
        <f t="shared" ref="EJ19:EJ24" si="220">$AR19*DK19</f>
        <v>144</v>
      </c>
      <c r="EK19" s="9">
        <f t="shared" ref="EK19:EK24" si="221">$AU19*DL19</f>
        <v>132</v>
      </c>
      <c r="EL19" s="9">
        <f t="shared" ref="EL19:EL24" si="222">$AX19*DM19</f>
        <v>162</v>
      </c>
      <c r="EM19" s="9">
        <f t="shared" ref="EM19:EM24" si="223">$BA19*DN19</f>
        <v>18</v>
      </c>
      <c r="EN19" s="9">
        <f t="shared" ref="EN19:EN24" si="224">$BD19*DO19</f>
        <v>6</v>
      </c>
      <c r="EO19" s="9">
        <f t="shared" ref="EO19:EO24" si="225">$BG19*DP19</f>
        <v>0</v>
      </c>
      <c r="EP19" s="9">
        <f>BJ19*DQ19</f>
        <v>0</v>
      </c>
      <c r="EQ19" s="9">
        <f>+BM19*DR19</f>
        <v>0</v>
      </c>
      <c r="ER19" s="9">
        <f>BP19*DS19</f>
        <v>0</v>
      </c>
      <c r="ES19" s="9">
        <f t="shared" ref="ES19:ES24" si="226">+BS19*DT19</f>
        <v>0</v>
      </c>
      <c r="ET19" s="9">
        <f>+BV19*DU19</f>
        <v>0</v>
      </c>
      <c r="EU19" s="10">
        <f>+BY19*DV19</f>
        <v>0</v>
      </c>
      <c r="EV19" s="9">
        <f>+CB19*DW19</f>
        <v>0</v>
      </c>
      <c r="EW19" s="9">
        <f>+CE19*DX19</f>
        <v>0</v>
      </c>
      <c r="EX19" s="9">
        <f>+CH19*DY19</f>
        <v>0</v>
      </c>
      <c r="EY19" s="9">
        <f>+CK19*DZ19</f>
        <v>0</v>
      </c>
      <c r="EZ19" s="9">
        <f>+CN19*EA19</f>
        <v>0</v>
      </c>
      <c r="FA19" s="9">
        <f>+CQ19*EB19</f>
        <v>0</v>
      </c>
      <c r="FB19" s="9">
        <f>+CT19*EC19</f>
        <v>18</v>
      </c>
      <c r="FC19" s="9">
        <f>+CW19*ED19</f>
        <v>18</v>
      </c>
      <c r="FD19" s="9">
        <f t="shared" ref="FD19:FD24" si="227">+CZ19*EE19</f>
        <v>18</v>
      </c>
      <c r="FE19" s="9">
        <f t="shared" ref="FE19:FE24" si="228">+DC19*EF19</f>
        <v>27</v>
      </c>
      <c r="FF19" s="9">
        <f t="shared" ref="FF19:FF24" si="229">+DF19*EG19</f>
        <v>27</v>
      </c>
      <c r="FG19" s="9">
        <f t="shared" ref="FG19:FG24" si="230">+DI19*EH19</f>
        <v>27</v>
      </c>
      <c r="FO19" t="str">
        <f t="shared" si="86"/>
        <v>USDA ChickenW2</v>
      </c>
      <c r="FP19" t="str">
        <f t="shared" si="87"/>
        <v>USDA ChickenW2</v>
      </c>
      <c r="FQ19" t="str">
        <f t="shared" si="88"/>
        <v>USDA ChickenW2</v>
      </c>
      <c r="FR19">
        <v>220133</v>
      </c>
    </row>
    <row r="20" spans="1:174" outlineLevel="1" x14ac:dyDescent="0.25">
      <c r="A20" s="28" t="s">
        <v>12</v>
      </c>
      <c r="B20" s="9">
        <f>SUMIF(Prophix!$Q:$Q,'Fds Units'!$A20,Prophix!D:D)</f>
        <v>333144</v>
      </c>
      <c r="C20" s="9">
        <f>SUMIF(Prophix!$Q:$Q,'Fds Units'!$A20,Prophix!E:E)</f>
        <v>742752</v>
      </c>
      <c r="D20" s="9">
        <f>SUMIF(Prophix!$Q:$Q,'Fds Units'!$A20,Prophix!F:F)</f>
        <v>395856</v>
      </c>
      <c r="E20" s="9">
        <f>SUMIF(Prophix!$Q:$Q,'Fds Units'!$A20,Prophix!G:G)</f>
        <v>613416</v>
      </c>
      <c r="F20" s="9">
        <f>SUMIF(Prophix!$Q:$Q,'Fds Units'!$A20,Prophix!H:H)</f>
        <v>0</v>
      </c>
      <c r="G20" s="9">
        <f>SUMIF(Prophix!$Q:$Q,'Fds Units'!$A20,Prophix!I:I)</f>
        <v>882648</v>
      </c>
      <c r="H20" s="9">
        <f>SUMIF(Prophix!$Q:$Q,'Fds Units'!$A20,Prophix!J:J)</f>
        <v>0</v>
      </c>
      <c r="I20" s="9">
        <f>SUMIF(Prophix!$Q:$Q,'Fds Units'!$A20,Prophix!K:K)</f>
        <v>0</v>
      </c>
      <c r="J20" s="9">
        <f>SUMIF(Prophix!$Q:$Q,'Fds Units'!$A20,Prophix!L:L)</f>
        <v>0</v>
      </c>
      <c r="K20" s="9">
        <f>SUMIF(Prophix!$Q:$Q,'Fds Units'!$A20,Prophix!M:M)-K21</f>
        <v>401421</v>
      </c>
      <c r="L20" s="92">
        <v>669768</v>
      </c>
      <c r="M20" s="133">
        <f>-SUM('[2]Fds Pivot'!$D$188:$F$188)</f>
        <v>437952</v>
      </c>
      <c r="N20" s="92">
        <v>716520</v>
      </c>
      <c r="O20" s="92">
        <f>L20-N20</f>
        <v>-46752</v>
      </c>
      <c r="P20" s="142">
        <v>0</v>
      </c>
      <c r="Q20" s="133">
        <f>R20</f>
        <v>19200</v>
      </c>
      <c r="R20" s="92">
        <v>19200</v>
      </c>
      <c r="S20" s="92">
        <v>40104</v>
      </c>
      <c r="T20" s="186">
        <f>S20-R20</f>
        <v>20904</v>
      </c>
      <c r="U20" s="176">
        <v>879960</v>
      </c>
      <c r="V20" s="176">
        <v>1028784</v>
      </c>
      <c r="W20" s="168">
        <v>408000</v>
      </c>
      <c r="X20" s="9">
        <v>837823</v>
      </c>
      <c r="Y20" s="249">
        <v>568800</v>
      </c>
      <c r="Z20" s="117">
        <v>1399200</v>
      </c>
      <c r="AA20" s="117">
        <v>605400</v>
      </c>
      <c r="AB20" s="242">
        <f t="shared" si="183"/>
        <v>-793800</v>
      </c>
      <c r="AC20" s="241">
        <v>510000</v>
      </c>
      <c r="AD20" s="165">
        <v>408000</v>
      </c>
      <c r="AE20" s="242">
        <v>408000</v>
      </c>
      <c r="AF20" s="66">
        <f>840000*$AO$18</f>
        <v>420000</v>
      </c>
      <c r="AG20" s="66">
        <f t="shared" ref="AG20:AN20" si="231">840000*$AO$18</f>
        <v>420000</v>
      </c>
      <c r="AH20" s="66">
        <f t="shared" si="231"/>
        <v>420000</v>
      </c>
      <c r="AI20" s="66">
        <f t="shared" si="231"/>
        <v>420000</v>
      </c>
      <c r="AJ20" s="66">
        <f t="shared" si="231"/>
        <v>420000</v>
      </c>
      <c r="AK20" s="66">
        <f t="shared" si="231"/>
        <v>420000</v>
      </c>
      <c r="AL20" s="66">
        <f t="shared" si="231"/>
        <v>420000</v>
      </c>
      <c r="AM20" s="66">
        <f t="shared" si="231"/>
        <v>420000</v>
      </c>
      <c r="AN20" s="66">
        <f t="shared" si="231"/>
        <v>420000</v>
      </c>
      <c r="AO20" s="59"/>
      <c r="AP20" s="8" t="s">
        <v>607</v>
      </c>
      <c r="AQ20" s="9">
        <v>170000</v>
      </c>
      <c r="AR20" s="10">
        <v>14</v>
      </c>
      <c r="AS20" s="8" t="s">
        <v>607</v>
      </c>
      <c r="AT20" s="9">
        <v>115000</v>
      </c>
      <c r="AU20" s="10">
        <v>12</v>
      </c>
      <c r="AV20" s="8" t="s">
        <v>607</v>
      </c>
      <c r="AW20" s="9">
        <v>100000</v>
      </c>
      <c r="AX20" s="10">
        <v>12</v>
      </c>
      <c r="AY20" s="8" t="s">
        <v>607</v>
      </c>
      <c r="AZ20" s="9">
        <f>+E20/6</f>
        <v>102236</v>
      </c>
      <c r="BA20" s="10">
        <v>12</v>
      </c>
      <c r="BB20" s="8" t="s">
        <v>78</v>
      </c>
      <c r="BC20" s="9">
        <v>100000</v>
      </c>
      <c r="BD20" s="10">
        <v>12</v>
      </c>
      <c r="BE20" s="8" t="s">
        <v>607</v>
      </c>
      <c r="BF20" s="84">
        <f>+G20/9</f>
        <v>98072</v>
      </c>
      <c r="BG20" s="10">
        <v>12</v>
      </c>
      <c r="BH20" s="8" t="s">
        <v>78</v>
      </c>
      <c r="BI20" s="9">
        <v>100000</v>
      </c>
      <c r="BJ20" s="10">
        <v>12</v>
      </c>
      <c r="BK20" s="8" t="s">
        <v>78</v>
      </c>
      <c r="BL20" s="9">
        <v>100000</v>
      </c>
      <c r="BM20" s="10">
        <v>12</v>
      </c>
      <c r="BN20" s="8" t="s">
        <v>78</v>
      </c>
      <c r="BO20" s="9">
        <v>100000</v>
      </c>
      <c r="BP20" s="10">
        <v>12</v>
      </c>
      <c r="BQ20" s="8" t="s">
        <v>78</v>
      </c>
      <c r="BR20" s="9">
        <v>105000</v>
      </c>
      <c r="BS20" s="10">
        <v>12</v>
      </c>
      <c r="BT20" s="8" t="s">
        <v>78</v>
      </c>
      <c r="BU20" s="9">
        <v>105000</v>
      </c>
      <c r="BV20" s="10">
        <v>12</v>
      </c>
      <c r="BW20" s="8" t="s">
        <v>74</v>
      </c>
      <c r="BX20" s="9">
        <v>115000</v>
      </c>
      <c r="BY20" s="10">
        <v>15</v>
      </c>
      <c r="BZ20" s="8" t="str">
        <f t="shared" si="185"/>
        <v>W3</v>
      </c>
      <c r="CA20" s="9">
        <v>102000</v>
      </c>
      <c r="CB20" s="10">
        <f t="shared" si="187"/>
        <v>15</v>
      </c>
      <c r="CC20" s="8" t="str">
        <f t="shared" si="188"/>
        <v>W3</v>
      </c>
      <c r="CD20" s="9">
        <f t="shared" si="189"/>
        <v>102000</v>
      </c>
      <c r="CE20" s="10">
        <f t="shared" si="190"/>
        <v>15</v>
      </c>
      <c r="CF20" s="8" t="str">
        <f t="shared" si="191"/>
        <v>W3</v>
      </c>
      <c r="CG20" s="9">
        <f t="shared" si="192"/>
        <v>102000</v>
      </c>
      <c r="CH20" s="10">
        <f t="shared" si="193"/>
        <v>15</v>
      </c>
      <c r="CI20" s="8" t="str">
        <f t="shared" si="194"/>
        <v>W3</v>
      </c>
      <c r="CJ20" s="9">
        <f t="shared" si="195"/>
        <v>102000</v>
      </c>
      <c r="CK20" s="10">
        <f t="shared" si="196"/>
        <v>15</v>
      </c>
      <c r="CL20" s="8" t="str">
        <f t="shared" si="197"/>
        <v>W3</v>
      </c>
      <c r="CM20" s="9">
        <f t="shared" si="198"/>
        <v>102000</v>
      </c>
      <c r="CN20" s="10">
        <f t="shared" si="199"/>
        <v>15</v>
      </c>
      <c r="CO20" s="8" t="str">
        <f t="shared" ref="CO20:CO24" si="232">+CL20</f>
        <v>W3</v>
      </c>
      <c r="CP20" s="9">
        <f t="shared" si="200"/>
        <v>102000</v>
      </c>
      <c r="CQ20" s="10">
        <f t="shared" si="201"/>
        <v>15</v>
      </c>
      <c r="CR20" s="8" t="str">
        <f t="shared" si="202"/>
        <v>W3</v>
      </c>
      <c r="CS20" s="9">
        <f t="shared" si="203"/>
        <v>102000</v>
      </c>
      <c r="CT20" s="10">
        <f t="shared" si="204"/>
        <v>15</v>
      </c>
      <c r="CU20" s="8" t="str">
        <f t="shared" si="205"/>
        <v>W3</v>
      </c>
      <c r="CV20" s="9">
        <f t="shared" si="206"/>
        <v>102000</v>
      </c>
      <c r="CW20" s="10">
        <f t="shared" si="207"/>
        <v>15</v>
      </c>
      <c r="CX20" s="8" t="str">
        <f t="shared" si="208"/>
        <v>W3</v>
      </c>
      <c r="CY20" s="9">
        <f t="shared" si="209"/>
        <v>102000</v>
      </c>
      <c r="CZ20" s="10">
        <f t="shared" si="210"/>
        <v>15</v>
      </c>
      <c r="DA20" s="8" t="str">
        <f t="shared" si="211"/>
        <v>W3</v>
      </c>
      <c r="DB20" s="9">
        <f t="shared" si="212"/>
        <v>102000</v>
      </c>
      <c r="DC20" s="10">
        <f t="shared" si="213"/>
        <v>15</v>
      </c>
      <c r="DD20" s="8" t="str">
        <f t="shared" si="214"/>
        <v>W3</v>
      </c>
      <c r="DE20" s="9">
        <f t="shared" si="215"/>
        <v>102000</v>
      </c>
      <c r="DF20" s="10">
        <f t="shared" si="216"/>
        <v>15</v>
      </c>
      <c r="DG20" s="8" t="str">
        <f t="shared" si="217"/>
        <v>W3</v>
      </c>
      <c r="DH20" s="9">
        <f t="shared" si="218"/>
        <v>102000</v>
      </c>
      <c r="DI20" s="10">
        <f t="shared" si="219"/>
        <v>15</v>
      </c>
      <c r="DK20" s="8">
        <f>IFERROR(ROUNDUP(+B20/$AQ20,0),0)</f>
        <v>2</v>
      </c>
      <c r="DL20" s="9">
        <f>IFERROR(ROUNDUP(+C20/$AT20,0),0)</f>
        <v>7</v>
      </c>
      <c r="DM20" s="9">
        <f>IFERROR(ROUNDUP(+D20/$AW20,0),0)</f>
        <v>4</v>
      </c>
      <c r="DN20" s="9">
        <f>IFERROR(ROUNDUP(+E20/$AZ20,0),0)</f>
        <v>6</v>
      </c>
      <c r="DO20" s="9">
        <f>IFERROR(ROUNDUP(+F20/$BC20,0),0)</f>
        <v>0</v>
      </c>
      <c r="DP20" s="9">
        <f>IFERROR(ROUNDUP(+G20/$BF20,0),0)</f>
        <v>9</v>
      </c>
      <c r="DQ20" s="9">
        <f>IFERROR(ROUNDUP(+$H20/$BI20,0),0)</f>
        <v>0</v>
      </c>
      <c r="DR20" s="9">
        <f>IFERROR(ROUNDUP(+I20/$BL20,0),0)</f>
        <v>0</v>
      </c>
      <c r="DS20" s="9">
        <f>IFERROR(ROUNDUP(J20/BO20,0),0)</f>
        <v>0</v>
      </c>
      <c r="DT20" s="9">
        <v>12</v>
      </c>
      <c r="DU20" s="9">
        <v>7</v>
      </c>
      <c r="DV20" s="10">
        <f>IFERROR(ROUNDUP(+R20/BX20,0),0)</f>
        <v>1</v>
      </c>
      <c r="DW20" s="9">
        <f>IFERROR(ROUNDUP(+V20/CA20,0),0)</f>
        <v>11</v>
      </c>
      <c r="DX20" s="9">
        <f>IFERROR(ROUNDUP(+Y20/CD20,0),0)</f>
        <v>6</v>
      </c>
      <c r="DY20" s="9">
        <f>IFERROR(ROUNDUP(+AE20/CG20,0),0)</f>
        <v>4</v>
      </c>
      <c r="DZ20" s="9">
        <f>IFERROR(ROUNDUP(+AF20/CJ20,0),0)</f>
        <v>5</v>
      </c>
      <c r="EA20" s="9">
        <f>IFERROR(ROUNDUP(+AG20/CM20,0),0)</f>
        <v>5</v>
      </c>
      <c r="EB20" s="9">
        <f>IFERROR(ROUNDUP(+AH20/CP20,0),0)</f>
        <v>5</v>
      </c>
      <c r="EC20" s="9">
        <f>IFERROR(ROUNDUP(+AI20/CS20,0),0)</f>
        <v>5</v>
      </c>
      <c r="ED20" s="9">
        <f>IFERROR(ROUNDUP(+AJ20/CV20,0),0)</f>
        <v>5</v>
      </c>
      <c r="EE20" s="9">
        <f>IFERROR(ROUNDUP(+AK20/CY20,0),0)</f>
        <v>5</v>
      </c>
      <c r="EF20" s="9">
        <f>IFERROR(ROUNDUP(+AL20/DB20,0),0)</f>
        <v>5</v>
      </c>
      <c r="EG20" s="9">
        <f>IFERROR(ROUNDUP(+AM20/DE20,0),0)</f>
        <v>5</v>
      </c>
      <c r="EH20" s="9">
        <f>IFERROR(ROUNDUP(+AN20/DH20,0),0)</f>
        <v>5</v>
      </c>
      <c r="EJ20" s="8">
        <f t="shared" si="220"/>
        <v>28</v>
      </c>
      <c r="EK20" s="9">
        <f t="shared" si="221"/>
        <v>84</v>
      </c>
      <c r="EL20" s="9">
        <f t="shared" si="222"/>
        <v>48</v>
      </c>
      <c r="EM20" s="9">
        <f t="shared" si="223"/>
        <v>72</v>
      </c>
      <c r="EN20" s="9">
        <f t="shared" si="224"/>
        <v>0</v>
      </c>
      <c r="EO20" s="9">
        <f t="shared" si="225"/>
        <v>108</v>
      </c>
      <c r="EP20" s="9">
        <f>BJ20*DQ20</f>
        <v>0</v>
      </c>
      <c r="EQ20" s="9">
        <f>+BM20*DR20</f>
        <v>0</v>
      </c>
      <c r="ER20" s="9">
        <f>BP20*DS20</f>
        <v>0</v>
      </c>
      <c r="ES20" s="9">
        <f t="shared" si="226"/>
        <v>144</v>
      </c>
      <c r="ET20" s="9">
        <f>+BV20*DU20</f>
        <v>84</v>
      </c>
      <c r="EU20" s="10">
        <f>+BY20*DV20</f>
        <v>15</v>
      </c>
      <c r="EV20" s="9">
        <f>+CB20*DW20</f>
        <v>165</v>
      </c>
      <c r="EW20" s="9">
        <f>+CE20*DX20</f>
        <v>90</v>
      </c>
      <c r="EX20" s="9">
        <f>+CH20*DY20</f>
        <v>60</v>
      </c>
      <c r="EY20" s="9">
        <f>+CK20*DZ20</f>
        <v>75</v>
      </c>
      <c r="EZ20" s="9">
        <f>+CN20*EA20</f>
        <v>75</v>
      </c>
      <c r="FA20" s="9">
        <f>+CQ20*EB20</f>
        <v>75</v>
      </c>
      <c r="FB20" s="9">
        <f>+CT20*EC20</f>
        <v>75</v>
      </c>
      <c r="FC20" s="9">
        <f>+CW20*ED20</f>
        <v>75</v>
      </c>
      <c r="FD20" s="9">
        <f t="shared" si="227"/>
        <v>75</v>
      </c>
      <c r="FE20" s="9">
        <f t="shared" si="228"/>
        <v>75</v>
      </c>
      <c r="FF20" s="9">
        <f t="shared" si="229"/>
        <v>75</v>
      </c>
      <c r="FG20" s="9">
        <f t="shared" si="230"/>
        <v>75</v>
      </c>
      <c r="FI20" s="59"/>
      <c r="FO20" t="str">
        <f t="shared" si="86"/>
        <v>USDA Beef StewY4S/Y5</v>
      </c>
      <c r="FP20" t="str">
        <f t="shared" si="87"/>
        <v>USDA Beef StewY4S/Y5</v>
      </c>
      <c r="FQ20" t="str">
        <f t="shared" si="88"/>
        <v>USDA Beef StewW3</v>
      </c>
      <c r="FR20" t="s">
        <v>104</v>
      </c>
    </row>
    <row r="21" spans="1:174" outlineLevel="1" x14ac:dyDescent="0.25">
      <c r="A21" s="28" t="s">
        <v>12</v>
      </c>
      <c r="B21" s="9"/>
      <c r="C21" s="9"/>
      <c r="D21" s="9"/>
      <c r="E21" s="9"/>
      <c r="F21" s="9"/>
      <c r="G21" s="9"/>
      <c r="H21" s="9"/>
      <c r="I21" s="9"/>
      <c r="J21" s="9"/>
      <c r="K21" s="9">
        <v>351483</v>
      </c>
      <c r="L21" s="92"/>
      <c r="M21" s="133"/>
      <c r="N21" s="92"/>
      <c r="O21" s="92">
        <f>L21-N21</f>
        <v>0</v>
      </c>
      <c r="P21" s="142">
        <v>0</v>
      </c>
      <c r="Q21" s="133"/>
      <c r="R21" s="92"/>
      <c r="S21" s="92"/>
      <c r="T21" s="186"/>
      <c r="U21" s="176"/>
      <c r="V21" s="176"/>
      <c r="W21" s="168"/>
      <c r="X21" s="9">
        <f>V21-W21</f>
        <v>0</v>
      </c>
      <c r="Y21" s="249"/>
      <c r="Z21" s="117"/>
      <c r="AA21" s="117"/>
      <c r="AB21" s="242">
        <f t="shared" si="183"/>
        <v>0</v>
      </c>
      <c r="AC21" s="241">
        <v>0</v>
      </c>
      <c r="AD21" s="165">
        <v>0</v>
      </c>
      <c r="AE21" s="242">
        <v>0</v>
      </c>
      <c r="AF21" s="66"/>
      <c r="AG21" s="66"/>
      <c r="AH21" s="66"/>
      <c r="AI21" s="66"/>
      <c r="AJ21" s="66"/>
      <c r="AK21" s="66"/>
      <c r="AL21" s="66"/>
      <c r="AM21" s="66"/>
      <c r="AN21" s="66"/>
      <c r="AO21" s="59"/>
      <c r="AP21" s="8"/>
      <c r="AQ21" s="9"/>
      <c r="AR21" s="10"/>
      <c r="AS21" s="8"/>
      <c r="AT21" s="9"/>
      <c r="AU21" s="10"/>
      <c r="AV21" s="8"/>
      <c r="AW21" s="9"/>
      <c r="AX21" s="10"/>
      <c r="AY21" s="8"/>
      <c r="AZ21" s="9"/>
      <c r="BA21" s="10"/>
      <c r="BB21" s="8"/>
      <c r="BC21" s="9"/>
      <c r="BD21" s="10"/>
      <c r="BE21" s="8"/>
      <c r="BF21" s="84"/>
      <c r="BG21" s="10"/>
      <c r="BH21" s="8"/>
      <c r="BI21" s="9"/>
      <c r="BJ21" s="10"/>
      <c r="BK21" s="8"/>
      <c r="BL21" s="9"/>
      <c r="BM21" s="10"/>
      <c r="BN21" s="8"/>
      <c r="BO21" s="9"/>
      <c r="BP21" s="10"/>
      <c r="BQ21" s="8" t="s">
        <v>620</v>
      </c>
      <c r="BR21" s="9">
        <v>105000</v>
      </c>
      <c r="BS21" s="10">
        <v>12</v>
      </c>
      <c r="BT21" s="8"/>
      <c r="BU21" s="9"/>
      <c r="BV21" s="10"/>
      <c r="BW21" s="8"/>
      <c r="BX21" s="9"/>
      <c r="BY21" s="10"/>
      <c r="BZ21" s="8"/>
      <c r="CA21" s="9"/>
      <c r="CB21" s="10"/>
      <c r="CC21" s="8"/>
      <c r="CD21" s="9"/>
      <c r="CE21" s="10"/>
      <c r="CF21" s="8"/>
      <c r="CG21" s="9"/>
      <c r="CH21" s="10"/>
      <c r="CI21" s="8"/>
      <c r="CJ21" s="9"/>
      <c r="CK21" s="10"/>
      <c r="CL21" s="8"/>
      <c r="CM21" s="9"/>
      <c r="CN21" s="10"/>
      <c r="CO21" s="8"/>
      <c r="CP21" s="9"/>
      <c r="CQ21" s="10"/>
      <c r="CR21" s="8"/>
      <c r="CS21" s="9"/>
      <c r="CT21" s="10"/>
      <c r="CU21" s="8"/>
      <c r="CV21" s="9"/>
      <c r="CW21" s="10"/>
      <c r="CX21" s="8"/>
      <c r="CY21" s="9"/>
      <c r="CZ21" s="10"/>
      <c r="DA21" s="8"/>
      <c r="DB21" s="9"/>
      <c r="DC21" s="10"/>
      <c r="DD21" s="8"/>
      <c r="DE21" s="9"/>
      <c r="DF21" s="10"/>
      <c r="DG21" s="8"/>
      <c r="DH21" s="9"/>
      <c r="DI21" s="10"/>
      <c r="DK21" s="8"/>
      <c r="DL21" s="9"/>
      <c r="DM21" s="9"/>
      <c r="DN21" s="9"/>
      <c r="DO21" s="9"/>
      <c r="DP21" s="9"/>
      <c r="DQ21" s="9"/>
      <c r="DR21" s="9"/>
      <c r="DS21" s="9"/>
      <c r="DT21" s="9">
        <f>IFERROR(ROUNDUP(+K21/BR21,0),0)+4</f>
        <v>8</v>
      </c>
      <c r="DU21" s="9"/>
      <c r="DV21" s="10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J21" s="8"/>
      <c r="EK21" s="9"/>
      <c r="EL21" s="9"/>
      <c r="EM21" s="9"/>
      <c r="EN21" s="9"/>
      <c r="EO21" s="9"/>
      <c r="EP21" s="9"/>
      <c r="EQ21" s="9"/>
      <c r="ER21" s="9"/>
      <c r="ES21" s="9">
        <f t="shared" si="226"/>
        <v>96</v>
      </c>
      <c r="ET21" s="9"/>
      <c r="EU21" s="10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I21" s="59"/>
      <c r="FO21" t="str">
        <f t="shared" si="86"/>
        <v>USDA Beef StewY3NS</v>
      </c>
      <c r="FQ21" t="str">
        <f t="shared" si="88"/>
        <v>USDA Beef Stew</v>
      </c>
    </row>
    <row r="22" spans="1:174" outlineLevel="1" x14ac:dyDescent="0.25">
      <c r="A22" s="28" t="s">
        <v>13</v>
      </c>
      <c r="B22" s="9">
        <f>SUMIF(Prophix!$Q:$Q,'Fds Units'!$A22,Prophix!D:D)</f>
        <v>0</v>
      </c>
      <c r="C22" s="9">
        <f>SUMIF(Prophix!$Q:$Q,'Fds Units'!$A22,Prophix!E:E)</f>
        <v>0</v>
      </c>
      <c r="D22" s="9">
        <f>SUMIF(Prophix!$Q:$Q,'Fds Units'!$A22,Prophix!F:F)</f>
        <v>0</v>
      </c>
      <c r="E22" s="9">
        <f>SUMIF(Prophix!$Q:$Q,'Fds Units'!$A22,Prophix!G:G)</f>
        <v>0</v>
      </c>
      <c r="F22" s="9">
        <f>SUMIF(Prophix!$Q:$Q,'Fds Units'!$A22,Prophix!H:H)</f>
        <v>0</v>
      </c>
      <c r="G22" s="9">
        <f>SUMIF(Prophix!$Q:$Q,'Fds Units'!$A22,Prophix!I:I)</f>
        <v>275460</v>
      </c>
      <c r="H22" s="9">
        <f>SUMIF(Prophix!$Q:$Q,'Fds Units'!$A22,Prophix!J:J)</f>
        <v>0</v>
      </c>
      <c r="I22" s="9">
        <f>SUMIF(Prophix!$Q:$Q,'Fds Units'!$A22,Prophix!K:K)</f>
        <v>0</v>
      </c>
      <c r="J22" s="9">
        <f>SUMIF(Prophix!$Q:$Q,'Fds Units'!$A22,Prophix!L:L)</f>
        <v>0</v>
      </c>
      <c r="K22" s="9">
        <f>SUMIF(Prophix!$Q:$Q,'Fds Units'!$A22,Prophix!M:M)-K23</f>
        <v>102897</v>
      </c>
      <c r="L22" s="92">
        <v>279936</v>
      </c>
      <c r="M22" s="133">
        <f>-SUM('[2]Fds Pivot'!$D$189:$F$189)</f>
        <v>54973</v>
      </c>
      <c r="N22" s="92">
        <v>279240</v>
      </c>
      <c r="O22" s="92">
        <f>L22-N22</f>
        <v>696</v>
      </c>
      <c r="P22" s="142">
        <v>0</v>
      </c>
      <c r="Q22" s="133">
        <v>0</v>
      </c>
      <c r="R22" s="92"/>
      <c r="S22" s="92"/>
      <c r="T22" s="186">
        <f t="shared" ref="T22:T24" si="233">+R22-Q22</f>
        <v>0</v>
      </c>
      <c r="U22" s="176">
        <v>299988</v>
      </c>
      <c r="V22" s="176">
        <v>299988</v>
      </c>
      <c r="W22" s="168">
        <v>252000</v>
      </c>
      <c r="X22" s="9">
        <v>164948</v>
      </c>
      <c r="Y22" s="249"/>
      <c r="Z22" s="117"/>
      <c r="AA22" s="117"/>
      <c r="AB22" s="242">
        <f t="shared" si="183"/>
        <v>0</v>
      </c>
      <c r="AC22" s="241">
        <v>99996</v>
      </c>
      <c r="AD22" s="165">
        <v>412800</v>
      </c>
      <c r="AE22" s="242">
        <v>412800</v>
      </c>
      <c r="AF22" s="66">
        <v>348000</v>
      </c>
      <c r="AG22" s="66">
        <v>348000</v>
      </c>
      <c r="AH22" s="66">
        <v>348000</v>
      </c>
      <c r="AI22" s="66">
        <v>264000</v>
      </c>
      <c r="AJ22" s="66">
        <v>264000</v>
      </c>
      <c r="AK22" s="66">
        <v>252000</v>
      </c>
      <c r="AL22" s="66">
        <v>324000</v>
      </c>
      <c r="AM22" s="66">
        <v>300000</v>
      </c>
      <c r="AN22" s="66">
        <v>300000</v>
      </c>
      <c r="AO22" s="59"/>
      <c r="AP22" s="8" t="s">
        <v>78</v>
      </c>
      <c r="AQ22" s="9">
        <v>100000</v>
      </c>
      <c r="AR22" s="10">
        <v>12</v>
      </c>
      <c r="AS22" s="8" t="s">
        <v>78</v>
      </c>
      <c r="AT22" s="9">
        <v>100000</v>
      </c>
      <c r="AU22" s="10">
        <v>12</v>
      </c>
      <c r="AV22" s="8" t="s">
        <v>78</v>
      </c>
      <c r="AW22" s="9">
        <v>100000</v>
      </c>
      <c r="AX22" s="10">
        <v>12</v>
      </c>
      <c r="AY22" s="8" t="s">
        <v>78</v>
      </c>
      <c r="AZ22" s="9">
        <v>100000</v>
      </c>
      <c r="BA22" s="10">
        <v>12</v>
      </c>
      <c r="BB22" s="8" t="s">
        <v>78</v>
      </c>
      <c r="BC22" s="9">
        <v>100000</v>
      </c>
      <c r="BD22" s="10">
        <v>12</v>
      </c>
      <c r="BE22" s="8" t="s">
        <v>607</v>
      </c>
      <c r="BF22" s="9">
        <v>117600</v>
      </c>
      <c r="BG22" s="10">
        <v>12</v>
      </c>
      <c r="BH22" s="8" t="s">
        <v>78</v>
      </c>
      <c r="BI22" s="9">
        <v>100000</v>
      </c>
      <c r="BJ22" s="10">
        <v>12</v>
      </c>
      <c r="BK22" s="8" t="s">
        <v>78</v>
      </c>
      <c r="BL22" s="9">
        <v>100000</v>
      </c>
      <c r="BM22" s="10">
        <v>12</v>
      </c>
      <c r="BN22" s="8" t="s">
        <v>78</v>
      </c>
      <c r="BO22" s="9">
        <v>118000</v>
      </c>
      <c r="BP22" s="10">
        <v>12</v>
      </c>
      <c r="BQ22" s="8" t="s">
        <v>78</v>
      </c>
      <c r="BR22" s="9">
        <f>+BO22</f>
        <v>118000</v>
      </c>
      <c r="BS22" s="10">
        <v>12</v>
      </c>
      <c r="BT22" s="8" t="s">
        <v>78</v>
      </c>
      <c r="BU22" s="9">
        <v>100000</v>
      </c>
      <c r="BV22" s="10">
        <v>12</v>
      </c>
      <c r="BW22" s="8" t="s">
        <v>74</v>
      </c>
      <c r="BX22" s="9">
        <v>152000</v>
      </c>
      <c r="BY22" s="10">
        <v>16</v>
      </c>
      <c r="BZ22" s="8" t="str">
        <f t="shared" si="185"/>
        <v>W3</v>
      </c>
      <c r="CA22" s="9">
        <v>99996</v>
      </c>
      <c r="CB22" s="10">
        <f t="shared" si="187"/>
        <v>16</v>
      </c>
      <c r="CC22" s="8" t="str">
        <f t="shared" si="188"/>
        <v>W3</v>
      </c>
      <c r="CD22" s="9">
        <f t="shared" si="189"/>
        <v>99996</v>
      </c>
      <c r="CE22" s="10">
        <f t="shared" si="190"/>
        <v>16</v>
      </c>
      <c r="CF22" s="8" t="str">
        <f t="shared" si="191"/>
        <v>W3</v>
      </c>
      <c r="CG22" s="9">
        <f t="shared" si="192"/>
        <v>99996</v>
      </c>
      <c r="CH22" s="10">
        <f t="shared" si="193"/>
        <v>16</v>
      </c>
      <c r="CI22" s="8" t="str">
        <f t="shared" si="194"/>
        <v>W3</v>
      </c>
      <c r="CJ22" s="9">
        <f t="shared" si="195"/>
        <v>99996</v>
      </c>
      <c r="CK22" s="10">
        <f t="shared" si="196"/>
        <v>16</v>
      </c>
      <c r="CL22" s="8" t="str">
        <f t="shared" si="197"/>
        <v>W3</v>
      </c>
      <c r="CM22" s="9">
        <f t="shared" si="198"/>
        <v>99996</v>
      </c>
      <c r="CN22" s="10">
        <f t="shared" si="199"/>
        <v>16</v>
      </c>
      <c r="CO22" s="8" t="str">
        <f t="shared" si="232"/>
        <v>W3</v>
      </c>
      <c r="CP22" s="9">
        <f t="shared" si="200"/>
        <v>99996</v>
      </c>
      <c r="CQ22" s="10">
        <f t="shared" si="201"/>
        <v>16</v>
      </c>
      <c r="CR22" s="8" t="str">
        <f t="shared" si="202"/>
        <v>W3</v>
      </c>
      <c r="CS22" s="9">
        <f t="shared" si="203"/>
        <v>99996</v>
      </c>
      <c r="CT22" s="10">
        <f t="shared" si="204"/>
        <v>16</v>
      </c>
      <c r="CU22" s="8" t="str">
        <f t="shared" si="205"/>
        <v>W3</v>
      </c>
      <c r="CV22" s="9">
        <f t="shared" si="206"/>
        <v>99996</v>
      </c>
      <c r="CW22" s="10">
        <f t="shared" si="207"/>
        <v>16</v>
      </c>
      <c r="CX22" s="8" t="str">
        <f t="shared" si="208"/>
        <v>W3</v>
      </c>
      <c r="CY22" s="9">
        <f t="shared" si="209"/>
        <v>99996</v>
      </c>
      <c r="CZ22" s="10">
        <f t="shared" si="210"/>
        <v>16</v>
      </c>
      <c r="DA22" s="8" t="str">
        <f t="shared" si="211"/>
        <v>W3</v>
      </c>
      <c r="DB22" s="9">
        <f t="shared" si="212"/>
        <v>99996</v>
      </c>
      <c r="DC22" s="10">
        <f t="shared" si="213"/>
        <v>16</v>
      </c>
      <c r="DD22" s="8" t="str">
        <f t="shared" si="214"/>
        <v>W3</v>
      </c>
      <c r="DE22" s="9">
        <f t="shared" si="215"/>
        <v>99996</v>
      </c>
      <c r="DF22" s="10">
        <f t="shared" si="216"/>
        <v>16</v>
      </c>
      <c r="DG22" s="8" t="str">
        <f t="shared" si="217"/>
        <v>W3</v>
      </c>
      <c r="DH22" s="9">
        <f t="shared" si="218"/>
        <v>99996</v>
      </c>
      <c r="DI22" s="10">
        <f t="shared" si="219"/>
        <v>16</v>
      </c>
      <c r="DK22" s="8">
        <f>IFERROR(ROUNDUP(+B22/$AQ22,0),0)</f>
        <v>0</v>
      </c>
      <c r="DL22" s="9">
        <f>IFERROR(ROUNDUP(+C22/$AT22,0),0)</f>
        <v>0</v>
      </c>
      <c r="DM22" s="9">
        <f>IFERROR(ROUNDUP(+D22/$AW22,0),0)</f>
        <v>0</v>
      </c>
      <c r="DN22" s="9">
        <f>IFERROR(ROUNDUP(+E22/$AZ22,0),0)</f>
        <v>0</v>
      </c>
      <c r="DO22" s="9">
        <f>IFERROR(ROUNDUP(+F22/$BC22,0),0)</f>
        <v>0</v>
      </c>
      <c r="DP22" s="9">
        <f>IFERROR(ROUNDUP(+G22/$BF22,0),0)</f>
        <v>3</v>
      </c>
      <c r="DQ22" s="9">
        <f>IFERROR(ROUNDUP(+$H22/$BI22,0),0)</f>
        <v>0</v>
      </c>
      <c r="DR22" s="9">
        <f>IFERROR(ROUNDUP(+I22/$BL22,0),0)</f>
        <v>0</v>
      </c>
      <c r="DS22" s="9">
        <f>IFERROR(ROUNDUP(J22/BO22,0),0)</f>
        <v>0</v>
      </c>
      <c r="DT22" s="9">
        <f>IFERROR(ROUNDUP(+K22/BR22,0),0)+3</f>
        <v>4</v>
      </c>
      <c r="DU22" s="9">
        <v>3</v>
      </c>
      <c r="DV22" s="10">
        <f>IFERROR(ROUNDUP(+R22/BX22,0),0)</f>
        <v>0</v>
      </c>
      <c r="DW22" s="9">
        <f>IFERROR(ROUNDUP(+V22/CA22,0),0)</f>
        <v>3</v>
      </c>
      <c r="DX22" s="9">
        <f>IFERROR(ROUNDUP(+Y22/CD22,0),0)</f>
        <v>0</v>
      </c>
      <c r="DY22" s="9">
        <f>IFERROR(ROUNDUP(+AE22/CG22,0),0)</f>
        <v>5</v>
      </c>
      <c r="DZ22" s="9">
        <f>IFERROR(ROUNDUP(+AF22/CJ22,0),0)</f>
        <v>4</v>
      </c>
      <c r="EA22" s="9">
        <f>IFERROR(ROUNDUP(+AG22/CM22,0),0)</f>
        <v>4</v>
      </c>
      <c r="EB22" s="9">
        <f>IFERROR(ROUNDUP(+AH22/CP22,0),0)</f>
        <v>4</v>
      </c>
      <c r="EC22" s="9">
        <f>IFERROR(ROUNDUP(+AI22/CS22,0),0)</f>
        <v>3</v>
      </c>
      <c r="ED22" s="9">
        <f>IFERROR(ROUNDUP(+AJ22/CV22,0),0)</f>
        <v>3</v>
      </c>
      <c r="EE22" s="9">
        <f>IFERROR(ROUNDUP(+AK22/CY22,0),0)</f>
        <v>3</v>
      </c>
      <c r="EF22" s="9">
        <f>IFERROR(ROUNDUP(+AL22/DB22,0),0)</f>
        <v>4</v>
      </c>
      <c r="EG22" s="9">
        <f>IFERROR(ROUNDUP(+AM22/DE22,0),0)</f>
        <v>4</v>
      </c>
      <c r="EH22" s="9">
        <f>IFERROR(ROUNDUP(+AN22/DH22,0),0)</f>
        <v>4</v>
      </c>
      <c r="EJ22" s="8">
        <f t="shared" si="220"/>
        <v>0</v>
      </c>
      <c r="EK22" s="9">
        <f t="shared" si="221"/>
        <v>0</v>
      </c>
      <c r="EL22" s="9">
        <f t="shared" si="222"/>
        <v>0</v>
      </c>
      <c r="EM22" s="9">
        <f t="shared" si="223"/>
        <v>0</v>
      </c>
      <c r="EN22" s="9">
        <f t="shared" si="224"/>
        <v>0</v>
      </c>
      <c r="EO22" s="9">
        <f t="shared" si="225"/>
        <v>36</v>
      </c>
      <c r="EP22" s="9">
        <f>BJ22*DQ22</f>
        <v>0</v>
      </c>
      <c r="EQ22" s="9">
        <f>+BM22*DR22</f>
        <v>0</v>
      </c>
      <c r="ER22" s="9">
        <f>BP22*DS22</f>
        <v>0</v>
      </c>
      <c r="ES22" s="9">
        <f t="shared" si="226"/>
        <v>48</v>
      </c>
      <c r="ET22" s="9">
        <f>+BV22*DU22</f>
        <v>36</v>
      </c>
      <c r="EU22" s="10">
        <f>+BY22*DV22</f>
        <v>0</v>
      </c>
      <c r="EV22" s="9">
        <f>+CB22*DW22</f>
        <v>48</v>
      </c>
      <c r="EW22" s="9">
        <f>+CE22*DX22</f>
        <v>0</v>
      </c>
      <c r="EX22" s="9">
        <f>+CH22*DY22</f>
        <v>80</v>
      </c>
      <c r="EY22" s="9">
        <f>+CK22*DZ22</f>
        <v>64</v>
      </c>
      <c r="EZ22" s="9">
        <f>+CN22*EA22</f>
        <v>64</v>
      </c>
      <c r="FA22" s="9">
        <f>+CQ22*EB22</f>
        <v>64</v>
      </c>
      <c r="FB22" s="9">
        <f>+CT22*EC22</f>
        <v>48</v>
      </c>
      <c r="FC22" s="9">
        <f>+CW22*ED22</f>
        <v>48</v>
      </c>
      <c r="FD22" s="9">
        <f t="shared" si="227"/>
        <v>48</v>
      </c>
      <c r="FE22" s="9">
        <f t="shared" si="228"/>
        <v>64</v>
      </c>
      <c r="FF22" s="9">
        <f t="shared" si="229"/>
        <v>64</v>
      </c>
      <c r="FG22" s="9">
        <f t="shared" si="230"/>
        <v>64</v>
      </c>
      <c r="FI22" s="59"/>
      <c r="FO22" t="str">
        <f t="shared" si="86"/>
        <v>USDA Chili with BeansY4S/Y5</v>
      </c>
      <c r="FP22" t="str">
        <f>+A22&amp;BT22</f>
        <v>USDA Chili with BeansY4S/Y5</v>
      </c>
      <c r="FQ22" t="str">
        <f t="shared" si="88"/>
        <v>USDA Chili with BeansW3</v>
      </c>
      <c r="FR22">
        <v>0</v>
      </c>
    </row>
    <row r="23" spans="1:174" outlineLevel="1" x14ac:dyDescent="0.25">
      <c r="A23" s="28" t="s">
        <v>13</v>
      </c>
      <c r="B23" s="9"/>
      <c r="C23" s="9"/>
      <c r="D23" s="9"/>
      <c r="E23" s="9"/>
      <c r="F23" s="9"/>
      <c r="G23" s="9"/>
      <c r="H23" s="9"/>
      <c r="I23" s="9"/>
      <c r="J23" s="9"/>
      <c r="K23" s="9">
        <v>172575</v>
      </c>
      <c r="L23" s="92"/>
      <c r="M23" s="133"/>
      <c r="N23" s="92"/>
      <c r="O23" s="92">
        <f t="shared" ref="O23:O24" si="234">+N23-M23</f>
        <v>0</v>
      </c>
      <c r="P23" s="142"/>
      <c r="Q23" s="133"/>
      <c r="R23" s="92"/>
      <c r="S23" s="92"/>
      <c r="T23" s="186"/>
      <c r="U23" s="176"/>
      <c r="V23" s="176"/>
      <c r="W23" s="168"/>
      <c r="X23" s="9"/>
      <c r="Y23" s="249"/>
      <c r="Z23" s="117"/>
      <c r="AA23" s="117"/>
      <c r="AB23" s="242">
        <f t="shared" si="183"/>
        <v>0</v>
      </c>
      <c r="AC23" s="241">
        <v>0</v>
      </c>
      <c r="AD23" s="165">
        <v>0</v>
      </c>
      <c r="AE23" s="242">
        <v>0</v>
      </c>
      <c r="AF23" s="66"/>
      <c r="AG23" s="66"/>
      <c r="AH23" s="66"/>
      <c r="AI23" s="66"/>
      <c r="AJ23" s="66"/>
      <c r="AK23" s="66"/>
      <c r="AL23" s="66"/>
      <c r="AM23" s="66"/>
      <c r="AN23" s="66"/>
      <c r="AO23" s="59"/>
      <c r="AP23" s="8"/>
      <c r="AQ23" s="9"/>
      <c r="AR23" s="10"/>
      <c r="AS23" s="8"/>
      <c r="AT23" s="9"/>
      <c r="AU23" s="10"/>
      <c r="AV23" s="8"/>
      <c r="AW23" s="9"/>
      <c r="AX23" s="10"/>
      <c r="AY23" s="8"/>
      <c r="AZ23" s="9"/>
      <c r="BA23" s="10"/>
      <c r="BB23" s="8"/>
      <c r="BC23" s="9"/>
      <c r="BD23" s="10"/>
      <c r="BE23" s="8"/>
      <c r="BF23" s="9"/>
      <c r="BG23" s="10"/>
      <c r="BH23" s="8"/>
      <c r="BI23" s="9"/>
      <c r="BJ23" s="10"/>
      <c r="BK23" s="8"/>
      <c r="BL23" s="9"/>
      <c r="BM23" s="10"/>
      <c r="BN23" s="8"/>
      <c r="BO23" s="9"/>
      <c r="BP23" s="10"/>
      <c r="BQ23" s="8" t="s">
        <v>620</v>
      </c>
      <c r="BR23" s="9">
        <v>105000</v>
      </c>
      <c r="BS23" s="10">
        <v>12</v>
      </c>
      <c r="BT23" s="8"/>
      <c r="BU23" s="9"/>
      <c r="BV23" s="10"/>
      <c r="BW23" s="8"/>
      <c r="BX23" s="9"/>
      <c r="BY23" s="10"/>
      <c r="BZ23" s="8"/>
      <c r="CA23" s="9"/>
      <c r="CB23" s="10"/>
      <c r="CC23" s="8"/>
      <c r="CD23" s="9"/>
      <c r="CE23" s="10"/>
      <c r="CF23" s="8"/>
      <c r="CG23" s="9"/>
      <c r="CH23" s="10"/>
      <c r="CI23" s="8"/>
      <c r="CJ23" s="9"/>
      <c r="CK23" s="10"/>
      <c r="CL23" s="8"/>
      <c r="CM23" s="9"/>
      <c r="CN23" s="10"/>
      <c r="CO23" s="8"/>
      <c r="CP23" s="9"/>
      <c r="CQ23" s="10"/>
      <c r="CR23" s="8"/>
      <c r="CS23" s="9"/>
      <c r="CT23" s="10"/>
      <c r="CU23" s="8"/>
      <c r="CV23" s="9"/>
      <c r="CW23" s="10"/>
      <c r="CX23" s="8"/>
      <c r="CY23" s="9"/>
      <c r="CZ23" s="10"/>
      <c r="DA23" s="8"/>
      <c r="DB23" s="9"/>
      <c r="DC23" s="10"/>
      <c r="DD23" s="8"/>
      <c r="DE23" s="9"/>
      <c r="DF23" s="10"/>
      <c r="DG23" s="8"/>
      <c r="DH23" s="9"/>
      <c r="DI23" s="10"/>
      <c r="DK23" s="8"/>
      <c r="DL23" s="9"/>
      <c r="DM23" s="9"/>
      <c r="DN23" s="9"/>
      <c r="DO23" s="9"/>
      <c r="DP23" s="9"/>
      <c r="DQ23" s="9"/>
      <c r="DR23" s="9"/>
      <c r="DS23" s="9"/>
      <c r="DT23" s="9">
        <f>IFERROR(ROUNDUP(+K23/BR23,0),0)+1</f>
        <v>3</v>
      </c>
      <c r="DU23" s="9"/>
      <c r="DV23" s="10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J23" s="8"/>
      <c r="EK23" s="9"/>
      <c r="EL23" s="9"/>
      <c r="EM23" s="9"/>
      <c r="EN23" s="9"/>
      <c r="EO23" s="9"/>
      <c r="EP23" s="9"/>
      <c r="EQ23" s="9"/>
      <c r="ER23" s="9"/>
      <c r="ES23" s="9">
        <f t="shared" si="226"/>
        <v>36</v>
      </c>
      <c r="ET23" s="9"/>
      <c r="EU23" s="10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I23" s="59"/>
      <c r="FQ23" t="str">
        <f t="shared" si="88"/>
        <v>USDA Chili with Beans</v>
      </c>
    </row>
    <row r="24" spans="1:174" outlineLevel="1" x14ac:dyDescent="0.25">
      <c r="A24" s="28" t="s">
        <v>14</v>
      </c>
      <c r="B24" s="9">
        <f>SUMIF(Prophix!$Q:$Q,'Fds Units'!$A24,Prophix!D:D)</f>
        <v>0</v>
      </c>
      <c r="C24" s="9">
        <f>SUMIF(Prophix!$Q:$Q,'Fds Units'!$A24,Prophix!E:E)</f>
        <v>0</v>
      </c>
      <c r="D24" s="9">
        <f>SUMIF(Prophix!$Q:$Q,'Fds Units'!$A24,Prophix!F:F)</f>
        <v>0</v>
      </c>
      <c r="E24" s="9">
        <f>SUMIF(Prophix!$Q:$Q,'Fds Units'!$A24,Prophix!G:G)</f>
        <v>0</v>
      </c>
      <c r="F24" s="9">
        <f>SUMIF(Prophix!$Q:$Q,'Fds Units'!$A24,Prophix!H:H)</f>
        <v>0</v>
      </c>
      <c r="G24" s="9">
        <f>SUMIF(Prophix!$Q:$Q,'Fds Units'!$A24,Prophix!I:I)</f>
        <v>0</v>
      </c>
      <c r="H24" s="9">
        <f>SUMIF(Prophix!$Q:$Q,'Fds Units'!$A24,Prophix!J:J)</f>
        <v>0</v>
      </c>
      <c r="I24" s="9">
        <f>SUMIF(Prophix!$Q:$Q,'Fds Units'!$A24,Prophix!K:K)</f>
        <v>0</v>
      </c>
      <c r="J24" s="9">
        <f>SUMIF(Prophix!$Q:$Q,'Fds Units'!$A24,Prophix!L:L)</f>
        <v>0</v>
      </c>
      <c r="K24" s="9">
        <f>SUMIF(Prophix!$Q:$Q,'Fds Units'!$A24,Prophix!M:M)</f>
        <v>0</v>
      </c>
      <c r="L24" s="92"/>
      <c r="M24" s="133"/>
      <c r="N24" s="92">
        <f>SUMIF(Schedule!$R:$R,$FP24,Schedule!P:P)</f>
        <v>0</v>
      </c>
      <c r="O24" s="92">
        <f t="shared" si="234"/>
        <v>0</v>
      </c>
      <c r="P24" s="142"/>
      <c r="Q24" s="133"/>
      <c r="R24" s="92"/>
      <c r="S24" s="92"/>
      <c r="T24" s="186">
        <f t="shared" si="233"/>
        <v>0</v>
      </c>
      <c r="U24" s="176"/>
      <c r="V24" s="176"/>
      <c r="W24" s="168"/>
      <c r="X24" s="9">
        <f>+W24-U24</f>
        <v>0</v>
      </c>
      <c r="Y24" s="249"/>
      <c r="Z24" s="117"/>
      <c r="AA24" s="117"/>
      <c r="AB24" s="242">
        <f t="shared" si="183"/>
        <v>0</v>
      </c>
      <c r="AC24" s="241">
        <v>0</v>
      </c>
      <c r="AD24" s="165">
        <v>0</v>
      </c>
      <c r="AE24" s="242">
        <v>0</v>
      </c>
      <c r="AF24" s="66"/>
      <c r="AG24" s="66"/>
      <c r="AH24" s="66"/>
      <c r="AI24" s="66"/>
      <c r="AJ24" s="66"/>
      <c r="AK24" s="66"/>
      <c r="AL24" s="66"/>
      <c r="AM24" s="66"/>
      <c r="AN24" s="66"/>
      <c r="AO24" s="59"/>
      <c r="AP24" s="8" t="s">
        <v>78</v>
      </c>
      <c r="AQ24" s="9">
        <v>100000</v>
      </c>
      <c r="AR24" s="10">
        <v>12</v>
      </c>
      <c r="AS24" s="8" t="s">
        <v>78</v>
      </c>
      <c r="AT24" s="9">
        <v>100000</v>
      </c>
      <c r="AU24" s="10">
        <v>12</v>
      </c>
      <c r="AV24" s="8" t="s">
        <v>78</v>
      </c>
      <c r="AW24" s="9">
        <v>100000</v>
      </c>
      <c r="AX24" s="10">
        <v>12</v>
      </c>
      <c r="AY24" s="8" t="s">
        <v>78</v>
      </c>
      <c r="AZ24" s="9">
        <v>100000</v>
      </c>
      <c r="BA24" s="10">
        <v>12</v>
      </c>
      <c r="BB24" s="8" t="s">
        <v>78</v>
      </c>
      <c r="BC24" s="9">
        <v>100000</v>
      </c>
      <c r="BD24" s="10">
        <v>12</v>
      </c>
      <c r="BE24" s="8" t="s">
        <v>78</v>
      </c>
      <c r="BF24" s="9">
        <v>100000</v>
      </c>
      <c r="BG24" s="10">
        <v>12</v>
      </c>
      <c r="BH24" s="8" t="s">
        <v>78</v>
      </c>
      <c r="BI24" s="9">
        <v>100000</v>
      </c>
      <c r="BJ24" s="10">
        <v>12</v>
      </c>
      <c r="BK24" s="8" t="s">
        <v>78</v>
      </c>
      <c r="BL24" s="9">
        <v>100000</v>
      </c>
      <c r="BM24" s="10">
        <v>12</v>
      </c>
      <c r="BN24" s="8" t="s">
        <v>78</v>
      </c>
      <c r="BO24" s="9">
        <v>100000</v>
      </c>
      <c r="BP24" s="10">
        <v>12</v>
      </c>
      <c r="BQ24" s="8" t="s">
        <v>78</v>
      </c>
      <c r="BR24" s="9">
        <v>100000</v>
      </c>
      <c r="BS24" s="10">
        <v>12</v>
      </c>
      <c r="BT24" s="8" t="s">
        <v>78</v>
      </c>
      <c r="BU24" s="9">
        <v>100000</v>
      </c>
      <c r="BV24" s="10">
        <v>12</v>
      </c>
      <c r="BW24" s="8" t="s">
        <v>74</v>
      </c>
      <c r="BX24" s="9">
        <v>136000</v>
      </c>
      <c r="BY24" s="10">
        <v>15</v>
      </c>
      <c r="BZ24" s="8" t="str">
        <f t="shared" si="185"/>
        <v>W3</v>
      </c>
      <c r="CA24" s="9">
        <v>115000</v>
      </c>
      <c r="CB24" s="10">
        <f t="shared" si="187"/>
        <v>15</v>
      </c>
      <c r="CC24" s="8" t="str">
        <f t="shared" si="188"/>
        <v>W3</v>
      </c>
      <c r="CD24" s="9">
        <f t="shared" si="189"/>
        <v>115000</v>
      </c>
      <c r="CE24" s="10">
        <f t="shared" si="190"/>
        <v>15</v>
      </c>
      <c r="CF24" s="8" t="str">
        <f t="shared" si="191"/>
        <v>W3</v>
      </c>
      <c r="CG24" s="9">
        <f t="shared" si="192"/>
        <v>115000</v>
      </c>
      <c r="CH24" s="10">
        <f t="shared" si="193"/>
        <v>15</v>
      </c>
      <c r="CI24" s="8" t="str">
        <f t="shared" si="194"/>
        <v>W3</v>
      </c>
      <c r="CJ24" s="9">
        <f t="shared" si="195"/>
        <v>115000</v>
      </c>
      <c r="CK24" s="10">
        <f t="shared" si="196"/>
        <v>15</v>
      </c>
      <c r="CL24" s="8" t="str">
        <f t="shared" si="197"/>
        <v>W3</v>
      </c>
      <c r="CM24" s="9">
        <f t="shared" si="198"/>
        <v>115000</v>
      </c>
      <c r="CN24" s="10">
        <f t="shared" si="199"/>
        <v>15</v>
      </c>
      <c r="CO24" s="8" t="str">
        <f t="shared" si="232"/>
        <v>W3</v>
      </c>
      <c r="CP24" s="9">
        <f t="shared" si="200"/>
        <v>115000</v>
      </c>
      <c r="CQ24" s="10">
        <f t="shared" si="201"/>
        <v>15</v>
      </c>
      <c r="CR24" s="8" t="str">
        <f t="shared" si="202"/>
        <v>W3</v>
      </c>
      <c r="CS24" s="9">
        <f t="shared" si="203"/>
        <v>115000</v>
      </c>
      <c r="CT24" s="10">
        <f t="shared" si="204"/>
        <v>15</v>
      </c>
      <c r="CU24" s="8" t="str">
        <f t="shared" si="205"/>
        <v>W3</v>
      </c>
      <c r="CV24" s="9">
        <f t="shared" si="206"/>
        <v>115000</v>
      </c>
      <c r="CW24" s="10">
        <f t="shared" si="207"/>
        <v>15</v>
      </c>
      <c r="CX24" s="8" t="str">
        <f t="shared" si="208"/>
        <v>W3</v>
      </c>
      <c r="CY24" s="9">
        <f t="shared" si="209"/>
        <v>115000</v>
      </c>
      <c r="CZ24" s="10">
        <f t="shared" si="210"/>
        <v>15</v>
      </c>
      <c r="DA24" s="8" t="str">
        <f t="shared" si="211"/>
        <v>W3</v>
      </c>
      <c r="DB24" s="9">
        <f t="shared" si="212"/>
        <v>115000</v>
      </c>
      <c r="DC24" s="10">
        <f t="shared" si="213"/>
        <v>15</v>
      </c>
      <c r="DD24" s="8" t="str">
        <f t="shared" si="214"/>
        <v>W3</v>
      </c>
      <c r="DE24" s="9">
        <f t="shared" si="215"/>
        <v>115000</v>
      </c>
      <c r="DF24" s="10">
        <f t="shared" si="216"/>
        <v>15</v>
      </c>
      <c r="DG24" s="8" t="str">
        <f t="shared" si="217"/>
        <v>W3</v>
      </c>
      <c r="DH24" s="9">
        <f t="shared" si="218"/>
        <v>115000</v>
      </c>
      <c r="DI24" s="10">
        <f t="shared" si="219"/>
        <v>15</v>
      </c>
      <c r="DK24" s="8">
        <f>IFERROR(ROUNDUP(+B24/$AQ24,0),0)</f>
        <v>0</v>
      </c>
      <c r="DL24" s="67">
        <f>IFERROR(ROUNDUP(+C24/$AT24,0),0)</f>
        <v>0</v>
      </c>
      <c r="DM24" s="67">
        <f>IFERROR(ROUNDUP(+D24/$AW24,0),0)</f>
        <v>0</v>
      </c>
      <c r="DN24" s="67">
        <f>IFERROR(ROUNDUP(+E24/$AZ24,0),0)</f>
        <v>0</v>
      </c>
      <c r="DO24" s="67">
        <f>IFERROR(ROUNDUP(+F24/$BC24,0),0)</f>
        <v>0</v>
      </c>
      <c r="DP24" s="67">
        <f>IFERROR(ROUNDUP(+G24/$BF24,0),0)</f>
        <v>0</v>
      </c>
      <c r="DQ24" s="9">
        <f>IFERROR(ROUNDUP(+$H24/$BI24,0),0)</f>
        <v>0</v>
      </c>
      <c r="DR24" s="9">
        <f>IFERROR(ROUNDUP(+I24/$BL24,0),0)</f>
        <v>0</v>
      </c>
      <c r="DS24" s="9">
        <f>IFERROR(ROUNDUP(J24/BO24,0),0)</f>
        <v>0</v>
      </c>
      <c r="DT24" s="9">
        <f>IFERROR(ROUNDUP(+K24/BR24,0),0)</f>
        <v>0</v>
      </c>
      <c r="DU24" s="9">
        <f>IFERROR(ROUNDUP(+N24/BU24,0),0)</f>
        <v>0</v>
      </c>
      <c r="DV24" s="10">
        <f>IFERROR(ROUNDUP(+R24/BX24,0),0)</f>
        <v>0</v>
      </c>
      <c r="DW24" s="9">
        <f>IFERROR(ROUNDUP(+V24/CA24,0),0)</f>
        <v>0</v>
      </c>
      <c r="DX24" s="9">
        <f>IFERROR(ROUNDUP(+Y24/CD24,0),0)</f>
        <v>0</v>
      </c>
      <c r="DY24" s="9">
        <f>IFERROR(ROUNDUP(+AE24/CG24,0),0)</f>
        <v>0</v>
      </c>
      <c r="DZ24" s="9">
        <f>IFERROR(ROUNDUP(+AF24/CJ24,0),0)</f>
        <v>0</v>
      </c>
      <c r="EA24" s="9">
        <f>IFERROR(ROUNDUP(+AG24/CM24,0),0)</f>
        <v>0</v>
      </c>
      <c r="EB24" s="9">
        <f>IFERROR(ROUNDUP(+AH24/CP24,0),0)</f>
        <v>0</v>
      </c>
      <c r="EC24" s="9">
        <f>IFERROR(ROUNDUP(+AI24/CS24,0),0)</f>
        <v>0</v>
      </c>
      <c r="ED24" s="9">
        <f>IFERROR(ROUNDUP(+AJ24/CV24,0),0)</f>
        <v>0</v>
      </c>
      <c r="EE24" s="9">
        <f>IFERROR(ROUNDUP(+AK24/CY24,0),0)</f>
        <v>0</v>
      </c>
      <c r="EF24" s="9">
        <f>IFERROR(ROUNDUP(+AL24/DB24,0),0)</f>
        <v>0</v>
      </c>
      <c r="EG24" s="9">
        <f>IFERROR(ROUNDUP(+AM24/DE24,0),0)</f>
        <v>0</v>
      </c>
      <c r="EH24" s="9">
        <f>IFERROR(ROUNDUP(+AN24/DH24,0),0)</f>
        <v>0</v>
      </c>
      <c r="EJ24" s="8">
        <f t="shared" si="220"/>
        <v>0</v>
      </c>
      <c r="EK24" s="9">
        <f t="shared" si="221"/>
        <v>0</v>
      </c>
      <c r="EL24" s="9">
        <f t="shared" si="222"/>
        <v>0</v>
      </c>
      <c r="EM24" s="9">
        <f t="shared" si="223"/>
        <v>0</v>
      </c>
      <c r="EN24" s="9">
        <f t="shared" si="224"/>
        <v>0</v>
      </c>
      <c r="EO24" s="9">
        <f t="shared" si="225"/>
        <v>0</v>
      </c>
      <c r="EP24" s="9">
        <f>BJ24*DQ24</f>
        <v>0</v>
      </c>
      <c r="EQ24" s="9">
        <f>+BM24*DR24</f>
        <v>0</v>
      </c>
      <c r="ER24" s="9">
        <f>BP24*DS24</f>
        <v>0</v>
      </c>
      <c r="ES24" s="9">
        <f t="shared" si="226"/>
        <v>0</v>
      </c>
      <c r="ET24" s="9">
        <f>+BV24*DU24</f>
        <v>0</v>
      </c>
      <c r="EU24" s="10">
        <f>+BY24*DV24</f>
        <v>0</v>
      </c>
      <c r="EV24" s="9">
        <f>+CB24*DW24</f>
        <v>0</v>
      </c>
      <c r="EW24" s="9">
        <f>+CE24*DX24</f>
        <v>0</v>
      </c>
      <c r="EX24" s="9">
        <f>+CH24*DY24</f>
        <v>0</v>
      </c>
      <c r="EY24" s="9">
        <f>+CK24*DZ24</f>
        <v>0</v>
      </c>
      <c r="EZ24" s="9">
        <f>+CN24*EA24</f>
        <v>0</v>
      </c>
      <c r="FA24" s="9">
        <f>+CQ24*EB24</f>
        <v>0</v>
      </c>
      <c r="FB24" s="9">
        <f>+CT24*EC24</f>
        <v>0</v>
      </c>
      <c r="FC24" s="9">
        <f>+CW24*ED24</f>
        <v>0</v>
      </c>
      <c r="FD24" s="9">
        <f t="shared" si="227"/>
        <v>0</v>
      </c>
      <c r="FE24" s="9">
        <f t="shared" si="228"/>
        <v>0</v>
      </c>
      <c r="FF24" s="9">
        <f t="shared" si="229"/>
        <v>0</v>
      </c>
      <c r="FG24" s="9">
        <f t="shared" si="230"/>
        <v>0</v>
      </c>
      <c r="FO24" t="str">
        <f t="shared" ref="FO24:FO30" si="235">+A24&amp;BQ24</f>
        <v>USDA Chili No BeanY4S/Y5</v>
      </c>
      <c r="FP24" t="str">
        <f t="shared" ref="FP24:FP30" si="236">+A24&amp;BT24</f>
        <v>USDA Chili No BeanY4S/Y5</v>
      </c>
      <c r="FQ24" t="str">
        <f t="shared" si="88"/>
        <v>USDA Chili No BeanW3</v>
      </c>
      <c r="FR24">
        <v>0</v>
      </c>
    </row>
    <row r="25" spans="1:174" ht="13.5" customHeight="1" x14ac:dyDescent="0.25">
      <c r="A25" s="2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133"/>
      <c r="N25" s="9"/>
      <c r="O25" s="9"/>
      <c r="P25" s="142"/>
      <c r="Q25" s="133"/>
      <c r="R25" s="9"/>
      <c r="S25" s="9"/>
      <c r="T25" s="186"/>
      <c r="U25" s="9"/>
      <c r="V25" s="9"/>
      <c r="W25" s="9"/>
      <c r="X25" s="9"/>
      <c r="Y25" s="8"/>
      <c r="Z25" s="9"/>
      <c r="AA25" s="9"/>
      <c r="AB25" s="242">
        <f t="shared" si="183"/>
        <v>0</v>
      </c>
      <c r="AC25" s="241"/>
      <c r="AD25" s="165"/>
      <c r="AE25" s="10"/>
      <c r="AF25" s="9"/>
      <c r="AG25" s="9"/>
      <c r="AH25" s="9"/>
      <c r="AI25" s="9"/>
      <c r="AJ25" s="9"/>
      <c r="AK25" s="9"/>
      <c r="AL25" s="9"/>
      <c r="AM25" s="9"/>
      <c r="AN25" s="9"/>
      <c r="AO25" s="59"/>
      <c r="AP25" s="8"/>
      <c r="AQ25" s="9"/>
      <c r="AR25" s="10"/>
      <c r="AS25" s="8"/>
      <c r="AT25" s="9"/>
      <c r="AU25" s="10"/>
      <c r="AV25" s="8"/>
      <c r="AW25" s="9"/>
      <c r="AX25" s="10"/>
      <c r="AY25" s="8"/>
      <c r="AZ25" s="9"/>
      <c r="BA25" s="10"/>
      <c r="BB25" s="8"/>
      <c r="BC25" s="9"/>
      <c r="BD25" s="10"/>
      <c r="BE25" s="8"/>
      <c r="BF25" s="9"/>
      <c r="BG25" s="10"/>
      <c r="BH25" s="8"/>
      <c r="BI25" s="9"/>
      <c r="BJ25" s="10"/>
      <c r="BK25" s="8"/>
      <c r="BL25" s="9"/>
      <c r="BM25" s="10"/>
      <c r="BN25" s="8"/>
      <c r="BO25" s="9"/>
      <c r="BP25" s="10"/>
      <c r="BQ25" s="8"/>
      <c r="BR25" s="9"/>
      <c r="BS25" s="10"/>
      <c r="BT25" s="8"/>
      <c r="BU25" s="9"/>
      <c r="BV25" s="10"/>
      <c r="BW25" s="8"/>
      <c r="BX25" s="9"/>
      <c r="BY25" s="10"/>
      <c r="BZ25" s="8"/>
      <c r="CA25" s="9"/>
      <c r="CB25" s="10"/>
      <c r="CC25" s="8"/>
      <c r="CD25" s="9"/>
      <c r="CE25" s="10"/>
      <c r="CF25" s="8"/>
      <c r="CG25" s="9"/>
      <c r="CH25" s="10"/>
      <c r="CI25" s="8"/>
      <c r="CJ25" s="9"/>
      <c r="CK25" s="10"/>
      <c r="CL25" s="8"/>
      <c r="CM25" s="9"/>
      <c r="CN25" s="10"/>
      <c r="CO25" s="8"/>
      <c r="CP25" s="9"/>
      <c r="CQ25" s="10"/>
      <c r="CR25" s="8"/>
      <c r="CS25" s="9"/>
      <c r="CT25" s="10"/>
      <c r="CU25" s="8"/>
      <c r="CV25" s="9"/>
      <c r="CW25" s="10"/>
      <c r="CX25" s="8"/>
      <c r="CY25" s="9"/>
      <c r="CZ25" s="10"/>
      <c r="DA25" s="8"/>
      <c r="DB25" s="9"/>
      <c r="DC25" s="10"/>
      <c r="DD25" s="8"/>
      <c r="DE25" s="9"/>
      <c r="DF25" s="10"/>
      <c r="DG25" s="8"/>
      <c r="DH25" s="9"/>
      <c r="DI25" s="10"/>
      <c r="DK25" s="8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10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J25" s="8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10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O25" t="str">
        <f t="shared" si="235"/>
        <v/>
      </c>
      <c r="FP25" t="str">
        <f t="shared" si="236"/>
        <v/>
      </c>
      <c r="FQ25" t="str">
        <f t="shared" si="88"/>
        <v/>
      </c>
    </row>
    <row r="26" spans="1:174" ht="21" x14ac:dyDescent="0.35">
      <c r="A26" s="41" t="s">
        <v>15</v>
      </c>
      <c r="B26" s="5">
        <f t="shared" ref="B26:AN26" si="237">+B27+B32+B39+B45+B52+B55+B65+B70</f>
        <v>2285040</v>
      </c>
      <c r="C26" s="5">
        <f t="shared" si="237"/>
        <v>1442232</v>
      </c>
      <c r="D26" s="5">
        <f t="shared" si="237"/>
        <v>3244008</v>
      </c>
      <c r="E26" s="5">
        <f t="shared" si="237"/>
        <v>4913808</v>
      </c>
      <c r="F26" s="5">
        <f t="shared" si="237"/>
        <v>5333544</v>
      </c>
      <c r="G26" s="5">
        <f t="shared" si="237"/>
        <v>4403220</v>
      </c>
      <c r="H26" s="5">
        <f t="shared" si="237"/>
        <v>4104840</v>
      </c>
      <c r="I26" s="5">
        <f t="shared" si="237"/>
        <v>1346712</v>
      </c>
      <c r="J26" s="5">
        <f t="shared" si="237"/>
        <v>1333872</v>
      </c>
      <c r="K26" s="5">
        <f t="shared" si="237"/>
        <v>944352</v>
      </c>
      <c r="L26" s="5">
        <f t="shared" si="237"/>
        <v>1719528</v>
      </c>
      <c r="M26" s="122">
        <f t="shared" si="237"/>
        <v>360000</v>
      </c>
      <c r="N26" s="5">
        <f t="shared" si="237"/>
        <v>1114968</v>
      </c>
      <c r="O26" s="5">
        <f t="shared" si="237"/>
        <v>604560</v>
      </c>
      <c r="P26" s="141">
        <f t="shared" si="237"/>
        <v>1358000</v>
      </c>
      <c r="Q26" s="122">
        <f t="shared" si="237"/>
        <v>1358000</v>
      </c>
      <c r="R26" s="5">
        <f t="shared" si="237"/>
        <v>3409368</v>
      </c>
      <c r="S26" s="5">
        <f t="shared" si="237"/>
        <v>2385564</v>
      </c>
      <c r="T26" s="90">
        <f>S26-R26</f>
        <v>-1023804</v>
      </c>
      <c r="U26" s="5">
        <f t="shared" si="237"/>
        <v>4099980</v>
      </c>
      <c r="V26" s="5">
        <f t="shared" si="237"/>
        <v>4676028</v>
      </c>
      <c r="W26" s="5">
        <f t="shared" si="237"/>
        <v>4260000</v>
      </c>
      <c r="X26" s="5">
        <f t="shared" si="237"/>
        <v>2704120</v>
      </c>
      <c r="Y26" s="250">
        <f>+Y27+Y32+Y39+Y45+Y52+Y55+Y65+Y70</f>
        <v>4223784</v>
      </c>
      <c r="Z26" s="5">
        <f>+Z27+Z32+Z39+Z45+Z52+Z55+Z65+Z70</f>
        <v>5630280</v>
      </c>
      <c r="AA26" s="5">
        <f>+AA27+AA32+AA39+AA45+AA52+AA55+AA65+AA70</f>
        <v>3560100</v>
      </c>
      <c r="AB26" s="6">
        <f>AB27+AB32+AB39+AB45+AB52+AB55+AB65+AB70</f>
        <v>-2070180</v>
      </c>
      <c r="AC26" s="4">
        <f>+AC27+AC32+AC39+AC45+AC52+AC55+AC65+AC70</f>
        <v>5193856</v>
      </c>
      <c r="AD26" s="5">
        <f>+AD27+AD32+AD39+AD45+AD52+AD55+AD65+AD70</f>
        <v>6669856</v>
      </c>
      <c r="AE26" s="6">
        <f>+AE27+AE32+AE39+AE45+AE52+AE55+AE65+AE70</f>
        <v>6825816</v>
      </c>
      <c r="AF26" s="89">
        <f t="shared" si="237"/>
        <v>5192736</v>
      </c>
      <c r="AG26" s="89">
        <f>+AG27+AG32+AG39+AG45+AG52+AG55+AG65+AG70</f>
        <v>7068000</v>
      </c>
      <c r="AH26" s="89">
        <f t="shared" si="237"/>
        <v>3553254.25</v>
      </c>
      <c r="AI26" s="89">
        <f t="shared" si="237"/>
        <v>3553254.25</v>
      </c>
      <c r="AJ26" s="89">
        <f t="shared" si="237"/>
        <v>3631381.75</v>
      </c>
      <c r="AK26" s="89">
        <f t="shared" si="237"/>
        <v>3631378.75</v>
      </c>
      <c r="AL26" s="89">
        <f t="shared" si="237"/>
        <v>3631378.75</v>
      </c>
      <c r="AM26" s="89">
        <f t="shared" si="237"/>
        <v>3631378.75</v>
      </c>
      <c r="AN26" s="89">
        <f t="shared" si="237"/>
        <v>3631378.75</v>
      </c>
      <c r="AO26" s="130">
        <v>0.75</v>
      </c>
      <c r="AP26" s="4"/>
      <c r="AQ26" s="5"/>
      <c r="AR26" s="6"/>
      <c r="AS26" s="4"/>
      <c r="AT26" s="5"/>
      <c r="AU26" s="6"/>
      <c r="AV26" s="4"/>
      <c r="AW26" s="5"/>
      <c r="AX26" s="6"/>
      <c r="AY26" s="4"/>
      <c r="AZ26" s="5"/>
      <c r="BA26" s="6"/>
      <c r="BB26" s="4"/>
      <c r="BC26" s="5"/>
      <c r="BD26" s="6"/>
      <c r="BE26" s="4"/>
      <c r="BF26" s="5"/>
      <c r="BG26" s="6"/>
      <c r="BH26" s="4"/>
      <c r="BI26" s="5"/>
      <c r="BJ26" s="6"/>
      <c r="BK26" s="4"/>
      <c r="BL26" s="5"/>
      <c r="BM26" s="6"/>
      <c r="BN26" s="4"/>
      <c r="BO26" s="5"/>
      <c r="BP26" s="6"/>
      <c r="BQ26" s="4"/>
      <c r="BR26" s="5"/>
      <c r="BS26" s="6"/>
      <c r="BT26" s="4"/>
      <c r="BU26" s="5"/>
      <c r="BV26" s="6"/>
      <c r="BW26" s="4"/>
      <c r="BX26" s="5"/>
      <c r="BY26" s="6"/>
      <c r="BZ26" s="4"/>
      <c r="CA26" s="5"/>
      <c r="CB26" s="6"/>
      <c r="CC26" s="4"/>
      <c r="CD26" s="5"/>
      <c r="CE26" s="6"/>
      <c r="CF26" s="4"/>
      <c r="CG26" s="5"/>
      <c r="CH26" s="6"/>
      <c r="CI26" s="4"/>
      <c r="CJ26" s="5"/>
      <c r="CK26" s="6"/>
      <c r="CL26" s="4"/>
      <c r="CM26" s="5"/>
      <c r="CN26" s="6"/>
      <c r="CO26" s="4"/>
      <c r="CP26" s="5"/>
      <c r="CQ26" s="6"/>
      <c r="CR26" s="4"/>
      <c r="CS26" s="5"/>
      <c r="CT26" s="6"/>
      <c r="CU26" s="4"/>
      <c r="CV26" s="5"/>
      <c r="CW26" s="6"/>
      <c r="CX26" s="4"/>
      <c r="CY26" s="5"/>
      <c r="CZ26" s="6"/>
      <c r="DA26" s="4"/>
      <c r="DB26" s="5"/>
      <c r="DC26" s="6"/>
      <c r="DD26" s="4"/>
      <c r="DE26" s="5"/>
      <c r="DF26" s="6"/>
      <c r="DG26" s="4"/>
      <c r="DH26" s="5"/>
      <c r="DI26" s="6"/>
      <c r="DK26" s="4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6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J26" s="4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6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O26" t="str">
        <f t="shared" si="235"/>
        <v>Institutional Nutrition</v>
      </c>
      <c r="FP26" t="str">
        <f t="shared" si="236"/>
        <v>Institutional Nutrition</v>
      </c>
      <c r="FQ26" t="str">
        <f t="shared" si="88"/>
        <v>Institutional Nutrition</v>
      </c>
    </row>
    <row r="27" spans="1:174" s="48" customFormat="1" outlineLevel="1" x14ac:dyDescent="0.25">
      <c r="A27" s="217" t="s">
        <v>16</v>
      </c>
      <c r="B27" s="175">
        <f t="shared" ref="B27:E27" si="238">SUM(B28:B30)</f>
        <v>0</v>
      </c>
      <c r="C27" s="175">
        <f t="shared" si="238"/>
        <v>232956</v>
      </c>
      <c r="D27" s="175">
        <f t="shared" si="238"/>
        <v>174756</v>
      </c>
      <c r="E27" s="175">
        <f t="shared" si="238"/>
        <v>0</v>
      </c>
      <c r="F27" s="175">
        <f t="shared" ref="F27:G27" si="239">SUM(F28:F30)</f>
        <v>379968</v>
      </c>
      <c r="G27" s="175">
        <f t="shared" si="239"/>
        <v>124884</v>
      </c>
      <c r="H27" s="175">
        <f t="shared" ref="H27:I27" si="240">SUM(H28:H30)</f>
        <v>416124</v>
      </c>
      <c r="I27" s="175">
        <f t="shared" si="240"/>
        <v>553788</v>
      </c>
      <c r="J27" s="175">
        <f t="shared" ref="J27:L27" si="241">SUM(J28:J30)</f>
        <v>0</v>
      </c>
      <c r="K27" s="175">
        <f t="shared" ref="K27" si="242">SUM(K28:K30)</f>
        <v>0</v>
      </c>
      <c r="L27" s="175">
        <f t="shared" si="241"/>
        <v>672360</v>
      </c>
      <c r="M27" s="218">
        <f t="shared" ref="M27:N27" si="243">SUM(M28:M30)</f>
        <v>0</v>
      </c>
      <c r="N27" s="175">
        <f t="shared" si="243"/>
        <v>400008</v>
      </c>
      <c r="O27" s="175">
        <f>SUM(O28:O30)</f>
        <v>272352</v>
      </c>
      <c r="P27" s="218">
        <f t="shared" ref="P27:Q27" si="244">SUM(P28:P30)</f>
        <v>200000</v>
      </c>
      <c r="Q27" s="218">
        <f t="shared" si="244"/>
        <v>200000</v>
      </c>
      <c r="R27" s="175">
        <f t="shared" ref="R27:S27" si="245">SUM(R28:R30)</f>
        <v>375012</v>
      </c>
      <c r="S27" s="175">
        <f t="shared" si="245"/>
        <v>0</v>
      </c>
      <c r="T27" s="219">
        <f t="shared" ref="T27" si="246">SUM(T28:T30)</f>
        <v>-375012</v>
      </c>
      <c r="U27" s="175">
        <f>SUM(U28:U30)</f>
        <v>329988</v>
      </c>
      <c r="V27" s="220">
        <f>SUM(V28:V30)</f>
        <v>329988</v>
      </c>
      <c r="W27" s="220">
        <v>0</v>
      </c>
      <c r="X27" s="220">
        <f t="shared" ref="X27" si="247">SUM(X28:X30)</f>
        <v>0</v>
      </c>
      <c r="Y27" s="243">
        <f>SUM(Y28:Y30)</f>
        <v>0</v>
      </c>
      <c r="Z27" s="220"/>
      <c r="AA27" s="220"/>
      <c r="AB27" s="244">
        <f t="shared" ref="AB27:AG27" si="248">SUM(AB28:AB31)</f>
        <v>0</v>
      </c>
      <c r="AC27" s="243">
        <f t="shared" si="248"/>
        <v>550016</v>
      </c>
      <c r="AD27" s="220">
        <f t="shared" si="248"/>
        <v>550016</v>
      </c>
      <c r="AE27" s="244">
        <f t="shared" si="248"/>
        <v>350016</v>
      </c>
      <c r="AF27" s="220">
        <f t="shared" si="248"/>
        <v>0</v>
      </c>
      <c r="AG27" s="220">
        <f t="shared" si="248"/>
        <v>0</v>
      </c>
      <c r="AH27" s="220">
        <f t="shared" ref="AH27:AN27" si="249">218750*$AO$26</f>
        <v>164062.5</v>
      </c>
      <c r="AI27" s="220">
        <f t="shared" si="249"/>
        <v>164062.5</v>
      </c>
      <c r="AJ27" s="220">
        <f t="shared" si="249"/>
        <v>164062.5</v>
      </c>
      <c r="AK27" s="220">
        <f t="shared" si="249"/>
        <v>164062.5</v>
      </c>
      <c r="AL27" s="220">
        <f t="shared" si="249"/>
        <v>164062.5</v>
      </c>
      <c r="AM27" s="220">
        <f t="shared" si="249"/>
        <v>164062.5</v>
      </c>
      <c r="AN27" s="220">
        <f t="shared" si="249"/>
        <v>164062.5</v>
      </c>
      <c r="AO27" s="179"/>
      <c r="AP27" s="221"/>
      <c r="AQ27" s="175"/>
      <c r="AR27" s="222"/>
      <c r="AS27" s="221"/>
      <c r="AT27" s="175"/>
      <c r="AU27" s="222"/>
      <c r="AV27" s="221"/>
      <c r="AW27" s="175"/>
      <c r="AX27" s="222"/>
      <c r="AY27" s="221"/>
      <c r="AZ27" s="175"/>
      <c r="BA27" s="222"/>
      <c r="BB27" s="221"/>
      <c r="BC27" s="175"/>
      <c r="BD27" s="222"/>
      <c r="BE27" s="221"/>
      <c r="BF27" s="175"/>
      <c r="BG27" s="222"/>
      <c r="BH27" s="221"/>
      <c r="BI27" s="175"/>
      <c r="BJ27" s="222"/>
      <c r="BK27" s="221"/>
      <c r="BL27" s="175"/>
      <c r="BM27" s="222"/>
      <c r="BN27" s="221"/>
      <c r="BO27" s="175"/>
      <c r="BP27" s="222"/>
      <c r="BQ27" s="221"/>
      <c r="BR27" s="175"/>
      <c r="BS27" s="222"/>
      <c r="BT27" s="221"/>
      <c r="BU27" s="175"/>
      <c r="BV27" s="222"/>
      <c r="BW27" s="221"/>
      <c r="BX27" s="175"/>
      <c r="BY27" s="222"/>
      <c r="BZ27" s="221"/>
      <c r="CA27" s="175"/>
      <c r="CB27" s="222"/>
      <c r="CC27" s="221"/>
      <c r="CD27" s="175"/>
      <c r="CE27" s="222"/>
      <c r="CF27" s="221"/>
      <c r="CG27" s="175"/>
      <c r="CH27" s="222"/>
      <c r="CI27" s="221" t="str">
        <f>+CI28</f>
        <v>W2</v>
      </c>
      <c r="CJ27" s="175">
        <f t="shared" ref="CJ27:CK27" si="250">+CJ28</f>
        <v>199991.99999999997</v>
      </c>
      <c r="CK27" s="222">
        <f t="shared" si="250"/>
        <v>7</v>
      </c>
      <c r="CL27" s="221" t="str">
        <f t="shared" ref="CL27:CL74" si="251">+CI27</f>
        <v>W2</v>
      </c>
      <c r="CM27" s="175">
        <f t="shared" ref="CM27:CM74" si="252">+CJ27</f>
        <v>199991.99999999997</v>
      </c>
      <c r="CN27" s="222">
        <f t="shared" ref="CN27:CN74" si="253">+CK27</f>
        <v>7</v>
      </c>
      <c r="CO27" s="221" t="str">
        <f t="shared" ref="CO27:CP74" si="254">+CL27</f>
        <v>W2</v>
      </c>
      <c r="CP27" s="175">
        <f>CM27</f>
        <v>199991.99999999997</v>
      </c>
      <c r="CQ27" s="222">
        <f t="shared" ref="CQ27:CQ74" si="255">+CN27</f>
        <v>7</v>
      </c>
      <c r="CR27" s="221" t="str">
        <f t="shared" ref="CR27:CR74" si="256">+CO27</f>
        <v>W2</v>
      </c>
      <c r="CS27" s="175">
        <f t="shared" ref="CS27:CS74" si="257">+CP27</f>
        <v>199991.99999999997</v>
      </c>
      <c r="CT27" s="222">
        <f t="shared" ref="CT27:CT74" si="258">+CQ27</f>
        <v>7</v>
      </c>
      <c r="CU27" s="221" t="str">
        <f t="shared" ref="CU27:CU74" si="259">+CR27</f>
        <v>W2</v>
      </c>
      <c r="CV27" s="175">
        <f t="shared" ref="CV27:CV74" si="260">+CS27</f>
        <v>199991.99999999997</v>
      </c>
      <c r="CW27" s="222">
        <f t="shared" ref="CW27:CW74" si="261">+CT27</f>
        <v>7</v>
      </c>
      <c r="CX27" s="221" t="str">
        <f t="shared" ref="CX27:CX74" si="262">+CU27</f>
        <v>W2</v>
      </c>
      <c r="CY27" s="175">
        <f t="shared" ref="CY27:CY74" si="263">+CV27</f>
        <v>199991.99999999997</v>
      </c>
      <c r="CZ27" s="222">
        <f t="shared" ref="CZ27:CZ74" si="264">+CW27</f>
        <v>7</v>
      </c>
      <c r="DA27" s="221" t="str">
        <f t="shared" ref="DA27:DA74" si="265">+CX27</f>
        <v>W2</v>
      </c>
      <c r="DB27" s="175">
        <f t="shared" ref="DB27:DB74" si="266">+CY27</f>
        <v>199991.99999999997</v>
      </c>
      <c r="DC27" s="222">
        <f t="shared" ref="DC27:DC74" si="267">+CZ27</f>
        <v>7</v>
      </c>
      <c r="DD27" s="221" t="str">
        <f t="shared" ref="DD27:DD74" si="268">+DA27</f>
        <v>W2</v>
      </c>
      <c r="DE27" s="175">
        <f t="shared" ref="DE27:DE74" si="269">+DB27</f>
        <v>199991.99999999997</v>
      </c>
      <c r="DF27" s="222">
        <f t="shared" ref="DF27:DF74" si="270">+DC27</f>
        <v>7</v>
      </c>
      <c r="DG27" s="221" t="str">
        <f t="shared" ref="DG27:DG74" si="271">+DD27</f>
        <v>W2</v>
      </c>
      <c r="DH27" s="175">
        <f t="shared" ref="DH27:DH74" si="272">+DE27</f>
        <v>199991.99999999997</v>
      </c>
      <c r="DI27" s="222">
        <f t="shared" ref="DI27:DI74" si="273">+DF27</f>
        <v>7</v>
      </c>
      <c r="DK27" s="221"/>
      <c r="DL27" s="175"/>
      <c r="DM27" s="175"/>
      <c r="DN27" s="175"/>
      <c r="DO27" s="175"/>
      <c r="DP27" s="175"/>
      <c r="DQ27" s="175"/>
      <c r="DR27" s="175"/>
      <c r="DS27" s="175"/>
      <c r="DT27" s="175"/>
      <c r="DU27" s="175"/>
      <c r="DV27" s="222"/>
      <c r="DW27" s="175">
        <f>IFERROR(ROUNDUP(+Y27/CA27,0),0)</f>
        <v>0</v>
      </c>
      <c r="DX27" s="175">
        <f>IFERROR(ROUNDUP(+AE27/CD27,0),0)</f>
        <v>0</v>
      </c>
      <c r="DY27" s="175">
        <f>IFERROR(ROUNDUP(+AF27/CG27,0),0)</f>
        <v>0</v>
      </c>
      <c r="DZ27" s="175">
        <f>IFERROR(ROUNDUP(+AG27/CJ27,0),0)</f>
        <v>0</v>
      </c>
      <c r="EA27" s="175">
        <f>IFERROR(ROUNDUP(+AH27/CM27,0),0)</f>
        <v>1</v>
      </c>
      <c r="EB27" s="175">
        <f>IFERROR(ROUNDUP(+AI27/CP27,0),0)</f>
        <v>1</v>
      </c>
      <c r="EC27" s="175">
        <f>IFERROR(ROUNDUP(+AJ27/CS27,0),0)</f>
        <v>1</v>
      </c>
      <c r="ED27" s="175">
        <f>IFERROR(ROUNDUP(+AK27/CV27,0),0)</f>
        <v>1</v>
      </c>
      <c r="EE27" s="175">
        <f>IFERROR(ROUNDUP(+AL27/CY27,0),0)</f>
        <v>1</v>
      </c>
      <c r="EF27" s="175">
        <f>IFERROR(ROUNDUP(+AM27/DB27,0),0)</f>
        <v>1</v>
      </c>
      <c r="EG27" s="175">
        <f>IFERROR(ROUNDUP(+AN27/DE27,0),0)</f>
        <v>1</v>
      </c>
      <c r="EH27" s="175">
        <f>IFERROR(ROUNDUP(+#REF!/DH27,0),0)</f>
        <v>0</v>
      </c>
      <c r="EJ27" s="221">
        <f>$AR27*DK27</f>
        <v>0</v>
      </c>
      <c r="EK27" s="175">
        <f>$AU27*DL27</f>
        <v>0</v>
      </c>
      <c r="EL27" s="175">
        <f>$AX27*DM27</f>
        <v>0</v>
      </c>
      <c r="EM27" s="175">
        <f>$BA27*DN27</f>
        <v>0</v>
      </c>
      <c r="EN27" s="175">
        <f>$BD27*DO27</f>
        <v>0</v>
      </c>
      <c r="EO27" s="175">
        <f t="shared" ref="EO27" si="274">$BG27*DP27</f>
        <v>0</v>
      </c>
      <c r="EP27" s="175">
        <f t="shared" ref="EP27:EP74" si="275">BJ27*DQ27</f>
        <v>0</v>
      </c>
      <c r="EQ27" s="175">
        <f t="shared" ref="EQ27:EQ74" si="276">+BM27*DR27</f>
        <v>0</v>
      </c>
      <c r="ER27" s="175">
        <f t="shared" ref="ER27:ER74" si="277">BP27*DS27</f>
        <v>0</v>
      </c>
      <c r="ES27" s="175">
        <f t="shared" ref="ES27:ES74" si="278">+BS27*DT27</f>
        <v>0</v>
      </c>
      <c r="ET27" s="175">
        <f t="shared" ref="ET27:ET74" si="279">+BV27*DU27</f>
        <v>0</v>
      </c>
      <c r="EU27" s="222">
        <f t="shared" ref="EU27:EU74" si="280">+BY27*DV27</f>
        <v>0</v>
      </c>
      <c r="EV27" s="175">
        <f t="shared" ref="EV27:EV74" si="281">+CB27*DW27</f>
        <v>0</v>
      </c>
      <c r="EW27" s="175">
        <f t="shared" ref="EW27:EW74" si="282">+CE27*DX27</f>
        <v>0</v>
      </c>
      <c r="EX27" s="175">
        <f t="shared" ref="EX27:EX74" si="283">+CH27*DY27</f>
        <v>0</v>
      </c>
      <c r="EY27" s="175">
        <f t="shared" ref="EY27:EY74" si="284">+CK27*DZ27</f>
        <v>0</v>
      </c>
      <c r="EZ27" s="175">
        <f t="shared" ref="EZ27:EZ74" si="285">+CN27*EA27</f>
        <v>7</v>
      </c>
      <c r="FA27" s="175">
        <f t="shared" ref="FA27:FA74" si="286">+CQ27*EB27</f>
        <v>7</v>
      </c>
      <c r="FB27" s="175">
        <f t="shared" ref="FB27:FB74" si="287">+CT27*EC27</f>
        <v>7</v>
      </c>
      <c r="FC27" s="175">
        <f t="shared" ref="FC27:FC74" si="288">+CW27*ED27</f>
        <v>7</v>
      </c>
      <c r="FD27" s="175">
        <f t="shared" ref="FD27:FD74" si="289">+CZ27*EE27</f>
        <v>7</v>
      </c>
      <c r="FE27" s="175">
        <f t="shared" ref="FE27:FE74" si="290">+DC27*EF27</f>
        <v>7</v>
      </c>
      <c r="FF27" s="175">
        <f t="shared" ref="FF27:FF74" si="291">+DF27*EG27</f>
        <v>7</v>
      </c>
      <c r="FG27" s="175">
        <f t="shared" ref="FG27:FG74" si="292">+DI27*EH27</f>
        <v>0</v>
      </c>
      <c r="FO27" s="48" t="str">
        <f t="shared" si="235"/>
        <v>2.6 oz</v>
      </c>
      <c r="FP27" s="48" t="str">
        <f t="shared" si="236"/>
        <v>2.6 oz</v>
      </c>
      <c r="FQ27" s="48" t="str">
        <f t="shared" si="88"/>
        <v>2.6 oz</v>
      </c>
    </row>
    <row r="28" spans="1:174" outlineLevel="2" x14ac:dyDescent="0.25">
      <c r="A28" s="43" t="s">
        <v>17</v>
      </c>
      <c r="B28" s="9">
        <f>SUMIF(Prophix!$Q:$Q,'Fds Units'!$A28,Prophix!D:D)</f>
        <v>0</v>
      </c>
      <c r="C28" s="9">
        <f>SUMIF(Prophix!$Q:$Q,'Fds Units'!$A28,Prophix!E:E)</f>
        <v>0</v>
      </c>
      <c r="D28" s="9">
        <f>SUMIF(Prophix!$Q:$Q,'Fds Units'!$A28,Prophix!F:F)</f>
        <v>0</v>
      </c>
      <c r="E28" s="9">
        <f>SUMIF(Prophix!$Q:$Q,'Fds Units'!$A28,Prophix!G:G)</f>
        <v>0</v>
      </c>
      <c r="F28" s="9">
        <f>SUMIF(Prophix!$Q:$Q,'Fds Units'!$A28,Prophix!H:H)</f>
        <v>379968</v>
      </c>
      <c r="G28" s="9">
        <f>SUMIF(Prophix!$Q:$Q,'Fds Units'!$A28,Prophix!I:I)</f>
        <v>0</v>
      </c>
      <c r="H28" s="9">
        <f>SUMIF(Prophix!$Q:$Q,'Fds Units'!$A28,Prophix!J:J)</f>
        <v>416124</v>
      </c>
      <c r="I28" s="9">
        <f>SUMIF(Prophix!$Q:$Q,'Fds Units'!$A28,Prophix!K:K)</f>
        <v>0</v>
      </c>
      <c r="J28" s="9">
        <f>SUMIF(Prophix!$Q:$Q,'Fds Units'!$A28,Prophix!L:L)</f>
        <v>0</v>
      </c>
      <c r="K28" s="9">
        <f>SUMIF(Prophix!$Q:$Q,'Fds Units'!$A28,Prophix!M:M)</f>
        <v>0</v>
      </c>
      <c r="L28" s="92">
        <v>672360</v>
      </c>
      <c r="M28" s="133"/>
      <c r="N28" s="92">
        <v>400008</v>
      </c>
      <c r="O28" s="92">
        <f>L28-N28</f>
        <v>272352</v>
      </c>
      <c r="P28" s="142">
        <v>200000</v>
      </c>
      <c r="Q28" s="133">
        <f>P28</f>
        <v>200000</v>
      </c>
      <c r="R28" s="92">
        <v>375012</v>
      </c>
      <c r="S28" s="92"/>
      <c r="T28" s="186">
        <f>S28-R28</f>
        <v>-375012</v>
      </c>
      <c r="U28" s="9">
        <v>129996</v>
      </c>
      <c r="V28" s="9">
        <v>129996</v>
      </c>
      <c r="W28" s="9"/>
      <c r="X28" s="9"/>
      <c r="Y28" s="8"/>
      <c r="Z28" s="9">
        <v>0</v>
      </c>
      <c r="AA28" s="9">
        <v>0</v>
      </c>
      <c r="AB28" s="242">
        <f t="shared" ref="AB28:AB31" si="293">AA28-Z28</f>
        <v>0</v>
      </c>
      <c r="AC28" s="241">
        <v>200000</v>
      </c>
      <c r="AD28" s="165">
        <v>200000</v>
      </c>
      <c r="AE28" s="242">
        <v>0</v>
      </c>
      <c r="AF28" s="9">
        <v>0</v>
      </c>
      <c r="AG28" s="9">
        <v>0</v>
      </c>
      <c r="AH28" s="66"/>
      <c r="AI28" s="66"/>
      <c r="AJ28" s="66"/>
      <c r="AK28" s="66"/>
      <c r="AL28" s="66"/>
      <c r="AM28" s="66"/>
      <c r="AN28" s="66"/>
      <c r="AO28" s="59"/>
      <c r="AP28" s="8" t="s">
        <v>77</v>
      </c>
      <c r="AQ28" s="9">
        <v>200000</v>
      </c>
      <c r="AR28" s="10">
        <v>7</v>
      </c>
      <c r="AS28" s="8" t="s">
        <v>77</v>
      </c>
      <c r="AT28" s="9">
        <v>200000</v>
      </c>
      <c r="AU28" s="10">
        <v>7</v>
      </c>
      <c r="AV28" s="8" t="s">
        <v>77</v>
      </c>
      <c r="AW28" s="9">
        <v>200000</v>
      </c>
      <c r="AX28" s="10">
        <v>7</v>
      </c>
      <c r="AY28" s="8" t="s">
        <v>77</v>
      </c>
      <c r="AZ28" s="9">
        <v>200000</v>
      </c>
      <c r="BA28" s="10">
        <v>7</v>
      </c>
      <c r="BB28" s="8" t="s">
        <v>77</v>
      </c>
      <c r="BC28" s="9">
        <v>190000</v>
      </c>
      <c r="BD28" s="10">
        <v>6</v>
      </c>
      <c r="BE28" s="8" t="s">
        <v>77</v>
      </c>
      <c r="BF28" s="9">
        <v>200000</v>
      </c>
      <c r="BG28" s="10">
        <v>7</v>
      </c>
      <c r="BH28" s="8" t="s">
        <v>77</v>
      </c>
      <c r="BI28" s="9">
        <f>+H28/2</f>
        <v>208062</v>
      </c>
      <c r="BJ28" s="10">
        <v>7</v>
      </c>
      <c r="BK28" s="8" t="s">
        <v>77</v>
      </c>
      <c r="BL28" s="9">
        <v>200000</v>
      </c>
      <c r="BM28" s="10">
        <v>7</v>
      </c>
      <c r="BN28" s="8" t="s">
        <v>77</v>
      </c>
      <c r="BO28" s="9">
        <v>200004</v>
      </c>
      <c r="BP28" s="10">
        <v>7</v>
      </c>
      <c r="BQ28" s="8" t="s">
        <v>77</v>
      </c>
      <c r="BR28" s="9">
        <v>200004</v>
      </c>
      <c r="BS28" s="10">
        <v>7</v>
      </c>
      <c r="BT28" s="8" t="s">
        <v>77</v>
      </c>
      <c r="BU28" s="9">
        <v>200004</v>
      </c>
      <c r="BV28" s="10">
        <v>7</v>
      </c>
      <c r="BW28" s="8" t="s">
        <v>77</v>
      </c>
      <c r="BX28" s="9">
        <f>+BU28</f>
        <v>200004</v>
      </c>
      <c r="BY28" s="10">
        <v>7</v>
      </c>
      <c r="BZ28" s="8" t="str">
        <f t="shared" ref="BZ28:BZ74" si="294">+BW28</f>
        <v>W2</v>
      </c>
      <c r="CA28" s="9">
        <v>199991.99999999997</v>
      </c>
      <c r="CB28" s="10">
        <f t="shared" ref="CB28:CB74" si="295">+BY28</f>
        <v>7</v>
      </c>
      <c r="CC28" s="8" t="str">
        <f t="shared" ref="CC28:CC74" si="296">+BZ28</f>
        <v>W2</v>
      </c>
      <c r="CD28" s="9">
        <f t="shared" ref="CD28:CD74" si="297">+CA28</f>
        <v>199991.99999999997</v>
      </c>
      <c r="CE28" s="10">
        <f t="shared" ref="CE28:CE74" si="298">+CB28</f>
        <v>7</v>
      </c>
      <c r="CF28" s="8" t="str">
        <f t="shared" ref="CF28:CF74" si="299">+CC28</f>
        <v>W2</v>
      </c>
      <c r="CG28" s="9">
        <f t="shared" ref="CG28:CG74" si="300">+CD28</f>
        <v>199991.99999999997</v>
      </c>
      <c r="CH28" s="10">
        <f t="shared" ref="CH28:CH74" si="301">+CE28</f>
        <v>7</v>
      </c>
      <c r="CI28" s="8" t="str">
        <f t="shared" ref="CI28:CI74" si="302">+CF28</f>
        <v>W2</v>
      </c>
      <c r="CJ28" s="9">
        <f t="shared" ref="CJ28:CJ74" si="303">+CG28</f>
        <v>199991.99999999997</v>
      </c>
      <c r="CK28" s="10">
        <f t="shared" ref="CK28:CK74" si="304">+CH28</f>
        <v>7</v>
      </c>
      <c r="CL28" s="8" t="str">
        <f t="shared" si="251"/>
        <v>W2</v>
      </c>
      <c r="CM28" s="9">
        <f t="shared" si="252"/>
        <v>199991.99999999997</v>
      </c>
      <c r="CN28" s="10">
        <f t="shared" si="253"/>
        <v>7</v>
      </c>
      <c r="CO28" s="8" t="str">
        <f t="shared" si="254"/>
        <v>W2</v>
      </c>
      <c r="CP28" s="11">
        <f t="shared" si="254"/>
        <v>199991.99999999997</v>
      </c>
      <c r="CQ28" s="10">
        <f t="shared" si="255"/>
        <v>7</v>
      </c>
      <c r="CR28" s="8" t="str">
        <f t="shared" si="256"/>
        <v>W2</v>
      </c>
      <c r="CS28" s="9">
        <f t="shared" si="257"/>
        <v>199991.99999999997</v>
      </c>
      <c r="CT28" s="10">
        <f t="shared" si="258"/>
        <v>7</v>
      </c>
      <c r="CU28" s="8" t="str">
        <f t="shared" si="259"/>
        <v>W2</v>
      </c>
      <c r="CV28" s="9">
        <f t="shared" si="260"/>
        <v>199991.99999999997</v>
      </c>
      <c r="CW28" s="10">
        <f t="shared" si="261"/>
        <v>7</v>
      </c>
      <c r="CX28" s="8" t="str">
        <f t="shared" si="262"/>
        <v>W2</v>
      </c>
      <c r="CY28" s="9">
        <f t="shared" si="263"/>
        <v>199991.99999999997</v>
      </c>
      <c r="CZ28" s="10">
        <f t="shared" si="264"/>
        <v>7</v>
      </c>
      <c r="DA28" s="8" t="str">
        <f t="shared" si="265"/>
        <v>W2</v>
      </c>
      <c r="DB28" s="9">
        <f t="shared" si="266"/>
        <v>199991.99999999997</v>
      </c>
      <c r="DC28" s="10">
        <f t="shared" si="267"/>
        <v>7</v>
      </c>
      <c r="DD28" s="8" t="str">
        <f t="shared" si="268"/>
        <v>W2</v>
      </c>
      <c r="DE28" s="9">
        <f t="shared" si="269"/>
        <v>199991.99999999997</v>
      </c>
      <c r="DF28" s="10">
        <f t="shared" si="270"/>
        <v>7</v>
      </c>
      <c r="DG28" s="8" t="str">
        <f t="shared" si="271"/>
        <v>W2</v>
      </c>
      <c r="DH28" s="9">
        <f t="shared" si="272"/>
        <v>199991.99999999997</v>
      </c>
      <c r="DI28" s="10">
        <f t="shared" si="273"/>
        <v>7</v>
      </c>
      <c r="DK28" s="8">
        <f>IFERROR(ROUNDUP(+B28/$AQ28,0),0)</f>
        <v>0</v>
      </c>
      <c r="DL28" s="9">
        <f>IFERROR(ROUNDUP(+C28/$AT28,0),0)</f>
        <v>0</v>
      </c>
      <c r="DM28" s="9">
        <f>IFERROR(ROUNDUP(+D28/$AW28,0),0)</f>
        <v>0</v>
      </c>
      <c r="DN28" s="9">
        <f>IFERROR(ROUNDUP(+E28/$AZ28,0),0)</f>
        <v>0</v>
      </c>
      <c r="DO28" s="9">
        <f>IFERROR(ROUNDUP(+F28/$BC28,0),0)</f>
        <v>2</v>
      </c>
      <c r="DP28" s="9">
        <f>IFERROR(ROUNDUP(+G28/$BF28,0),0)</f>
        <v>0</v>
      </c>
      <c r="DQ28" s="9">
        <f>IFERROR(ROUNDUP(+$H28/$BI28,0),0)</f>
        <v>2</v>
      </c>
      <c r="DR28" s="9">
        <f>IFERROR(ROUNDUP(+I28/$BL28,0),0)</f>
        <v>0</v>
      </c>
      <c r="DS28" s="9">
        <f>IFERROR(ROUNDUP(J28/BO28,0),0)</f>
        <v>0</v>
      </c>
      <c r="DT28" s="9">
        <f>IFERROR(ROUNDUP(+K28/BR28,0),0)</f>
        <v>0</v>
      </c>
      <c r="DU28" s="9">
        <v>4</v>
      </c>
      <c r="DV28" s="10">
        <f>IFERROR(ROUNDUP(+R28/BX28,0),0)</f>
        <v>2</v>
      </c>
      <c r="DW28" s="9">
        <f>IFERROR(ROUNDUP(+V28/CA28,0),0)</f>
        <v>1</v>
      </c>
      <c r="DX28" s="9">
        <f>IFERROR(ROUNDUP(+Y28/CD28,0),0)</f>
        <v>0</v>
      </c>
      <c r="DY28" s="9">
        <f>IFERROR(ROUNDUP(+AE28/CG28,0),0)</f>
        <v>0</v>
      </c>
      <c r="DZ28" s="9">
        <f>IFERROR(ROUNDUP(+AF28/CJ28,0),0)</f>
        <v>0</v>
      </c>
      <c r="EA28" s="9">
        <f>IFERROR(ROUNDUP(+AG28/CM28,0),0)</f>
        <v>0</v>
      </c>
      <c r="EB28" s="9">
        <f>IFERROR(ROUNDUP(+AH28/CP28,0),0)</f>
        <v>0</v>
      </c>
      <c r="EC28" s="9">
        <f>IFERROR(ROUNDUP(+AI28/CS28,0),0)</f>
        <v>0</v>
      </c>
      <c r="ED28" s="9">
        <f>IFERROR(ROUNDUP(+AJ28/CV28,0),0)</f>
        <v>0</v>
      </c>
      <c r="EE28" s="9">
        <f>IFERROR(ROUNDUP(+AK28/CY28,0),0)</f>
        <v>0</v>
      </c>
      <c r="EF28" s="9">
        <f>IFERROR(ROUNDUP(+AL28/DB28,0),0)</f>
        <v>0</v>
      </c>
      <c r="EG28" s="9">
        <f>IFERROR(ROUNDUP(+AM28/DE28,0),0)</f>
        <v>0</v>
      </c>
      <c r="EH28" s="9">
        <f>IFERROR(ROUNDUP(+AN28/DH28,0),0)</f>
        <v>0</v>
      </c>
      <c r="EJ28" s="8">
        <f t="shared" ref="EJ28:EJ74" si="305">$AR28*DK28</f>
        <v>0</v>
      </c>
      <c r="EK28" s="9">
        <f t="shared" ref="EK28:EK74" si="306">$AU28*DL28</f>
        <v>0</v>
      </c>
      <c r="EL28" s="9">
        <f t="shared" ref="EL28:EL74" si="307">$AX28*DM28</f>
        <v>0</v>
      </c>
      <c r="EM28" s="9">
        <f t="shared" ref="EM28:EM74" si="308">$BA28*DN28</f>
        <v>0</v>
      </c>
      <c r="EN28" s="9">
        <f t="shared" ref="EN28:EN74" si="309">$BD28*DO28</f>
        <v>12</v>
      </c>
      <c r="EO28" s="9">
        <f t="shared" ref="EO28:EO74" si="310">$BG28*DP28</f>
        <v>0</v>
      </c>
      <c r="EP28" s="9">
        <f t="shared" si="275"/>
        <v>14</v>
      </c>
      <c r="EQ28" s="9">
        <f t="shared" si="276"/>
        <v>0</v>
      </c>
      <c r="ER28" s="9">
        <f t="shared" si="277"/>
        <v>0</v>
      </c>
      <c r="ES28" s="9">
        <f t="shared" si="278"/>
        <v>0</v>
      </c>
      <c r="ET28" s="9">
        <f t="shared" si="279"/>
        <v>28</v>
      </c>
      <c r="EU28" s="10">
        <f t="shared" si="280"/>
        <v>14</v>
      </c>
      <c r="EV28" s="9">
        <f t="shared" si="281"/>
        <v>7</v>
      </c>
      <c r="EW28" s="9">
        <f t="shared" si="282"/>
        <v>0</v>
      </c>
      <c r="EX28" s="9">
        <f t="shared" si="283"/>
        <v>0</v>
      </c>
      <c r="EY28" s="9">
        <f t="shared" si="284"/>
        <v>0</v>
      </c>
      <c r="EZ28" s="9">
        <f t="shared" si="285"/>
        <v>0</v>
      </c>
      <c r="FA28" s="9">
        <f t="shared" si="286"/>
        <v>0</v>
      </c>
      <c r="FB28" s="9">
        <f t="shared" si="287"/>
        <v>0</v>
      </c>
      <c r="FC28" s="9">
        <f t="shared" si="288"/>
        <v>0</v>
      </c>
      <c r="FD28" s="9">
        <f t="shared" si="289"/>
        <v>0</v>
      </c>
      <c r="FE28" s="9">
        <f t="shared" si="290"/>
        <v>0</v>
      </c>
      <c r="FF28" s="9">
        <f t="shared" si="291"/>
        <v>0</v>
      </c>
      <c r="FG28" s="9">
        <f t="shared" si="292"/>
        <v>0</v>
      </c>
      <c r="FO28" t="str">
        <f t="shared" si="235"/>
        <v xml:space="preserve">            (85129) FLB/DT WHITE CHICKENW2</v>
      </c>
      <c r="FP28" t="str">
        <f t="shared" si="236"/>
        <v xml:space="preserve">            (85129) FLB/DT WHITE CHICKENW2</v>
      </c>
      <c r="FQ28" t="str">
        <f t="shared" si="88"/>
        <v xml:space="preserve">            (85129) FLB/DT WHITE CHICKENW2</v>
      </c>
      <c r="FR28" t="s">
        <v>853</v>
      </c>
    </row>
    <row r="29" spans="1:174" outlineLevel="2" x14ac:dyDescent="0.25">
      <c r="A29" s="43" t="s">
        <v>18</v>
      </c>
      <c r="B29" s="9">
        <f>SUMIF(Prophix!$Q:$Q,'Fds Units'!$A29,Prophix!D:D)</f>
        <v>0</v>
      </c>
      <c r="C29" s="9">
        <f>SUMIF(Prophix!$Q:$Q,'Fds Units'!$A29,Prophix!E:E)</f>
        <v>232956</v>
      </c>
      <c r="D29" s="9">
        <f>SUMIF(Prophix!$Q:$Q,'Fds Units'!$A29,Prophix!F:F)</f>
        <v>174756</v>
      </c>
      <c r="E29" s="9">
        <f>SUMIF(Prophix!$Q:$Q,'Fds Units'!$A29,Prophix!G:G)</f>
        <v>0</v>
      </c>
      <c r="F29" s="9">
        <f>SUMIF(Prophix!$Q:$Q,'Fds Units'!$A29,Prophix!H:H)</f>
        <v>0</v>
      </c>
      <c r="G29" s="9">
        <f>SUMIF(Prophix!$Q:$Q,'Fds Units'!$A29,Prophix!I:I)</f>
        <v>124884</v>
      </c>
      <c r="H29" s="9">
        <f>SUMIF(Prophix!$Q:$Q,'Fds Units'!$A29,Prophix!J:J)</f>
        <v>0</v>
      </c>
      <c r="I29" s="9">
        <f>SUMIF(Prophix!$Q:$Q,'Fds Units'!$A29,Prophix!K:K)</f>
        <v>553788</v>
      </c>
      <c r="J29" s="9">
        <f>SUMIF(Prophix!$Q:$Q,'Fds Units'!$A29,Prophix!L:L)</f>
        <v>0</v>
      </c>
      <c r="K29" s="9">
        <f>SUMIF(Prophix!$Q:$Q,'Fds Units'!$A29,Prophix!M:M)</f>
        <v>0</v>
      </c>
      <c r="L29" s="92"/>
      <c r="M29" s="133"/>
      <c r="N29" s="92">
        <f>SUMIF(Schedule!$R:$R,$FP29,Schedule!P:P)</f>
        <v>0</v>
      </c>
      <c r="O29" s="9">
        <f t="shared" ref="O29:O30" si="311">+N29-M29</f>
        <v>0</v>
      </c>
      <c r="P29" s="142"/>
      <c r="Q29" s="133">
        <f t="shared" ref="Q29:Q30" si="312">+P29-O29</f>
        <v>0</v>
      </c>
      <c r="R29" s="92"/>
      <c r="S29" s="92"/>
      <c r="T29" s="186">
        <f>S29-R29</f>
        <v>0</v>
      </c>
      <c r="U29" s="9">
        <v>199991.99999999997</v>
      </c>
      <c r="V29" s="9">
        <v>199992</v>
      </c>
      <c r="W29" s="9"/>
      <c r="X29" s="9"/>
      <c r="Y29" s="8"/>
      <c r="Z29" s="9">
        <v>0</v>
      </c>
      <c r="AA29" s="9">
        <v>0</v>
      </c>
      <c r="AB29" s="242">
        <f t="shared" si="293"/>
        <v>0</v>
      </c>
      <c r="AC29" s="241">
        <v>0</v>
      </c>
      <c r="AD29" s="165">
        <v>0</v>
      </c>
      <c r="AE29" s="242">
        <v>0</v>
      </c>
      <c r="AF29" s="9">
        <v>0</v>
      </c>
      <c r="AG29" s="9">
        <v>0</v>
      </c>
      <c r="AH29" s="66"/>
      <c r="AI29" s="66"/>
      <c r="AJ29" s="66"/>
      <c r="AK29" s="66"/>
      <c r="AL29" s="66"/>
      <c r="AM29" s="66"/>
      <c r="AN29" s="66"/>
      <c r="AO29" s="59"/>
      <c r="AP29" s="8" t="s">
        <v>77</v>
      </c>
      <c r="AQ29" s="9">
        <v>200000</v>
      </c>
      <c r="AR29" s="10">
        <v>7</v>
      </c>
      <c r="AS29" s="8" t="s">
        <v>77</v>
      </c>
      <c r="AT29" s="9">
        <v>235000</v>
      </c>
      <c r="AU29" s="10">
        <v>7</v>
      </c>
      <c r="AV29" s="8" t="s">
        <v>77</v>
      </c>
      <c r="AW29" s="9">
        <v>200000</v>
      </c>
      <c r="AX29" s="10">
        <v>7</v>
      </c>
      <c r="AY29" s="8" t="s">
        <v>77</v>
      </c>
      <c r="AZ29" s="9">
        <v>200000</v>
      </c>
      <c r="BA29" s="10">
        <v>7</v>
      </c>
      <c r="BB29" s="8" t="s">
        <v>77</v>
      </c>
      <c r="BC29" s="9">
        <v>200000</v>
      </c>
      <c r="BD29" s="10">
        <v>7</v>
      </c>
      <c r="BE29" s="8" t="s">
        <v>77</v>
      </c>
      <c r="BF29" s="9">
        <f>+G29/1</f>
        <v>124884</v>
      </c>
      <c r="BG29" s="10">
        <v>7</v>
      </c>
      <c r="BH29" s="8" t="s">
        <v>77</v>
      </c>
      <c r="BI29" s="9">
        <v>200000</v>
      </c>
      <c r="BJ29" s="10">
        <v>7</v>
      </c>
      <c r="BK29" s="8" t="s">
        <v>77</v>
      </c>
      <c r="BL29" s="9">
        <v>200004</v>
      </c>
      <c r="BM29" s="10">
        <v>7</v>
      </c>
      <c r="BN29" s="8" t="str">
        <f t="shared" ref="BN29" si="313">+BK29</f>
        <v>W2</v>
      </c>
      <c r="BO29" s="9">
        <f>+BL29</f>
        <v>200004</v>
      </c>
      <c r="BP29" s="10">
        <f t="shared" ref="BP29" si="314">+BM29</f>
        <v>7</v>
      </c>
      <c r="BQ29" s="8" t="str">
        <f t="shared" ref="BQ29" si="315">+BN29</f>
        <v>W2</v>
      </c>
      <c r="BR29" s="9">
        <f>+BO29</f>
        <v>200004</v>
      </c>
      <c r="BS29" s="10">
        <f t="shared" ref="BS29" si="316">+BP29</f>
        <v>7</v>
      </c>
      <c r="BT29" s="8" t="str">
        <f t="shared" ref="BT29" si="317">+BQ29</f>
        <v>W2</v>
      </c>
      <c r="BU29" s="9">
        <f>+BR29</f>
        <v>200004</v>
      </c>
      <c r="BV29" s="10">
        <f t="shared" ref="BV29" si="318">+BS29</f>
        <v>7</v>
      </c>
      <c r="BW29" s="8" t="str">
        <f t="shared" ref="BW29" si="319">+BT29</f>
        <v>W2</v>
      </c>
      <c r="BX29" s="9">
        <f>+BU29</f>
        <v>200004</v>
      </c>
      <c r="BY29" s="10">
        <f t="shared" ref="BY29" si="320">+BV29</f>
        <v>7</v>
      </c>
      <c r="BZ29" s="8" t="str">
        <f t="shared" si="294"/>
        <v>W2</v>
      </c>
      <c r="CA29" s="9">
        <v>199991.99999999997</v>
      </c>
      <c r="CB29" s="10">
        <f t="shared" si="295"/>
        <v>7</v>
      </c>
      <c r="CC29" s="8" t="str">
        <f t="shared" si="296"/>
        <v>W2</v>
      </c>
      <c r="CD29" s="9">
        <f t="shared" si="297"/>
        <v>199991.99999999997</v>
      </c>
      <c r="CE29" s="10">
        <f t="shared" si="298"/>
        <v>7</v>
      </c>
      <c r="CF29" s="8" t="str">
        <f t="shared" si="299"/>
        <v>W2</v>
      </c>
      <c r="CG29" s="9">
        <f t="shared" si="300"/>
        <v>199991.99999999997</v>
      </c>
      <c r="CH29" s="10">
        <f t="shared" si="301"/>
        <v>7</v>
      </c>
      <c r="CI29" s="8" t="str">
        <f t="shared" si="302"/>
        <v>W2</v>
      </c>
      <c r="CJ29" s="9">
        <f t="shared" si="303"/>
        <v>199991.99999999997</v>
      </c>
      <c r="CK29" s="10">
        <f t="shared" si="304"/>
        <v>7</v>
      </c>
      <c r="CL29" s="8" t="str">
        <f t="shared" si="251"/>
        <v>W2</v>
      </c>
      <c r="CM29" s="9">
        <f t="shared" si="252"/>
        <v>199991.99999999997</v>
      </c>
      <c r="CN29" s="10">
        <f t="shared" si="253"/>
        <v>7</v>
      </c>
      <c r="CO29" s="8" t="str">
        <f t="shared" si="254"/>
        <v>W2</v>
      </c>
      <c r="CP29" s="11">
        <f t="shared" si="254"/>
        <v>199991.99999999997</v>
      </c>
      <c r="CQ29" s="10">
        <f t="shared" si="255"/>
        <v>7</v>
      </c>
      <c r="CR29" s="8" t="str">
        <f t="shared" si="256"/>
        <v>W2</v>
      </c>
      <c r="CS29" s="9">
        <f t="shared" si="257"/>
        <v>199991.99999999997</v>
      </c>
      <c r="CT29" s="10">
        <f t="shared" si="258"/>
        <v>7</v>
      </c>
      <c r="CU29" s="8" t="str">
        <f t="shared" si="259"/>
        <v>W2</v>
      </c>
      <c r="CV29" s="9">
        <f t="shared" si="260"/>
        <v>199991.99999999997</v>
      </c>
      <c r="CW29" s="10">
        <f t="shared" si="261"/>
        <v>7</v>
      </c>
      <c r="CX29" s="8" t="str">
        <f t="shared" si="262"/>
        <v>W2</v>
      </c>
      <c r="CY29" s="9">
        <f t="shared" si="263"/>
        <v>199991.99999999997</v>
      </c>
      <c r="CZ29" s="10">
        <f t="shared" si="264"/>
        <v>7</v>
      </c>
      <c r="DA29" s="8" t="str">
        <f t="shared" si="265"/>
        <v>W2</v>
      </c>
      <c r="DB29" s="9">
        <f t="shared" si="266"/>
        <v>199991.99999999997</v>
      </c>
      <c r="DC29" s="10">
        <f t="shared" si="267"/>
        <v>7</v>
      </c>
      <c r="DD29" s="8" t="str">
        <f t="shared" si="268"/>
        <v>W2</v>
      </c>
      <c r="DE29" s="9">
        <f t="shared" si="269"/>
        <v>199991.99999999997</v>
      </c>
      <c r="DF29" s="10">
        <f t="shared" si="270"/>
        <v>7</v>
      </c>
      <c r="DG29" s="8" t="str">
        <f t="shared" si="271"/>
        <v>W2</v>
      </c>
      <c r="DH29" s="9">
        <f t="shared" si="272"/>
        <v>199991.99999999997</v>
      </c>
      <c r="DI29" s="10">
        <f t="shared" si="273"/>
        <v>7</v>
      </c>
      <c r="DK29" s="8">
        <f>IFERROR(ROUNDUP(+B29/$AQ29,0),0)</f>
        <v>0</v>
      </c>
      <c r="DL29" s="9">
        <f>IFERROR(ROUNDUP(+C29/$AT29,0),0)</f>
        <v>1</v>
      </c>
      <c r="DM29" s="9">
        <f>IFERROR(ROUNDUP(+D29/$AW29,0),0)</f>
        <v>1</v>
      </c>
      <c r="DN29" s="9">
        <f>IFERROR(ROUNDUP(+E29/$AZ29,0),0)</f>
        <v>0</v>
      </c>
      <c r="DO29" s="9">
        <f>IFERROR(ROUNDUP(+F29/$BC29,0),0)</f>
        <v>0</v>
      </c>
      <c r="DP29" s="9">
        <f>IFERROR(ROUNDUP(+G29/$BF29,0),0)</f>
        <v>1</v>
      </c>
      <c r="DQ29" s="9">
        <f>IFERROR(ROUNDUP(+$H29/$BI29,0),0)</f>
        <v>0</v>
      </c>
      <c r="DR29" s="116">
        <f>IFERROR(ROUNDUP(+I29/$BL29,0),0)</f>
        <v>3</v>
      </c>
      <c r="DS29" s="9">
        <f>IFERROR(ROUNDUP(J29/BO29,0),0)</f>
        <v>0</v>
      </c>
      <c r="DT29" s="9">
        <f>IFERROR(ROUNDUP(+K29/BR29,0),0)</f>
        <v>0</v>
      </c>
      <c r="DU29" s="9">
        <f>IFERROR(ROUNDUP(+N29/BU29,0),0)</f>
        <v>0</v>
      </c>
      <c r="DV29" s="10">
        <f>IFERROR(ROUNDUP(+R29/BX29,0),0)</f>
        <v>0</v>
      </c>
      <c r="DW29" s="9">
        <f>IFERROR(ROUNDUP(+V29/CA29,0),0)</f>
        <v>1</v>
      </c>
      <c r="DX29" s="9">
        <f>IFERROR(ROUNDUP(+Y29/CD29,0),0)</f>
        <v>0</v>
      </c>
      <c r="DY29" s="9">
        <f>IFERROR(ROUNDUP(+AE29/CG29,0),0)</f>
        <v>0</v>
      </c>
      <c r="DZ29" s="9">
        <f>IFERROR(ROUNDUP(+AF29/CJ29,0),0)</f>
        <v>0</v>
      </c>
      <c r="EA29" s="9">
        <f>IFERROR(ROUNDUP(+AG29/CM29,0),0)</f>
        <v>0</v>
      </c>
      <c r="EB29" s="9">
        <f>IFERROR(ROUNDUP(+AH29/CP29,0),0)</f>
        <v>0</v>
      </c>
      <c r="EC29" s="9">
        <f>IFERROR(ROUNDUP(+AI29/CS29,0),0)</f>
        <v>0</v>
      </c>
      <c r="ED29" s="9">
        <f>IFERROR(ROUNDUP(+AJ29/CV29,0),0)</f>
        <v>0</v>
      </c>
      <c r="EE29" s="9">
        <f>IFERROR(ROUNDUP(+AK29/CY29,0),0)</f>
        <v>0</v>
      </c>
      <c r="EF29" s="9">
        <f>IFERROR(ROUNDUP(+AL29/DB29,0),0)</f>
        <v>0</v>
      </c>
      <c r="EG29" s="9">
        <f>IFERROR(ROUNDUP(+AM29/DE29,0),0)</f>
        <v>0</v>
      </c>
      <c r="EH29" s="9">
        <f>IFERROR(ROUNDUP(+AN29/DH29,0),0)</f>
        <v>0</v>
      </c>
      <c r="EJ29" s="8">
        <f t="shared" si="305"/>
        <v>0</v>
      </c>
      <c r="EK29" s="9">
        <f t="shared" si="306"/>
        <v>7</v>
      </c>
      <c r="EL29" s="9">
        <f t="shared" si="307"/>
        <v>7</v>
      </c>
      <c r="EM29" s="9">
        <f t="shared" si="308"/>
        <v>0</v>
      </c>
      <c r="EN29" s="9">
        <f t="shared" si="309"/>
        <v>0</v>
      </c>
      <c r="EO29" s="9">
        <f t="shared" si="310"/>
        <v>7</v>
      </c>
      <c r="EP29" s="9">
        <f t="shared" si="275"/>
        <v>0</v>
      </c>
      <c r="EQ29" s="9">
        <f t="shared" si="276"/>
        <v>21</v>
      </c>
      <c r="ER29" s="9">
        <f t="shared" si="277"/>
        <v>0</v>
      </c>
      <c r="ES29" s="9">
        <f t="shared" si="278"/>
        <v>0</v>
      </c>
      <c r="ET29" s="9">
        <f t="shared" si="279"/>
        <v>0</v>
      </c>
      <c r="EU29" s="10">
        <f t="shared" si="280"/>
        <v>0</v>
      </c>
      <c r="EV29" s="9">
        <f t="shared" si="281"/>
        <v>7</v>
      </c>
      <c r="EW29" s="9">
        <f t="shared" si="282"/>
        <v>0</v>
      </c>
      <c r="EX29" s="9">
        <f t="shared" si="283"/>
        <v>0</v>
      </c>
      <c r="EY29" s="9">
        <f t="shared" si="284"/>
        <v>0</v>
      </c>
      <c r="EZ29" s="9">
        <f t="shared" si="285"/>
        <v>0</v>
      </c>
      <c r="FA29" s="9">
        <f t="shared" si="286"/>
        <v>0</v>
      </c>
      <c r="FB29" s="9">
        <f t="shared" si="287"/>
        <v>0</v>
      </c>
      <c r="FC29" s="9">
        <f t="shared" si="288"/>
        <v>0</v>
      </c>
      <c r="FD29" s="9">
        <f t="shared" si="289"/>
        <v>0</v>
      </c>
      <c r="FE29" s="9">
        <f t="shared" si="290"/>
        <v>0</v>
      </c>
      <c r="FF29" s="9">
        <f t="shared" si="291"/>
        <v>0</v>
      </c>
      <c r="FG29" s="9">
        <f t="shared" si="292"/>
        <v>0</v>
      </c>
      <c r="FO29" t="str">
        <f t="shared" si="235"/>
        <v xml:space="preserve">            (85131) FLB CHICKEN SALADW2</v>
      </c>
      <c r="FP29" t="str">
        <f t="shared" si="236"/>
        <v xml:space="preserve">            (85131) FLB CHICKEN SALADW2</v>
      </c>
      <c r="FQ29" t="str">
        <f t="shared" si="88"/>
        <v xml:space="preserve">            (85131) FLB CHICKEN SALADW2</v>
      </c>
      <c r="FR29" t="s">
        <v>854</v>
      </c>
    </row>
    <row r="30" spans="1:174" outlineLevel="2" x14ac:dyDescent="0.25">
      <c r="A30" s="43" t="s">
        <v>19</v>
      </c>
      <c r="B30" s="9">
        <f>SUMIF(Prophix!$Q:$Q,'Fds Units'!$A30,Prophix!D:D)</f>
        <v>0</v>
      </c>
      <c r="C30" s="9">
        <f>SUMIF(Prophix!$Q:$Q,'Fds Units'!$A30,Prophix!E:E)</f>
        <v>0</v>
      </c>
      <c r="D30" s="9">
        <f>SUMIF(Prophix!$Q:$Q,'Fds Units'!$A30,Prophix!F:F)</f>
        <v>0</v>
      </c>
      <c r="E30" s="9">
        <f>SUMIF(Prophix!$Q:$Q,'Fds Units'!$A30,Prophix!G:G)</f>
        <v>0</v>
      </c>
      <c r="F30" s="9">
        <f>SUMIF(Prophix!$Q:$Q,'Fds Units'!$A30,Prophix!H:H)</f>
        <v>0</v>
      </c>
      <c r="G30" s="9">
        <f>SUMIF(Prophix!$Q:$Q,'Fds Units'!$A30,Prophix!I:I)</f>
        <v>0</v>
      </c>
      <c r="H30" s="9">
        <f>SUMIF(Prophix!$Q:$Q,'Fds Units'!$A30,Prophix!J:J)</f>
        <v>0</v>
      </c>
      <c r="I30" s="9">
        <f>SUMIF(Prophix!$Q:$Q,'Fds Units'!$A30,Prophix!K:K)</f>
        <v>0</v>
      </c>
      <c r="J30" s="9">
        <f>SUMIF(Prophix!$Q:$Q,'Fds Units'!$A30,Prophix!L:L)</f>
        <v>0</v>
      </c>
      <c r="K30" s="9">
        <f>SUMIF(Prophix!$Q:$Q,'Fds Units'!$A30,Prophix!M:M)</f>
        <v>0</v>
      </c>
      <c r="L30" s="92"/>
      <c r="M30" s="133"/>
      <c r="N30" s="92">
        <f>SUMIF(Schedule!$R:$R,$FP30,Schedule!P:P)</f>
        <v>0</v>
      </c>
      <c r="O30" s="9">
        <f t="shared" si="311"/>
        <v>0</v>
      </c>
      <c r="P30" s="142"/>
      <c r="Q30" s="133">
        <f t="shared" si="312"/>
        <v>0</v>
      </c>
      <c r="R30" s="92"/>
      <c r="S30" s="92"/>
      <c r="T30" s="186">
        <f>S30-R30</f>
        <v>0</v>
      </c>
      <c r="U30" s="9"/>
      <c r="V30" s="9"/>
      <c r="W30" s="9"/>
      <c r="X30" s="9"/>
      <c r="Y30" s="8"/>
      <c r="Z30" s="9">
        <v>0</v>
      </c>
      <c r="AA30" s="9">
        <v>0</v>
      </c>
      <c r="AB30" s="242">
        <f t="shared" si="293"/>
        <v>0</v>
      </c>
      <c r="AC30" s="241">
        <v>175008</v>
      </c>
      <c r="AD30" s="165">
        <v>175008</v>
      </c>
      <c r="AE30" s="242">
        <v>175008</v>
      </c>
      <c r="AF30" s="9">
        <v>0</v>
      </c>
      <c r="AG30" s="9">
        <v>0</v>
      </c>
      <c r="AH30" s="66"/>
      <c r="AI30" s="66"/>
      <c r="AJ30" s="66"/>
      <c r="AK30" s="66"/>
      <c r="AL30" s="66"/>
      <c r="AM30" s="66"/>
      <c r="AN30" s="66"/>
      <c r="AO30" s="59"/>
      <c r="AP30" s="8" t="s">
        <v>77</v>
      </c>
      <c r="AQ30" s="9">
        <v>200000</v>
      </c>
      <c r="AR30" s="10">
        <v>7</v>
      </c>
      <c r="AS30" s="8" t="s">
        <v>77</v>
      </c>
      <c r="AT30" s="9">
        <v>200000</v>
      </c>
      <c r="AU30" s="10">
        <v>7</v>
      </c>
      <c r="AV30" s="8" t="s">
        <v>77</v>
      </c>
      <c r="AW30" s="9">
        <v>200000</v>
      </c>
      <c r="AX30" s="10">
        <v>7</v>
      </c>
      <c r="AY30" s="8" t="s">
        <v>77</v>
      </c>
      <c r="AZ30" s="9">
        <v>200000</v>
      </c>
      <c r="BA30" s="10">
        <v>7</v>
      </c>
      <c r="BB30" s="8" t="s">
        <v>77</v>
      </c>
      <c r="BC30" s="9">
        <v>200000</v>
      </c>
      <c r="BD30" s="10">
        <v>7</v>
      </c>
      <c r="BE30" s="8" t="s">
        <v>77</v>
      </c>
      <c r="BF30" s="9">
        <v>200000</v>
      </c>
      <c r="BG30" s="10">
        <v>7</v>
      </c>
      <c r="BH30" s="8" t="s">
        <v>77</v>
      </c>
      <c r="BI30" s="9">
        <v>200000</v>
      </c>
      <c r="BJ30" s="10">
        <v>7</v>
      </c>
      <c r="BK30" s="8" t="s">
        <v>77</v>
      </c>
      <c r="BL30" s="9">
        <v>200000</v>
      </c>
      <c r="BM30" s="10">
        <v>7</v>
      </c>
      <c r="BN30" s="8" t="s">
        <v>77</v>
      </c>
      <c r="BO30" s="9">
        <v>200000</v>
      </c>
      <c r="BP30" s="10">
        <v>7</v>
      </c>
      <c r="BQ30" s="8" t="s">
        <v>77</v>
      </c>
      <c r="BR30" s="9">
        <v>200000</v>
      </c>
      <c r="BS30" s="10">
        <v>7</v>
      </c>
      <c r="BT30" s="8" t="s">
        <v>77</v>
      </c>
      <c r="BU30" s="9">
        <v>200000</v>
      </c>
      <c r="BV30" s="10">
        <v>7</v>
      </c>
      <c r="BW30" s="8" t="s">
        <v>77</v>
      </c>
      <c r="BX30" s="9">
        <v>200000</v>
      </c>
      <c r="BY30" s="10">
        <v>7</v>
      </c>
      <c r="BZ30" s="8" t="str">
        <f t="shared" si="294"/>
        <v>W2</v>
      </c>
      <c r="CA30" s="9">
        <v>199991.99999999997</v>
      </c>
      <c r="CB30" s="10">
        <f t="shared" si="295"/>
        <v>7</v>
      </c>
      <c r="CC30" s="8" t="str">
        <f t="shared" si="296"/>
        <v>W2</v>
      </c>
      <c r="CD30" s="9">
        <f t="shared" si="297"/>
        <v>199991.99999999997</v>
      </c>
      <c r="CE30" s="10">
        <f t="shared" si="298"/>
        <v>7</v>
      </c>
      <c r="CF30" s="8" t="str">
        <f t="shared" si="299"/>
        <v>W2</v>
      </c>
      <c r="CG30" s="9">
        <f t="shared" si="300"/>
        <v>199991.99999999997</v>
      </c>
      <c r="CH30" s="10">
        <f t="shared" si="301"/>
        <v>7</v>
      </c>
      <c r="CI30" s="8" t="str">
        <f t="shared" si="302"/>
        <v>W2</v>
      </c>
      <c r="CJ30" s="9">
        <f t="shared" si="303"/>
        <v>199991.99999999997</v>
      </c>
      <c r="CK30" s="10">
        <f t="shared" si="304"/>
        <v>7</v>
      </c>
      <c r="CL30" s="8" t="str">
        <f t="shared" si="251"/>
        <v>W2</v>
      </c>
      <c r="CM30" s="9">
        <f t="shared" si="252"/>
        <v>199991.99999999997</v>
      </c>
      <c r="CN30" s="10">
        <f t="shared" si="253"/>
        <v>7</v>
      </c>
      <c r="CO30" s="8" t="str">
        <f t="shared" si="254"/>
        <v>W2</v>
      </c>
      <c r="CP30" s="11">
        <f t="shared" si="254"/>
        <v>199991.99999999997</v>
      </c>
      <c r="CQ30" s="10">
        <f t="shared" si="255"/>
        <v>7</v>
      </c>
      <c r="CR30" s="8" t="str">
        <f t="shared" si="256"/>
        <v>W2</v>
      </c>
      <c r="CS30" s="9">
        <f t="shared" si="257"/>
        <v>199991.99999999997</v>
      </c>
      <c r="CT30" s="10">
        <f t="shared" si="258"/>
        <v>7</v>
      </c>
      <c r="CU30" s="8" t="str">
        <f t="shared" si="259"/>
        <v>W2</v>
      </c>
      <c r="CV30" s="9">
        <f t="shared" si="260"/>
        <v>199991.99999999997</v>
      </c>
      <c r="CW30" s="10">
        <f t="shared" si="261"/>
        <v>7</v>
      </c>
      <c r="CX30" s="8" t="str">
        <f t="shared" si="262"/>
        <v>W2</v>
      </c>
      <c r="CY30" s="9">
        <f t="shared" si="263"/>
        <v>199991.99999999997</v>
      </c>
      <c r="CZ30" s="10">
        <f t="shared" si="264"/>
        <v>7</v>
      </c>
      <c r="DA30" s="8" t="str">
        <f t="shared" si="265"/>
        <v>W2</v>
      </c>
      <c r="DB30" s="9">
        <f t="shared" si="266"/>
        <v>199991.99999999997</v>
      </c>
      <c r="DC30" s="10">
        <f t="shared" si="267"/>
        <v>7</v>
      </c>
      <c r="DD30" s="8" t="str">
        <f t="shared" si="268"/>
        <v>W2</v>
      </c>
      <c r="DE30" s="9">
        <f t="shared" si="269"/>
        <v>199991.99999999997</v>
      </c>
      <c r="DF30" s="10">
        <f t="shared" si="270"/>
        <v>7</v>
      </c>
      <c r="DG30" s="8" t="str">
        <f t="shared" si="271"/>
        <v>W2</v>
      </c>
      <c r="DH30" s="9">
        <f t="shared" si="272"/>
        <v>199991.99999999997</v>
      </c>
      <c r="DI30" s="10">
        <f t="shared" si="273"/>
        <v>7</v>
      </c>
      <c r="DK30" s="8">
        <f>IFERROR(ROUNDUP(+B30/$AQ30,0),0)</f>
        <v>0</v>
      </c>
      <c r="DL30" s="9">
        <f>IFERROR(ROUNDUP(+C30/$AT30,0),0)</f>
        <v>0</v>
      </c>
      <c r="DM30" s="9">
        <f>IFERROR(ROUNDUP(+D30/$AW30,0),0)</f>
        <v>0</v>
      </c>
      <c r="DN30" s="9">
        <f>IFERROR(ROUNDUP(+E30/$AZ30,0),0)</f>
        <v>0</v>
      </c>
      <c r="DO30" s="9">
        <f>IFERROR(ROUNDUP(+F30/$BC30,0),0)</f>
        <v>0</v>
      </c>
      <c r="DP30" s="9">
        <f>IFERROR(ROUNDUP(+G30/$BF30,0),0)</f>
        <v>0</v>
      </c>
      <c r="DQ30" s="9">
        <f>IFERROR(ROUNDUP(+$H30/$BI30,0),0)</f>
        <v>0</v>
      </c>
      <c r="DR30" s="9">
        <f>IFERROR(ROUNDUP(+I30/$BL30,0),0)</f>
        <v>0</v>
      </c>
      <c r="DS30" s="9">
        <f>IFERROR(ROUNDUP(J30/BO30,0),0)</f>
        <v>0</v>
      </c>
      <c r="DT30" s="9">
        <f>IFERROR(ROUNDUP(+K30/BR30,0),0)</f>
        <v>0</v>
      </c>
      <c r="DU30" s="9">
        <f>IFERROR(ROUNDUP(+N30/BU30,0),0)</f>
        <v>0</v>
      </c>
      <c r="DV30" s="10">
        <f>IFERROR(ROUNDUP(+R30/BX30,0),0)</f>
        <v>0</v>
      </c>
      <c r="DW30" s="9">
        <f>IFERROR(ROUNDUP(+V30/CA30,0),0)</f>
        <v>0</v>
      </c>
      <c r="DX30" s="9">
        <f>IFERROR(ROUNDUP(+Y30/CD30,0),0)</f>
        <v>0</v>
      </c>
      <c r="DY30" s="9">
        <f>IFERROR(ROUNDUP(+AE30/CG30,0),0)</f>
        <v>1</v>
      </c>
      <c r="DZ30" s="9">
        <f>IFERROR(ROUNDUP(+AF30/CJ30,0),0)</f>
        <v>0</v>
      </c>
      <c r="EA30" s="9">
        <f>IFERROR(ROUNDUP(+AG30/CM30,0),0)</f>
        <v>0</v>
      </c>
      <c r="EB30" s="9">
        <f>IFERROR(ROUNDUP(+AH30/CP30,0),0)</f>
        <v>0</v>
      </c>
      <c r="EC30" s="9">
        <f>IFERROR(ROUNDUP(+AI30/CS30,0),0)</f>
        <v>0</v>
      </c>
      <c r="ED30" s="9">
        <f>IFERROR(ROUNDUP(+AJ30/CV30,0),0)</f>
        <v>0</v>
      </c>
      <c r="EE30" s="9">
        <f>IFERROR(ROUNDUP(+AK30/CY30,0),0)</f>
        <v>0</v>
      </c>
      <c r="EF30" s="9">
        <f>IFERROR(ROUNDUP(+AL30/DB30,0),0)</f>
        <v>0</v>
      </c>
      <c r="EG30" s="9">
        <f>IFERROR(ROUNDUP(+AM30/DE30,0),0)</f>
        <v>0</v>
      </c>
      <c r="EH30" s="9">
        <f>IFERROR(ROUNDUP(+AN30/DH30,0),0)</f>
        <v>0</v>
      </c>
      <c r="EJ30" s="8">
        <f t="shared" si="305"/>
        <v>0</v>
      </c>
      <c r="EK30" s="9">
        <f t="shared" si="306"/>
        <v>0</v>
      </c>
      <c r="EL30" s="9">
        <f t="shared" si="307"/>
        <v>0</v>
      </c>
      <c r="EM30" s="9">
        <f t="shared" si="308"/>
        <v>0</v>
      </c>
      <c r="EN30" s="9">
        <f t="shared" si="309"/>
        <v>0</v>
      </c>
      <c r="EO30" s="9">
        <f t="shared" si="310"/>
        <v>0</v>
      </c>
      <c r="EP30" s="9">
        <f t="shared" si="275"/>
        <v>0</v>
      </c>
      <c r="EQ30" s="9">
        <f t="shared" si="276"/>
        <v>0</v>
      </c>
      <c r="ER30" s="9">
        <f t="shared" si="277"/>
        <v>0</v>
      </c>
      <c r="ES30" s="9">
        <f t="shared" si="278"/>
        <v>0</v>
      </c>
      <c r="ET30" s="9">
        <f t="shared" si="279"/>
        <v>0</v>
      </c>
      <c r="EU30" s="10">
        <f t="shared" si="280"/>
        <v>0</v>
      </c>
      <c r="EV30" s="9">
        <f t="shared" si="281"/>
        <v>0</v>
      </c>
      <c r="EW30" s="9">
        <f t="shared" si="282"/>
        <v>0</v>
      </c>
      <c r="EX30" s="9">
        <f t="shared" si="283"/>
        <v>7</v>
      </c>
      <c r="EY30" s="9">
        <f t="shared" si="284"/>
        <v>0</v>
      </c>
      <c r="EZ30" s="9">
        <f t="shared" si="285"/>
        <v>0</v>
      </c>
      <c r="FA30" s="9">
        <f t="shared" si="286"/>
        <v>0</v>
      </c>
      <c r="FB30" s="9">
        <f t="shared" si="287"/>
        <v>0</v>
      </c>
      <c r="FC30" s="9">
        <f t="shared" si="288"/>
        <v>0</v>
      </c>
      <c r="FD30" s="9">
        <f t="shared" si="289"/>
        <v>0</v>
      </c>
      <c r="FE30" s="9">
        <f t="shared" si="290"/>
        <v>0</v>
      </c>
      <c r="FF30" s="9">
        <f t="shared" si="291"/>
        <v>0</v>
      </c>
      <c r="FG30" s="9">
        <f t="shared" si="292"/>
        <v>0</v>
      </c>
      <c r="FO30" t="str">
        <f t="shared" si="235"/>
        <v xml:space="preserve">            (85132) FLB BUFFALO CHICKENW2</v>
      </c>
      <c r="FP30" t="str">
        <f t="shared" si="236"/>
        <v xml:space="preserve">            (85132) FLB BUFFALO CHICKENW2</v>
      </c>
      <c r="FQ30" t="str">
        <f t="shared" si="88"/>
        <v xml:space="preserve">            (85132) FLB BUFFALO CHICKENW2</v>
      </c>
      <c r="FR30">
        <v>0</v>
      </c>
    </row>
    <row r="31" spans="1:174" outlineLevel="2" x14ac:dyDescent="0.25">
      <c r="A31" s="43" t="s">
        <v>2591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2"/>
      <c r="M31" s="133"/>
      <c r="N31" s="92"/>
      <c r="O31" s="9"/>
      <c r="P31" s="133"/>
      <c r="Q31" s="133"/>
      <c r="R31" s="92"/>
      <c r="S31" s="92"/>
      <c r="T31" s="186"/>
      <c r="U31" s="9"/>
      <c r="V31" s="9"/>
      <c r="W31" s="9"/>
      <c r="X31" s="9"/>
      <c r="Y31" s="8"/>
      <c r="Z31" s="9">
        <v>0</v>
      </c>
      <c r="AA31" s="9">
        <v>0</v>
      </c>
      <c r="AB31" s="242">
        <f t="shared" si="293"/>
        <v>0</v>
      </c>
      <c r="AC31" s="241">
        <v>175008</v>
      </c>
      <c r="AD31" s="165">
        <v>175008</v>
      </c>
      <c r="AE31" s="242">
        <v>175008</v>
      </c>
      <c r="AF31" s="9">
        <v>0</v>
      </c>
      <c r="AG31" s="9">
        <v>0</v>
      </c>
      <c r="AH31" s="66"/>
      <c r="AI31" s="66"/>
      <c r="AJ31" s="66"/>
      <c r="AK31" s="66"/>
      <c r="AL31" s="66"/>
      <c r="AM31" s="66"/>
      <c r="AN31" s="66"/>
      <c r="AO31" s="59"/>
      <c r="AP31" s="8" t="s">
        <v>77</v>
      </c>
      <c r="AQ31" s="9">
        <v>200000</v>
      </c>
      <c r="AR31" s="10">
        <v>7</v>
      </c>
      <c r="AS31" s="8" t="s">
        <v>77</v>
      </c>
      <c r="AT31" s="9">
        <v>200000</v>
      </c>
      <c r="AU31" s="10">
        <v>7</v>
      </c>
      <c r="AV31" s="8" t="s">
        <v>77</v>
      </c>
      <c r="AW31" s="9">
        <v>200000</v>
      </c>
      <c r="AX31" s="10">
        <v>7</v>
      </c>
      <c r="AY31" s="8" t="s">
        <v>77</v>
      </c>
      <c r="AZ31" s="9">
        <v>200000</v>
      </c>
      <c r="BA31" s="10">
        <v>7</v>
      </c>
      <c r="BB31" s="8" t="s">
        <v>77</v>
      </c>
      <c r="BC31" s="9">
        <v>200000</v>
      </c>
      <c r="BD31" s="10">
        <v>7</v>
      </c>
      <c r="BE31" s="8" t="s">
        <v>77</v>
      </c>
      <c r="BF31" s="9">
        <v>200000</v>
      </c>
      <c r="BG31" s="10">
        <v>7</v>
      </c>
      <c r="BH31" s="8" t="s">
        <v>77</v>
      </c>
      <c r="BI31" s="9">
        <v>200000</v>
      </c>
      <c r="BJ31" s="10">
        <v>7</v>
      </c>
      <c r="BK31" s="8" t="s">
        <v>77</v>
      </c>
      <c r="BL31" s="9">
        <v>200000</v>
      </c>
      <c r="BM31" s="10">
        <v>7</v>
      </c>
      <c r="BN31" s="8" t="s">
        <v>77</v>
      </c>
      <c r="BO31" s="9">
        <v>200000</v>
      </c>
      <c r="BP31" s="10">
        <v>7</v>
      </c>
      <c r="BQ31" s="8" t="s">
        <v>77</v>
      </c>
      <c r="BR31" s="9">
        <v>200000</v>
      </c>
      <c r="BS31" s="10">
        <v>7</v>
      </c>
      <c r="BT31" s="8" t="s">
        <v>77</v>
      </c>
      <c r="BU31" s="9">
        <v>200000</v>
      </c>
      <c r="BV31" s="10">
        <v>7</v>
      </c>
      <c r="BW31" s="8" t="s">
        <v>77</v>
      </c>
      <c r="BX31" s="9">
        <v>200000</v>
      </c>
      <c r="BY31" s="10">
        <v>7</v>
      </c>
      <c r="BZ31" s="8" t="str">
        <f t="shared" ref="BZ31" si="321">+BW31</f>
        <v>W2</v>
      </c>
      <c r="CA31" s="9">
        <v>199991.99999999997</v>
      </c>
      <c r="CB31" s="10">
        <f t="shared" ref="CB31" si="322">+BY31</f>
        <v>7</v>
      </c>
      <c r="CC31" s="8" t="str">
        <f t="shared" ref="CC31" si="323">+BZ31</f>
        <v>W2</v>
      </c>
      <c r="CD31" s="9">
        <f t="shared" ref="CD31" si="324">+CA31</f>
        <v>199991.99999999997</v>
      </c>
      <c r="CE31" s="10">
        <f t="shared" ref="CE31" si="325">+CB31</f>
        <v>7</v>
      </c>
      <c r="CF31" s="8" t="str">
        <f t="shared" ref="CF31" si="326">+CC31</f>
        <v>W2</v>
      </c>
      <c r="CG31" s="9">
        <f t="shared" ref="CG31" si="327">+CD31</f>
        <v>199991.99999999997</v>
      </c>
      <c r="CH31" s="10">
        <f t="shared" ref="CH31" si="328">+CE31</f>
        <v>7</v>
      </c>
      <c r="CI31" s="8" t="str">
        <f t="shared" ref="CI31" si="329">+CF31</f>
        <v>W2</v>
      </c>
      <c r="CJ31" s="9">
        <f t="shared" ref="CJ31" si="330">+CG31</f>
        <v>199991.99999999997</v>
      </c>
      <c r="CK31" s="10">
        <f t="shared" ref="CK31" si="331">+CH31</f>
        <v>7</v>
      </c>
      <c r="CL31" s="8" t="str">
        <f t="shared" ref="CL31" si="332">+CI31</f>
        <v>W2</v>
      </c>
      <c r="CM31" s="9">
        <f t="shared" ref="CM31" si="333">+CJ31</f>
        <v>199991.99999999997</v>
      </c>
      <c r="CN31" s="10">
        <f t="shared" ref="CN31" si="334">+CK31</f>
        <v>7</v>
      </c>
      <c r="CO31" s="8" t="str">
        <f t="shared" ref="CO31" si="335">+CL31</f>
        <v>W2</v>
      </c>
      <c r="CP31" s="11">
        <f t="shared" ref="CP31" si="336">+CM31</f>
        <v>199991.99999999997</v>
      </c>
      <c r="CQ31" s="10">
        <f t="shared" ref="CQ31" si="337">+CN31</f>
        <v>7</v>
      </c>
      <c r="CR31" s="8" t="str">
        <f t="shared" ref="CR31" si="338">+CO31</f>
        <v>W2</v>
      </c>
      <c r="CS31" s="9">
        <f t="shared" ref="CS31" si="339">+CP31</f>
        <v>199991.99999999997</v>
      </c>
      <c r="CT31" s="10">
        <f t="shared" ref="CT31" si="340">+CQ31</f>
        <v>7</v>
      </c>
      <c r="CU31" s="8" t="str">
        <f t="shared" ref="CU31" si="341">+CR31</f>
        <v>W2</v>
      </c>
      <c r="CV31" s="9">
        <f t="shared" ref="CV31" si="342">+CS31</f>
        <v>199991.99999999997</v>
      </c>
      <c r="CW31" s="10">
        <f t="shared" ref="CW31" si="343">+CT31</f>
        <v>7</v>
      </c>
      <c r="CX31" s="8" t="str">
        <f t="shared" ref="CX31" si="344">+CU31</f>
        <v>W2</v>
      </c>
      <c r="CY31" s="9">
        <f t="shared" ref="CY31" si="345">+CV31</f>
        <v>199991.99999999997</v>
      </c>
      <c r="CZ31" s="10">
        <f t="shared" ref="CZ31" si="346">+CW31</f>
        <v>7</v>
      </c>
      <c r="DA31" s="8" t="str">
        <f t="shared" ref="DA31" si="347">+CX31</f>
        <v>W2</v>
      </c>
      <c r="DB31" s="9">
        <f t="shared" ref="DB31" si="348">+CY31</f>
        <v>199991.99999999997</v>
      </c>
      <c r="DC31" s="10">
        <f t="shared" ref="DC31" si="349">+CZ31</f>
        <v>7</v>
      </c>
      <c r="DD31" s="8" t="str">
        <f t="shared" ref="DD31" si="350">+DA31</f>
        <v>W2</v>
      </c>
      <c r="DE31" s="9">
        <f t="shared" ref="DE31" si="351">+DB31</f>
        <v>199991.99999999997</v>
      </c>
      <c r="DF31" s="10">
        <f t="shared" ref="DF31" si="352">+DC31</f>
        <v>7</v>
      </c>
      <c r="DG31" s="8" t="str">
        <f t="shared" ref="DG31" si="353">+DD31</f>
        <v>W2</v>
      </c>
      <c r="DH31" s="9">
        <f t="shared" ref="DH31" si="354">+DE31</f>
        <v>199991.99999999997</v>
      </c>
      <c r="DI31" s="10">
        <f t="shared" ref="DI31" si="355">+DF31</f>
        <v>7</v>
      </c>
      <c r="DK31" s="8">
        <f>IFERROR(ROUNDUP(+B31/$AQ31,0),0)</f>
        <v>0</v>
      </c>
      <c r="DL31" s="9">
        <f>IFERROR(ROUNDUP(+C31/$AT31,0),0)</f>
        <v>0</v>
      </c>
      <c r="DM31" s="9">
        <f>IFERROR(ROUNDUP(+D31/$AW31,0),0)</f>
        <v>0</v>
      </c>
      <c r="DN31" s="9">
        <f>IFERROR(ROUNDUP(+E31/$AZ31,0),0)</f>
        <v>0</v>
      </c>
      <c r="DO31" s="9">
        <f>IFERROR(ROUNDUP(+F31/$BC31,0),0)</f>
        <v>0</v>
      </c>
      <c r="DP31" s="9">
        <f>IFERROR(ROUNDUP(+G31/$BF31,0),0)</f>
        <v>0</v>
      </c>
      <c r="DQ31" s="9">
        <f>IFERROR(ROUNDUP(+$H31/$BI31,0),0)</f>
        <v>0</v>
      </c>
      <c r="DR31" s="9">
        <f>IFERROR(ROUNDUP(+I31/$BL31,0),0)</f>
        <v>0</v>
      </c>
      <c r="DS31" s="9">
        <f>IFERROR(ROUNDUP(J31/BO31,0),0)</f>
        <v>0</v>
      </c>
      <c r="DT31" s="9">
        <f>IFERROR(ROUNDUP(+K31/BR31,0),0)</f>
        <v>0</v>
      </c>
      <c r="DU31" s="9">
        <f>IFERROR(ROUNDUP(+N31/BU31,0),0)</f>
        <v>0</v>
      </c>
      <c r="DV31" s="10">
        <f>IFERROR(ROUNDUP(+R31/BX31,0),0)</f>
        <v>0</v>
      </c>
      <c r="DW31" s="9">
        <f>IFERROR(ROUNDUP(+V31/CA31,0),0)</f>
        <v>0</v>
      </c>
      <c r="DX31" s="9">
        <f>IFERROR(ROUNDUP(+Y31/CD31,0),0)</f>
        <v>0</v>
      </c>
      <c r="DY31" s="9">
        <f>IFERROR(ROUNDUP(+AE31/CG31,0),0)</f>
        <v>1</v>
      </c>
      <c r="DZ31" s="9">
        <f>IFERROR(ROUNDUP(+AF31/CJ31,0),0)</f>
        <v>0</v>
      </c>
      <c r="EA31" s="9">
        <f>IFERROR(ROUNDUP(+AG31/CM31,0),0)</f>
        <v>0</v>
      </c>
      <c r="EB31" s="9">
        <f>IFERROR(ROUNDUP(+AH31/CP31,0),0)</f>
        <v>0</v>
      </c>
      <c r="EC31" s="9">
        <f>IFERROR(ROUNDUP(+AI31/CS31,0),0)</f>
        <v>0</v>
      </c>
      <c r="ED31" s="9">
        <f>IFERROR(ROUNDUP(+AJ31/CV31,0),0)</f>
        <v>0</v>
      </c>
      <c r="EE31" s="9">
        <f>IFERROR(ROUNDUP(+AK31/CY31,0),0)</f>
        <v>0</v>
      </c>
      <c r="EF31" s="9">
        <f>IFERROR(ROUNDUP(+AL31/DB31,0),0)</f>
        <v>0</v>
      </c>
      <c r="EG31" s="9">
        <f>IFERROR(ROUNDUP(+AM31/DE31,0),0)</f>
        <v>0</v>
      </c>
      <c r="EH31" s="9">
        <f>IFERROR(ROUNDUP(+AN31/DH31,0),0)</f>
        <v>0</v>
      </c>
      <c r="EJ31" s="8">
        <f t="shared" ref="EJ31" si="356">$AR31*DK31</f>
        <v>0</v>
      </c>
      <c r="EK31" s="9">
        <f t="shared" ref="EK31" si="357">$AU31*DL31</f>
        <v>0</v>
      </c>
      <c r="EL31" s="9">
        <f t="shared" ref="EL31" si="358">$AX31*DM31</f>
        <v>0</v>
      </c>
      <c r="EM31" s="9">
        <f t="shared" ref="EM31" si="359">$BA31*DN31</f>
        <v>0</v>
      </c>
      <c r="EN31" s="9">
        <f t="shared" ref="EN31" si="360">$BD31*DO31</f>
        <v>0</v>
      </c>
      <c r="EO31" s="9">
        <f t="shared" ref="EO31" si="361">$BG31*DP31</f>
        <v>0</v>
      </c>
      <c r="EP31" s="9">
        <f t="shared" ref="EP31" si="362">BJ31*DQ31</f>
        <v>0</v>
      </c>
      <c r="EQ31" s="9">
        <f t="shared" ref="EQ31" si="363">+BM31*DR31</f>
        <v>0</v>
      </c>
      <c r="ER31" s="9">
        <f t="shared" ref="ER31" si="364">BP31*DS31</f>
        <v>0</v>
      </c>
      <c r="ES31" s="9">
        <f t="shared" ref="ES31" si="365">+BS31*DT31</f>
        <v>0</v>
      </c>
      <c r="ET31" s="9">
        <f t="shared" ref="ET31" si="366">+BV31*DU31</f>
        <v>0</v>
      </c>
      <c r="EU31" s="10">
        <f t="shared" ref="EU31" si="367">+BY31*DV31</f>
        <v>0</v>
      </c>
      <c r="EV31" s="9">
        <f t="shared" ref="EV31" si="368">+CB31*DW31</f>
        <v>0</v>
      </c>
      <c r="EW31" s="9">
        <f t="shared" ref="EW31" si="369">+CE31*DX31</f>
        <v>0</v>
      </c>
      <c r="EX31" s="9">
        <f t="shared" ref="EX31" si="370">+CH31*DY31</f>
        <v>7</v>
      </c>
      <c r="EY31" s="9">
        <f t="shared" ref="EY31" si="371">+CK31*DZ31</f>
        <v>0</v>
      </c>
      <c r="EZ31" s="9">
        <f t="shared" ref="EZ31" si="372">+CN31*EA31</f>
        <v>0</v>
      </c>
      <c r="FA31" s="9">
        <f t="shared" ref="FA31" si="373">+CQ31*EB31</f>
        <v>0</v>
      </c>
      <c r="FB31" s="9">
        <f t="shared" ref="FB31" si="374">+CT31*EC31</f>
        <v>0</v>
      </c>
      <c r="FC31" s="9">
        <f t="shared" ref="FC31" si="375">+CW31*ED31</f>
        <v>0</v>
      </c>
      <c r="FD31" s="9">
        <f t="shared" ref="FD31" si="376">+CZ31*EE31</f>
        <v>0</v>
      </c>
      <c r="FE31" s="9">
        <f t="shared" ref="FE31" si="377">+DC31*EF31</f>
        <v>0</v>
      </c>
      <c r="FF31" s="9">
        <f t="shared" ref="FF31" si="378">+DF31*EG31</f>
        <v>0</v>
      </c>
      <c r="FG31" s="9">
        <f t="shared" ref="FG31" si="379">+DI31*EH31</f>
        <v>0</v>
      </c>
    </row>
    <row r="32" spans="1:174" s="48" customFormat="1" outlineLevel="1" x14ac:dyDescent="0.25">
      <c r="A32" s="217" t="s">
        <v>20</v>
      </c>
      <c r="B32" s="223">
        <f t="shared" ref="B32:E32" si="380">SUM(B33:B38)</f>
        <v>913104</v>
      </c>
      <c r="C32" s="175">
        <f t="shared" si="380"/>
        <v>120432</v>
      </c>
      <c r="D32" s="175">
        <f t="shared" si="380"/>
        <v>949248</v>
      </c>
      <c r="E32" s="175">
        <f t="shared" si="380"/>
        <v>1867248</v>
      </c>
      <c r="F32" s="175">
        <f t="shared" ref="F32:G32" si="381">SUM(F33:F38)</f>
        <v>1335504</v>
      </c>
      <c r="G32" s="175">
        <f t="shared" si="381"/>
        <v>2224224</v>
      </c>
      <c r="H32" s="175">
        <f t="shared" ref="H32:I32" si="382">SUM(H33:H38)</f>
        <v>2157840</v>
      </c>
      <c r="I32" s="175">
        <f t="shared" si="382"/>
        <v>0</v>
      </c>
      <c r="J32" s="175">
        <f t="shared" ref="J32:L32" si="383">SUM(J33:J38)</f>
        <v>0</v>
      </c>
      <c r="K32" s="175">
        <f t="shared" ref="K32" si="384">SUM(K33:K38)</f>
        <v>0</v>
      </c>
      <c r="L32" s="175">
        <f t="shared" si="383"/>
        <v>978720</v>
      </c>
      <c r="M32" s="218">
        <f t="shared" ref="M32:V32" si="385">SUM(M33:M38)</f>
        <v>0</v>
      </c>
      <c r="N32" s="175">
        <f t="shared" ref="N32" si="386">SUM(N33:N38)</f>
        <v>714960</v>
      </c>
      <c r="O32" s="175">
        <f>SUM(O33:O38)</f>
        <v>263760</v>
      </c>
      <c r="P32" s="218">
        <f t="shared" ref="P32:Q32" si="387">SUM(P33:P38)</f>
        <v>348000</v>
      </c>
      <c r="Q32" s="218">
        <f t="shared" si="387"/>
        <v>348000</v>
      </c>
      <c r="R32" s="175">
        <f t="shared" ref="R32:S32" si="388">SUM(R33:R38)</f>
        <v>503160</v>
      </c>
      <c r="S32" s="175">
        <f t="shared" si="388"/>
        <v>404472</v>
      </c>
      <c r="T32" s="219">
        <f t="shared" si="385"/>
        <v>-98688</v>
      </c>
      <c r="U32" s="175">
        <f t="shared" si="385"/>
        <v>1500000</v>
      </c>
      <c r="V32" s="220">
        <f t="shared" si="385"/>
        <v>1751304</v>
      </c>
      <c r="W32" s="220">
        <v>1440000</v>
      </c>
      <c r="X32" s="220">
        <f t="shared" ref="X32:AG32" si="389">SUM(X33:X38)</f>
        <v>1291634</v>
      </c>
      <c r="Y32" s="243">
        <f t="shared" ref="Y32:Z32" si="390">SUM(Y33:Y38)</f>
        <v>876000</v>
      </c>
      <c r="Z32" s="220">
        <f t="shared" si="390"/>
        <v>2102400</v>
      </c>
      <c r="AA32" s="220">
        <f t="shared" ref="AA32" si="391">SUM(AA33:AA38)</f>
        <v>1686288</v>
      </c>
      <c r="AB32" s="244">
        <f>SUM(AB33:AB38)</f>
        <v>-416112</v>
      </c>
      <c r="AC32" s="243">
        <f t="shared" si="389"/>
        <v>2007840</v>
      </c>
      <c r="AD32" s="220">
        <f t="shared" si="389"/>
        <v>2783040</v>
      </c>
      <c r="AE32" s="244">
        <f t="shared" si="389"/>
        <v>2903520</v>
      </c>
      <c r="AF32" s="220">
        <f t="shared" si="389"/>
        <v>3057000</v>
      </c>
      <c r="AG32" s="220">
        <f t="shared" si="389"/>
        <v>2400000</v>
      </c>
      <c r="AH32" s="220">
        <f t="shared" ref="AH32:AI32" si="392">1146667*$AO$26</f>
        <v>860000.25</v>
      </c>
      <c r="AI32" s="220">
        <f t="shared" si="392"/>
        <v>860000.25</v>
      </c>
      <c r="AJ32" s="220">
        <f>1229998*$AO$26</f>
        <v>922498.5</v>
      </c>
      <c r="AK32" s="220">
        <f>1230000*$AO$26</f>
        <v>922500</v>
      </c>
      <c r="AL32" s="220">
        <f t="shared" ref="AL32:AN32" si="393">1230000*$AO$26</f>
        <v>922500</v>
      </c>
      <c r="AM32" s="220">
        <f t="shared" si="393"/>
        <v>922500</v>
      </c>
      <c r="AN32" s="220">
        <f t="shared" si="393"/>
        <v>922500</v>
      </c>
      <c r="AO32" s="179"/>
      <c r="AP32" s="221"/>
      <c r="AQ32" s="175"/>
      <c r="AR32" s="222"/>
      <c r="AS32" s="221"/>
      <c r="AT32" s="175"/>
      <c r="AU32" s="222"/>
      <c r="AV32" s="221"/>
      <c r="AW32" s="175"/>
      <c r="AX32" s="222"/>
      <c r="AY32" s="221"/>
      <c r="AZ32" s="175"/>
      <c r="BA32" s="222"/>
      <c r="BB32" s="221"/>
      <c r="BC32" s="175"/>
      <c r="BD32" s="222"/>
      <c r="BE32" s="221"/>
      <c r="BF32" s="175"/>
      <c r="BG32" s="222"/>
      <c r="BH32" s="221"/>
      <c r="BI32" s="175"/>
      <c r="BJ32" s="222"/>
      <c r="BK32" s="221"/>
      <c r="BL32" s="175"/>
      <c r="BM32" s="222"/>
      <c r="BN32" s="221"/>
      <c r="BO32" s="175"/>
      <c r="BP32" s="222"/>
      <c r="BQ32" s="221"/>
      <c r="BR32" s="175"/>
      <c r="BS32" s="222"/>
      <c r="BT32" s="221"/>
      <c r="BU32" s="175"/>
      <c r="BV32" s="222"/>
      <c r="BW32" s="221"/>
      <c r="BX32" s="175"/>
      <c r="BY32" s="222"/>
      <c r="BZ32" s="221"/>
      <c r="CA32" s="175"/>
      <c r="CB32" s="222"/>
      <c r="CC32" s="221"/>
      <c r="CD32" s="175"/>
      <c r="CE32" s="222"/>
      <c r="CF32" s="221"/>
      <c r="CG32" s="175"/>
      <c r="CH32" s="222"/>
      <c r="CI32" s="221" t="str">
        <f>+CI33</f>
        <v>W2</v>
      </c>
      <c r="CJ32" s="175">
        <f t="shared" ref="CJ32" si="394">+CJ33</f>
        <v>175200</v>
      </c>
      <c r="CK32" s="222">
        <f t="shared" ref="CK32" si="395">+CK33</f>
        <v>7</v>
      </c>
      <c r="CL32" s="221" t="str">
        <f t="shared" si="251"/>
        <v>W2</v>
      </c>
      <c r="CM32" s="175">
        <f t="shared" si="252"/>
        <v>175200</v>
      </c>
      <c r="CN32" s="222">
        <f t="shared" si="253"/>
        <v>7</v>
      </c>
      <c r="CO32" s="221" t="str">
        <f t="shared" si="254"/>
        <v>W2</v>
      </c>
      <c r="CP32" s="175">
        <f t="shared" si="254"/>
        <v>175200</v>
      </c>
      <c r="CQ32" s="222">
        <f t="shared" si="255"/>
        <v>7</v>
      </c>
      <c r="CR32" s="221" t="str">
        <f t="shared" si="256"/>
        <v>W2</v>
      </c>
      <c r="CS32" s="175">
        <f t="shared" si="257"/>
        <v>175200</v>
      </c>
      <c r="CT32" s="222">
        <f t="shared" si="258"/>
        <v>7</v>
      </c>
      <c r="CU32" s="221" t="str">
        <f t="shared" si="259"/>
        <v>W2</v>
      </c>
      <c r="CV32" s="175">
        <f t="shared" si="260"/>
        <v>175200</v>
      </c>
      <c r="CW32" s="222">
        <f t="shared" si="261"/>
        <v>7</v>
      </c>
      <c r="CX32" s="221" t="str">
        <f t="shared" si="262"/>
        <v>W2</v>
      </c>
      <c r="CY32" s="175">
        <f t="shared" si="263"/>
        <v>175200</v>
      </c>
      <c r="CZ32" s="222">
        <f t="shared" si="264"/>
        <v>7</v>
      </c>
      <c r="DA32" s="221" t="str">
        <f t="shared" si="265"/>
        <v>W2</v>
      </c>
      <c r="DB32" s="175">
        <f t="shared" si="266"/>
        <v>175200</v>
      </c>
      <c r="DC32" s="222">
        <f t="shared" si="267"/>
        <v>7</v>
      </c>
      <c r="DD32" s="221" t="str">
        <f t="shared" si="268"/>
        <v>W2</v>
      </c>
      <c r="DE32" s="175">
        <f t="shared" si="269"/>
        <v>175200</v>
      </c>
      <c r="DF32" s="222">
        <f t="shared" si="270"/>
        <v>7</v>
      </c>
      <c r="DG32" s="221" t="str">
        <f t="shared" si="271"/>
        <v>W2</v>
      </c>
      <c r="DH32" s="175">
        <f t="shared" si="272"/>
        <v>175200</v>
      </c>
      <c r="DI32" s="222">
        <f t="shared" si="273"/>
        <v>7</v>
      </c>
      <c r="DK32" s="221"/>
      <c r="DL32" s="175"/>
      <c r="DM32" s="175"/>
      <c r="DN32" s="175"/>
      <c r="DO32" s="175"/>
      <c r="DP32" s="175"/>
      <c r="DQ32" s="175"/>
      <c r="DR32" s="175"/>
      <c r="DS32" s="175"/>
      <c r="DT32" s="175"/>
      <c r="DU32" s="175"/>
      <c r="DV32" s="222"/>
      <c r="DW32" s="175">
        <f>IFERROR(ROUNDUP(+Y32/CA32,0),0)</f>
        <v>0</v>
      </c>
      <c r="DX32" s="175">
        <f>IFERROR(ROUNDUP(+AE32/CD32,0),0)</f>
        <v>0</v>
      </c>
      <c r="DY32" s="175">
        <f>IFERROR(ROUNDUP(+AF32/CG32,0),0)</f>
        <v>0</v>
      </c>
      <c r="DZ32" s="175">
        <f>IFERROR(ROUNDUP(+AG32/CJ32,0),0)</f>
        <v>14</v>
      </c>
      <c r="EA32" s="175">
        <f>IFERROR(ROUNDUP(+AH32/CM32,0),0)</f>
        <v>5</v>
      </c>
      <c r="EB32" s="175">
        <f>IFERROR(ROUNDUP(+AI32/CP32,0),0)</f>
        <v>5</v>
      </c>
      <c r="EC32" s="175">
        <f>IFERROR(ROUNDUP(+AJ32/CS32,0),0)</f>
        <v>6</v>
      </c>
      <c r="ED32" s="175">
        <f>IFERROR(ROUNDUP(+AK32/CV32,0),0)</f>
        <v>6</v>
      </c>
      <c r="EE32" s="175">
        <f>IFERROR(ROUNDUP(+AL32/CY32,0),0)</f>
        <v>6</v>
      </c>
      <c r="EF32" s="175">
        <f>IFERROR(ROUNDUP(+AM32/DB32,0),0)</f>
        <v>6</v>
      </c>
      <c r="EG32" s="175">
        <f>IFERROR(ROUNDUP(+AN32/DE32,0),0)</f>
        <v>6</v>
      </c>
      <c r="EH32" s="175">
        <f>IFERROR(ROUNDUP(+#REF!/DH32,0),0)</f>
        <v>0</v>
      </c>
      <c r="EJ32" s="221">
        <f t="shared" si="305"/>
        <v>0</v>
      </c>
      <c r="EK32" s="175">
        <f t="shared" si="306"/>
        <v>0</v>
      </c>
      <c r="EL32" s="175">
        <f t="shared" si="307"/>
        <v>0</v>
      </c>
      <c r="EM32" s="175">
        <f t="shared" si="308"/>
        <v>0</v>
      </c>
      <c r="EN32" s="175">
        <f t="shared" si="309"/>
        <v>0</v>
      </c>
      <c r="EO32" s="175">
        <f t="shared" si="310"/>
        <v>0</v>
      </c>
      <c r="EP32" s="175">
        <f t="shared" si="275"/>
        <v>0</v>
      </c>
      <c r="EQ32" s="175">
        <f t="shared" si="276"/>
        <v>0</v>
      </c>
      <c r="ER32" s="175">
        <f t="shared" si="277"/>
        <v>0</v>
      </c>
      <c r="ES32" s="175">
        <f t="shared" si="278"/>
        <v>0</v>
      </c>
      <c r="ET32" s="175">
        <f t="shared" si="279"/>
        <v>0</v>
      </c>
      <c r="EU32" s="222">
        <f t="shared" si="280"/>
        <v>0</v>
      </c>
      <c r="EV32" s="175">
        <f t="shared" si="281"/>
        <v>0</v>
      </c>
      <c r="EW32" s="175">
        <f t="shared" si="282"/>
        <v>0</v>
      </c>
      <c r="EX32" s="175">
        <f t="shared" si="283"/>
        <v>0</v>
      </c>
      <c r="EY32" s="175">
        <f t="shared" si="284"/>
        <v>98</v>
      </c>
      <c r="EZ32" s="175">
        <f t="shared" si="285"/>
        <v>35</v>
      </c>
      <c r="FA32" s="175">
        <f t="shared" si="286"/>
        <v>35</v>
      </c>
      <c r="FB32" s="175">
        <f t="shared" si="287"/>
        <v>42</v>
      </c>
      <c r="FC32" s="175">
        <f t="shared" si="288"/>
        <v>42</v>
      </c>
      <c r="FD32" s="175">
        <f t="shared" si="289"/>
        <v>42</v>
      </c>
      <c r="FE32" s="175">
        <f t="shared" si="290"/>
        <v>42</v>
      </c>
      <c r="FF32" s="175">
        <f t="shared" si="291"/>
        <v>42</v>
      </c>
      <c r="FG32" s="175">
        <f t="shared" si="292"/>
        <v>0</v>
      </c>
      <c r="FO32" s="48" t="str">
        <f t="shared" ref="FO32:FO56" si="396">+A32&amp;BQ32</f>
        <v>4.5 OZ</v>
      </c>
      <c r="FP32" s="48" t="str">
        <f t="shared" ref="FP32:FP56" si="397">+A32&amp;BT32</f>
        <v>4.5 OZ</v>
      </c>
      <c r="FQ32" s="48" t="str">
        <f t="shared" ref="FQ32:FQ56" si="398">+A32&amp;BW32</f>
        <v>4.5 OZ</v>
      </c>
      <c r="FR32" s="48">
        <v>0</v>
      </c>
    </row>
    <row r="33" spans="1:174" outlineLevel="2" x14ac:dyDescent="0.25">
      <c r="A33" s="43" t="s">
        <v>21</v>
      </c>
      <c r="B33" s="9">
        <f>SUMIF(Prophix!$Q:$Q,'Fds Units'!$A33,Prophix!D:D)</f>
        <v>376656</v>
      </c>
      <c r="C33" s="9">
        <f>SUMIF(Prophix!$Q:$Q,'Fds Units'!$A33,Prophix!E:E)</f>
        <v>120432</v>
      </c>
      <c r="D33" s="9">
        <f>SUMIF(Prophix!$Q:$Q,'Fds Units'!$A33,Prophix!F:F)</f>
        <v>802272</v>
      </c>
      <c r="E33" s="9">
        <f>SUMIF(Prophix!$Q:$Q,'Fds Units'!$A33,Prophix!G:G)</f>
        <v>1867248</v>
      </c>
      <c r="F33" s="9">
        <f>SUMIF(Prophix!$Q:$Q,'Fds Units'!$A33,Prophix!H:H)</f>
        <v>508992</v>
      </c>
      <c r="G33" s="9">
        <f>SUMIF(Prophix!$Q:$Q,'Fds Units'!$A33,Prophix!I:I)</f>
        <v>1863168</v>
      </c>
      <c r="H33" s="9">
        <f>SUMIF(Prophix!$Q:$Q,'Fds Units'!$A33,Prophix!J:J)</f>
        <v>1790352</v>
      </c>
      <c r="I33" s="9">
        <f>SUMIF(Prophix!$Q:$Q,'Fds Units'!$A33,Prophix!K:K)</f>
        <v>0</v>
      </c>
      <c r="J33" s="9">
        <f>SUMIF(Prophix!$Q:$Q,'Fds Units'!$A33,Prophix!L:L)</f>
        <v>0</v>
      </c>
      <c r="K33" s="9">
        <f>SUMIF(Prophix!$Q:$Q,'Fds Units'!$A33,Prophix!M:M)</f>
        <v>0</v>
      </c>
      <c r="L33" s="92">
        <v>131520</v>
      </c>
      <c r="M33" s="133"/>
      <c r="N33" s="92">
        <v>0</v>
      </c>
      <c r="O33" s="92">
        <f t="shared" ref="O33:O38" si="399">L33-N33</f>
        <v>131520</v>
      </c>
      <c r="P33" s="142">
        <v>0</v>
      </c>
      <c r="Q33" s="133">
        <v>0</v>
      </c>
      <c r="R33" s="92">
        <v>353160</v>
      </c>
      <c r="S33" s="92">
        <v>124416</v>
      </c>
      <c r="T33" s="186">
        <f t="shared" ref="T33:T38" si="400">S33-R33</f>
        <v>-228744</v>
      </c>
      <c r="U33" s="9">
        <v>1500000</v>
      </c>
      <c r="V33" s="9">
        <v>1751304</v>
      </c>
      <c r="W33" s="9">
        <v>1260000</v>
      </c>
      <c r="X33" s="9">
        <v>1291634</v>
      </c>
      <c r="Y33" s="8">
        <v>876000</v>
      </c>
      <c r="Z33" s="9">
        <f>1226400+876000</f>
        <v>2102400</v>
      </c>
      <c r="AA33" s="9">
        <v>1686288</v>
      </c>
      <c r="AB33" s="242">
        <f t="shared" ref="AB33:AB38" si="401">AA33-Z33</f>
        <v>-416112</v>
      </c>
      <c r="AC33" s="241">
        <v>1652640</v>
      </c>
      <c r="AD33" s="165">
        <v>2427840</v>
      </c>
      <c r="AE33" s="242">
        <v>2427840</v>
      </c>
      <c r="AF33" s="9">
        <v>2457000</v>
      </c>
      <c r="AG33" s="9">
        <f>200000*10</f>
        <v>2000000</v>
      </c>
      <c r="AH33" s="66"/>
      <c r="AI33" s="66"/>
      <c r="AJ33" s="66"/>
      <c r="AK33" s="66"/>
      <c r="AL33" s="66"/>
      <c r="AM33" s="66"/>
      <c r="AN33" s="66"/>
      <c r="AO33" s="59"/>
      <c r="AP33" s="8" t="s">
        <v>78</v>
      </c>
      <c r="AQ33" s="9">
        <f>66000*2</f>
        <v>132000</v>
      </c>
      <c r="AR33" s="10">
        <v>7</v>
      </c>
      <c r="AS33" s="8" t="s">
        <v>78</v>
      </c>
      <c r="AT33" s="9">
        <v>125000</v>
      </c>
      <c r="AU33" s="10">
        <v>4</v>
      </c>
      <c r="AV33" s="8" t="s">
        <v>77</v>
      </c>
      <c r="AW33" s="9">
        <v>160000</v>
      </c>
      <c r="AX33" s="10">
        <v>7</v>
      </c>
      <c r="AY33" s="8" t="s">
        <v>77</v>
      </c>
      <c r="AZ33" s="9">
        <v>200000</v>
      </c>
      <c r="BA33" s="10">
        <v>7</v>
      </c>
      <c r="BB33" s="8" t="s">
        <v>77</v>
      </c>
      <c r="BC33" s="9">
        <v>200000</v>
      </c>
      <c r="BD33" s="10">
        <v>7</v>
      </c>
      <c r="BE33" s="8" t="s">
        <v>77</v>
      </c>
      <c r="BF33" s="9">
        <f>+G33/10</f>
        <v>186316.79999999999</v>
      </c>
      <c r="BG33" s="10">
        <v>7</v>
      </c>
      <c r="BH33" s="8" t="s">
        <v>77</v>
      </c>
      <c r="BI33" s="9">
        <f>+H33/10</f>
        <v>179035.2</v>
      </c>
      <c r="BJ33" s="10">
        <v>7</v>
      </c>
      <c r="BK33" s="8" t="s">
        <v>77</v>
      </c>
      <c r="BL33" s="9">
        <v>174960</v>
      </c>
      <c r="BM33" s="10">
        <v>7</v>
      </c>
      <c r="BN33" s="8" t="s">
        <v>77</v>
      </c>
      <c r="BO33" s="9">
        <v>200000</v>
      </c>
      <c r="BP33" s="10">
        <v>7</v>
      </c>
      <c r="BQ33" s="8" t="s">
        <v>77</v>
      </c>
      <c r="BR33" s="9">
        <v>200000</v>
      </c>
      <c r="BS33" s="10">
        <v>7</v>
      </c>
      <c r="BT33" s="8" t="s">
        <v>74</v>
      </c>
      <c r="BU33" s="9">
        <v>200000</v>
      </c>
      <c r="BV33" s="10">
        <v>7</v>
      </c>
      <c r="BW33" s="8" t="s">
        <v>77</v>
      </c>
      <c r="BX33" s="9">
        <v>200000</v>
      </c>
      <c r="BY33" s="10">
        <v>7</v>
      </c>
      <c r="BZ33" s="8" t="str">
        <f t="shared" si="294"/>
        <v>W2</v>
      </c>
      <c r="CA33" s="9">
        <v>175200</v>
      </c>
      <c r="CB33" s="10">
        <f t="shared" si="295"/>
        <v>7</v>
      </c>
      <c r="CC33" s="8" t="str">
        <f t="shared" si="296"/>
        <v>W2</v>
      </c>
      <c r="CD33" s="9">
        <f t="shared" si="297"/>
        <v>175200</v>
      </c>
      <c r="CE33" s="10">
        <f t="shared" si="298"/>
        <v>7</v>
      </c>
      <c r="CF33" s="8" t="str">
        <f t="shared" si="299"/>
        <v>W2</v>
      </c>
      <c r="CG33" s="9">
        <f t="shared" si="300"/>
        <v>175200</v>
      </c>
      <c r="CH33" s="10">
        <f t="shared" si="301"/>
        <v>7</v>
      </c>
      <c r="CI33" s="8" t="str">
        <f t="shared" si="302"/>
        <v>W2</v>
      </c>
      <c r="CJ33" s="9">
        <f t="shared" si="303"/>
        <v>175200</v>
      </c>
      <c r="CK33" s="10">
        <f t="shared" si="304"/>
        <v>7</v>
      </c>
      <c r="CL33" s="8" t="str">
        <f t="shared" si="251"/>
        <v>W2</v>
      </c>
      <c r="CM33" s="9">
        <f t="shared" si="252"/>
        <v>175200</v>
      </c>
      <c r="CN33" s="10">
        <f t="shared" si="253"/>
        <v>7</v>
      </c>
      <c r="CO33" s="8" t="str">
        <f t="shared" si="254"/>
        <v>W2</v>
      </c>
      <c r="CP33" s="11">
        <f t="shared" si="254"/>
        <v>175200</v>
      </c>
      <c r="CQ33" s="10">
        <f t="shared" si="255"/>
        <v>7</v>
      </c>
      <c r="CR33" s="8" t="str">
        <f t="shared" si="256"/>
        <v>W2</v>
      </c>
      <c r="CS33" s="9">
        <f t="shared" si="257"/>
        <v>175200</v>
      </c>
      <c r="CT33" s="10">
        <f t="shared" si="258"/>
        <v>7</v>
      </c>
      <c r="CU33" s="8" t="str">
        <f t="shared" si="259"/>
        <v>W2</v>
      </c>
      <c r="CV33" s="9">
        <f t="shared" si="260"/>
        <v>175200</v>
      </c>
      <c r="CW33" s="10">
        <f t="shared" si="261"/>
        <v>7</v>
      </c>
      <c r="CX33" s="8" t="str">
        <f t="shared" si="262"/>
        <v>W2</v>
      </c>
      <c r="CY33" s="9">
        <f t="shared" si="263"/>
        <v>175200</v>
      </c>
      <c r="CZ33" s="10">
        <f t="shared" si="264"/>
        <v>7</v>
      </c>
      <c r="DA33" s="8" t="str">
        <f t="shared" si="265"/>
        <v>W2</v>
      </c>
      <c r="DB33" s="9">
        <f t="shared" si="266"/>
        <v>175200</v>
      </c>
      <c r="DC33" s="10">
        <f t="shared" si="267"/>
        <v>7</v>
      </c>
      <c r="DD33" s="8" t="str">
        <f t="shared" si="268"/>
        <v>W2</v>
      </c>
      <c r="DE33" s="9">
        <f t="shared" si="269"/>
        <v>175200</v>
      </c>
      <c r="DF33" s="10">
        <f t="shared" si="270"/>
        <v>7</v>
      </c>
      <c r="DG33" s="8" t="str">
        <f t="shared" si="271"/>
        <v>W2</v>
      </c>
      <c r="DH33" s="9">
        <f t="shared" si="272"/>
        <v>175200</v>
      </c>
      <c r="DI33" s="10">
        <f t="shared" si="273"/>
        <v>7</v>
      </c>
      <c r="DK33" s="72">
        <f t="shared" ref="DK33:DK38" si="402">IFERROR(ROUNDUP(+B33/$AQ33,0),0)</f>
        <v>3</v>
      </c>
      <c r="DL33" s="9">
        <f t="shared" ref="DL33:DL38" si="403">IFERROR(ROUNDUP(+C33/$AT33,0),0)</f>
        <v>1</v>
      </c>
      <c r="DM33" s="9">
        <f t="shared" ref="DM33:DM38" si="404">IFERROR(ROUNDUP(+D33/$AW33,0),0)</f>
        <v>6</v>
      </c>
      <c r="DN33" s="9">
        <v>8</v>
      </c>
      <c r="DO33" s="9">
        <f t="shared" ref="DO33:DO38" si="405">IFERROR(ROUNDUP(+F33/$BC33,0),0)</f>
        <v>3</v>
      </c>
      <c r="DP33" s="9">
        <f t="shared" ref="DP33:DP38" si="406">IFERROR(ROUNDUP(+G33/$BF33,0),0)</f>
        <v>10</v>
      </c>
      <c r="DQ33" s="9">
        <f t="shared" ref="DQ33:DQ38" si="407">IFERROR(ROUNDUP(+$H33/$BI33,0),0)</f>
        <v>10</v>
      </c>
      <c r="DR33" s="9">
        <f t="shared" ref="DR33:DR38" si="408">IFERROR(ROUNDUP(+I33/$BL33,0),0)</f>
        <v>0</v>
      </c>
      <c r="DS33" s="9">
        <f t="shared" ref="DS33:DS38" si="409">IFERROR(ROUNDUP(J33/BO33,0),0)</f>
        <v>0</v>
      </c>
      <c r="DT33" s="9">
        <f t="shared" ref="DT33:DT38" si="410">IFERROR(ROUNDUP(+K33/BR33,0),0)</f>
        <v>0</v>
      </c>
      <c r="DU33" s="9">
        <f>IFERROR(ROUNDUP(+N33/BU33,0),0)</f>
        <v>0</v>
      </c>
      <c r="DV33" s="10">
        <f t="shared" ref="DV33:DV38" si="411">IFERROR(ROUNDUP(+R33/BX33,0),0)</f>
        <v>2</v>
      </c>
      <c r="DW33" s="9">
        <f t="shared" ref="DW33:DW38" si="412">IFERROR(ROUNDUP(+V33/CA33,0),0)</f>
        <v>10</v>
      </c>
      <c r="DX33" s="9">
        <f t="shared" ref="DX33:DX38" si="413">IFERROR(ROUNDUP(+Y33/CD33,0),0)</f>
        <v>5</v>
      </c>
      <c r="DY33" s="9">
        <f t="shared" ref="DY33:DY38" si="414">IFERROR(ROUNDUP(+AE33/CG33,0),0)</f>
        <v>14</v>
      </c>
      <c r="DZ33" s="9">
        <f t="shared" ref="DZ33:DZ38" si="415">IFERROR(ROUNDUP(+AF33/CJ33,0),0)</f>
        <v>15</v>
      </c>
      <c r="EA33" s="9">
        <f t="shared" ref="EA33:EA38" si="416">IFERROR(ROUNDUP(+AG33/CM33,0),0)</f>
        <v>12</v>
      </c>
      <c r="EB33" s="9">
        <f t="shared" ref="EB33:EB38" si="417">IFERROR(ROUNDUP(+AH33/CP33,0),0)</f>
        <v>0</v>
      </c>
      <c r="EC33" s="9">
        <f t="shared" ref="EC33:EC38" si="418">IFERROR(ROUNDUP(+AI33/CS33,0),0)</f>
        <v>0</v>
      </c>
      <c r="ED33" s="9">
        <f t="shared" ref="ED33:ED38" si="419">IFERROR(ROUNDUP(+AJ33/CV33,0),0)</f>
        <v>0</v>
      </c>
      <c r="EE33" s="9">
        <f t="shared" ref="EE33:EE38" si="420">IFERROR(ROUNDUP(+AK33/CY33,0),0)</f>
        <v>0</v>
      </c>
      <c r="EF33" s="9">
        <f t="shared" ref="EF33:EF38" si="421">IFERROR(ROUNDUP(+AL33/DB33,0),0)</f>
        <v>0</v>
      </c>
      <c r="EG33" s="9">
        <f t="shared" ref="EG33:EG38" si="422">IFERROR(ROUNDUP(+AM33/DE33,0),0)</f>
        <v>0</v>
      </c>
      <c r="EH33" s="9">
        <f t="shared" ref="EH33:EH38" si="423">IFERROR(ROUNDUP(+AN33/DH33,0),0)</f>
        <v>0</v>
      </c>
      <c r="EJ33" s="8">
        <f t="shared" si="305"/>
        <v>21</v>
      </c>
      <c r="EK33" s="9">
        <f t="shared" si="306"/>
        <v>4</v>
      </c>
      <c r="EL33" s="9">
        <f t="shared" si="307"/>
        <v>42</v>
      </c>
      <c r="EM33" s="9">
        <f t="shared" si="308"/>
        <v>56</v>
      </c>
      <c r="EN33" s="9">
        <f t="shared" si="309"/>
        <v>21</v>
      </c>
      <c r="EO33" s="9">
        <f t="shared" si="310"/>
        <v>70</v>
      </c>
      <c r="EP33" s="9">
        <f t="shared" si="275"/>
        <v>70</v>
      </c>
      <c r="EQ33" s="9">
        <f t="shared" si="276"/>
        <v>0</v>
      </c>
      <c r="ER33" s="9">
        <f t="shared" si="277"/>
        <v>0</v>
      </c>
      <c r="ES33" s="9">
        <f t="shared" si="278"/>
        <v>0</v>
      </c>
      <c r="ET33" s="9">
        <f t="shared" si="279"/>
        <v>0</v>
      </c>
      <c r="EU33" s="10">
        <f t="shared" si="280"/>
        <v>14</v>
      </c>
      <c r="EV33" s="9">
        <f t="shared" si="281"/>
        <v>70</v>
      </c>
      <c r="EW33" s="9">
        <f t="shared" si="282"/>
        <v>35</v>
      </c>
      <c r="EX33" s="9">
        <f t="shared" si="283"/>
        <v>98</v>
      </c>
      <c r="EY33" s="9">
        <f t="shared" si="284"/>
        <v>105</v>
      </c>
      <c r="EZ33" s="9">
        <f t="shared" si="285"/>
        <v>84</v>
      </c>
      <c r="FA33" s="9">
        <f t="shared" si="286"/>
        <v>0</v>
      </c>
      <c r="FB33" s="9">
        <f t="shared" si="287"/>
        <v>0</v>
      </c>
      <c r="FC33" s="9">
        <f t="shared" si="288"/>
        <v>0</v>
      </c>
      <c r="FD33" s="9">
        <f t="shared" si="289"/>
        <v>0</v>
      </c>
      <c r="FE33" s="9">
        <f t="shared" si="290"/>
        <v>0</v>
      </c>
      <c r="FF33" s="9">
        <f t="shared" si="291"/>
        <v>0</v>
      </c>
      <c r="FG33" s="9">
        <f t="shared" si="292"/>
        <v>0</v>
      </c>
      <c r="FO33" t="str">
        <f t="shared" si="396"/>
        <v xml:space="preserve">            (85134) FLB CHICKENW2</v>
      </c>
      <c r="FP33" t="str">
        <f t="shared" si="397"/>
        <v xml:space="preserve">            (85134) FLB CHICKENW3</v>
      </c>
      <c r="FQ33" t="str">
        <f t="shared" si="398"/>
        <v xml:space="preserve">            (85134) FLB CHICKENW2</v>
      </c>
      <c r="FR33" t="s">
        <v>855</v>
      </c>
    </row>
    <row r="34" spans="1:174" outlineLevel="2" x14ac:dyDescent="0.25">
      <c r="A34" s="43" t="s">
        <v>22</v>
      </c>
      <c r="B34" s="9">
        <f>SUMIF(Prophix!$Q:$Q,'Fds Units'!$A34,Prophix!D:D)</f>
        <v>0</v>
      </c>
      <c r="C34" s="9">
        <f>SUMIF(Prophix!$Q:$Q,'Fds Units'!$A34,Prophix!E:E)</f>
        <v>0</v>
      </c>
      <c r="D34" s="9">
        <f>SUMIF(Prophix!$Q:$Q,'Fds Units'!$A34,Prophix!F:F)</f>
        <v>0</v>
      </c>
      <c r="E34" s="9">
        <f>SUMIF(Prophix!$Q:$Q,'Fds Units'!$A34,Prophix!G:G)</f>
        <v>0</v>
      </c>
      <c r="F34" s="9">
        <f>SUMIF(Prophix!$Q:$Q,'Fds Units'!$A34,Prophix!H:H)</f>
        <v>352944</v>
      </c>
      <c r="G34" s="9">
        <f>SUMIF(Prophix!$Q:$Q,'Fds Units'!$A34,Prophix!I:I)</f>
        <v>0</v>
      </c>
      <c r="H34" s="9">
        <f>SUMIF(Prophix!$Q:$Q,'Fds Units'!$A34,Prophix!J:J)</f>
        <v>0</v>
      </c>
      <c r="I34" s="9">
        <f>SUMIF(Prophix!$Q:$Q,'Fds Units'!$A34,Prophix!K:K)</f>
        <v>0</v>
      </c>
      <c r="J34" s="9">
        <f>SUMIF(Prophix!$Q:$Q,'Fds Units'!$A34,Prophix!L:L)</f>
        <v>0</v>
      </c>
      <c r="K34" s="9">
        <f>SUMIF(Prophix!$Q:$Q,'Fds Units'!$A34,Prophix!M:M)</f>
        <v>0</v>
      </c>
      <c r="L34" s="92">
        <v>189024</v>
      </c>
      <c r="M34" s="133"/>
      <c r="N34" s="92">
        <v>180000</v>
      </c>
      <c r="O34" s="92">
        <f t="shared" si="399"/>
        <v>9024</v>
      </c>
      <c r="P34" s="142">
        <v>174000</v>
      </c>
      <c r="Q34" s="133">
        <f>P34</f>
        <v>174000</v>
      </c>
      <c r="R34" s="92"/>
      <c r="S34" s="92"/>
      <c r="T34" s="186">
        <f t="shared" si="400"/>
        <v>0</v>
      </c>
      <c r="U34" s="9"/>
      <c r="V34" s="9"/>
      <c r="W34" s="9"/>
      <c r="X34" s="9"/>
      <c r="Y34" s="8"/>
      <c r="Z34" s="9"/>
      <c r="AA34" s="9"/>
      <c r="AB34" s="242">
        <f t="shared" si="401"/>
        <v>0</v>
      </c>
      <c r="AC34" s="241">
        <v>0</v>
      </c>
      <c r="AD34" s="165">
        <v>0</v>
      </c>
      <c r="AE34" s="242">
        <v>0</v>
      </c>
      <c r="AF34" s="9">
        <v>200000</v>
      </c>
      <c r="AG34" s="9">
        <v>0</v>
      </c>
      <c r="AH34" s="66"/>
      <c r="AI34" s="66"/>
      <c r="AJ34" s="66"/>
      <c r="AK34" s="66"/>
      <c r="AL34" s="66"/>
      <c r="AM34" s="66"/>
      <c r="AN34" s="66"/>
      <c r="AO34" s="59"/>
      <c r="AP34" s="8" t="s">
        <v>77</v>
      </c>
      <c r="AQ34" s="9">
        <v>200000</v>
      </c>
      <c r="AR34" s="10">
        <v>7</v>
      </c>
      <c r="AS34" s="8" t="s">
        <v>77</v>
      </c>
      <c r="AT34" s="9">
        <v>200000</v>
      </c>
      <c r="AU34" s="10">
        <v>7</v>
      </c>
      <c r="AV34" s="8" t="s">
        <v>77</v>
      </c>
      <c r="AW34" s="9">
        <v>200000</v>
      </c>
      <c r="AX34" s="10">
        <v>7</v>
      </c>
      <c r="AY34" s="8" t="s">
        <v>77</v>
      </c>
      <c r="AZ34" s="9">
        <v>200000</v>
      </c>
      <c r="BA34" s="10">
        <v>7</v>
      </c>
      <c r="BB34" s="8" t="s">
        <v>77</v>
      </c>
      <c r="BC34" s="9">
        <v>200000</v>
      </c>
      <c r="BD34" s="10">
        <v>7</v>
      </c>
      <c r="BE34" s="8" t="s">
        <v>77</v>
      </c>
      <c r="BF34" s="9">
        <v>200000</v>
      </c>
      <c r="BG34" s="10">
        <v>7</v>
      </c>
      <c r="BH34" s="8" t="s">
        <v>77</v>
      </c>
      <c r="BI34" s="9">
        <v>200000</v>
      </c>
      <c r="BJ34" s="10">
        <v>7</v>
      </c>
      <c r="BK34" s="8" t="s">
        <v>77</v>
      </c>
      <c r="BL34" s="9">
        <v>200000</v>
      </c>
      <c r="BM34" s="10">
        <v>7</v>
      </c>
      <c r="BN34" s="8" t="s">
        <v>77</v>
      </c>
      <c r="BO34" s="9">
        <v>200000</v>
      </c>
      <c r="BP34" s="10">
        <v>7</v>
      </c>
      <c r="BQ34" s="8" t="s">
        <v>77</v>
      </c>
      <c r="BR34" s="9">
        <f t="shared" ref="BR34:BR35" si="424">+BO34</f>
        <v>200000</v>
      </c>
      <c r="BS34" s="10">
        <v>7</v>
      </c>
      <c r="BT34" s="8" t="s">
        <v>77</v>
      </c>
      <c r="BU34" s="9">
        <v>200000</v>
      </c>
      <c r="BV34" s="10">
        <v>7</v>
      </c>
      <c r="BW34" s="8" t="s">
        <v>77</v>
      </c>
      <c r="BX34" s="9">
        <v>200000</v>
      </c>
      <c r="BY34" s="10">
        <v>7</v>
      </c>
      <c r="BZ34" s="8" t="str">
        <f t="shared" si="294"/>
        <v>W2</v>
      </c>
      <c r="CA34" s="9">
        <v>175200</v>
      </c>
      <c r="CB34" s="10">
        <f t="shared" si="295"/>
        <v>7</v>
      </c>
      <c r="CC34" s="8" t="str">
        <f t="shared" si="296"/>
        <v>W2</v>
      </c>
      <c r="CD34" s="9">
        <f t="shared" si="297"/>
        <v>175200</v>
      </c>
      <c r="CE34" s="10">
        <f t="shared" si="298"/>
        <v>7</v>
      </c>
      <c r="CF34" s="8" t="str">
        <f t="shared" si="299"/>
        <v>W2</v>
      </c>
      <c r="CG34" s="9">
        <f t="shared" si="300"/>
        <v>175200</v>
      </c>
      <c r="CH34" s="10">
        <f t="shared" si="301"/>
        <v>7</v>
      </c>
      <c r="CI34" s="8" t="str">
        <f t="shared" si="302"/>
        <v>W2</v>
      </c>
      <c r="CJ34" s="9">
        <f t="shared" si="303"/>
        <v>175200</v>
      </c>
      <c r="CK34" s="10">
        <f t="shared" si="304"/>
        <v>7</v>
      </c>
      <c r="CL34" s="8" t="str">
        <f t="shared" si="251"/>
        <v>W2</v>
      </c>
      <c r="CM34" s="9">
        <f t="shared" si="252"/>
        <v>175200</v>
      </c>
      <c r="CN34" s="10">
        <f t="shared" si="253"/>
        <v>7</v>
      </c>
      <c r="CO34" s="8" t="str">
        <f t="shared" si="254"/>
        <v>W2</v>
      </c>
      <c r="CP34" s="11">
        <f t="shared" si="254"/>
        <v>175200</v>
      </c>
      <c r="CQ34" s="10">
        <f t="shared" si="255"/>
        <v>7</v>
      </c>
      <c r="CR34" s="8" t="str">
        <f t="shared" si="256"/>
        <v>W2</v>
      </c>
      <c r="CS34" s="9">
        <f t="shared" si="257"/>
        <v>175200</v>
      </c>
      <c r="CT34" s="10">
        <f t="shared" si="258"/>
        <v>7</v>
      </c>
      <c r="CU34" s="8" t="str">
        <f t="shared" si="259"/>
        <v>W2</v>
      </c>
      <c r="CV34" s="9">
        <f t="shared" si="260"/>
        <v>175200</v>
      </c>
      <c r="CW34" s="10">
        <f t="shared" si="261"/>
        <v>7</v>
      </c>
      <c r="CX34" s="8" t="str">
        <f t="shared" si="262"/>
        <v>W2</v>
      </c>
      <c r="CY34" s="9">
        <f t="shared" si="263"/>
        <v>175200</v>
      </c>
      <c r="CZ34" s="10">
        <f t="shared" si="264"/>
        <v>7</v>
      </c>
      <c r="DA34" s="8" t="str">
        <f t="shared" si="265"/>
        <v>W2</v>
      </c>
      <c r="DB34" s="9">
        <f t="shared" si="266"/>
        <v>175200</v>
      </c>
      <c r="DC34" s="10">
        <f t="shared" si="267"/>
        <v>7</v>
      </c>
      <c r="DD34" s="8" t="str">
        <f t="shared" si="268"/>
        <v>W2</v>
      </c>
      <c r="DE34" s="9">
        <f t="shared" si="269"/>
        <v>175200</v>
      </c>
      <c r="DF34" s="10">
        <f t="shared" si="270"/>
        <v>7</v>
      </c>
      <c r="DG34" s="8" t="str">
        <f t="shared" si="271"/>
        <v>W2</v>
      </c>
      <c r="DH34" s="9">
        <f t="shared" si="272"/>
        <v>175200</v>
      </c>
      <c r="DI34" s="10">
        <f t="shared" si="273"/>
        <v>7</v>
      </c>
      <c r="DK34" s="8">
        <f t="shared" si="402"/>
        <v>0</v>
      </c>
      <c r="DL34" s="9">
        <f t="shared" si="403"/>
        <v>0</v>
      </c>
      <c r="DM34" s="9">
        <f t="shared" si="404"/>
        <v>0</v>
      </c>
      <c r="DN34" s="9">
        <f>IFERROR(ROUNDUP(+E34/$AZ34,0),0)</f>
        <v>0</v>
      </c>
      <c r="DO34" s="9">
        <f t="shared" si="405"/>
        <v>2</v>
      </c>
      <c r="DP34" s="9">
        <f t="shared" si="406"/>
        <v>0</v>
      </c>
      <c r="DQ34" s="9">
        <f t="shared" si="407"/>
        <v>0</v>
      </c>
      <c r="DR34" s="9">
        <f t="shared" si="408"/>
        <v>0</v>
      </c>
      <c r="DS34" s="9">
        <f t="shared" si="409"/>
        <v>0</v>
      </c>
      <c r="DT34" s="9">
        <f t="shared" si="410"/>
        <v>0</v>
      </c>
      <c r="DU34" s="9">
        <v>1</v>
      </c>
      <c r="DV34" s="10">
        <f t="shared" si="411"/>
        <v>0</v>
      </c>
      <c r="DW34" s="9">
        <f t="shared" si="412"/>
        <v>0</v>
      </c>
      <c r="DX34" s="9">
        <f t="shared" si="413"/>
        <v>0</v>
      </c>
      <c r="DY34" s="9">
        <f t="shared" si="414"/>
        <v>0</v>
      </c>
      <c r="DZ34" s="9">
        <f t="shared" si="415"/>
        <v>2</v>
      </c>
      <c r="EA34" s="9">
        <f t="shared" si="416"/>
        <v>0</v>
      </c>
      <c r="EB34" s="9">
        <f t="shared" si="417"/>
        <v>0</v>
      </c>
      <c r="EC34" s="9">
        <f t="shared" si="418"/>
        <v>0</v>
      </c>
      <c r="ED34" s="9">
        <f t="shared" si="419"/>
        <v>0</v>
      </c>
      <c r="EE34" s="9">
        <f t="shared" si="420"/>
        <v>0</v>
      </c>
      <c r="EF34" s="9">
        <f t="shared" si="421"/>
        <v>0</v>
      </c>
      <c r="EG34" s="9">
        <f t="shared" si="422"/>
        <v>0</v>
      </c>
      <c r="EH34" s="9">
        <f t="shared" si="423"/>
        <v>0</v>
      </c>
      <c r="EJ34" s="8">
        <f t="shared" si="305"/>
        <v>0</v>
      </c>
      <c r="EK34" s="9">
        <f t="shared" si="306"/>
        <v>0</v>
      </c>
      <c r="EL34" s="9">
        <f t="shared" si="307"/>
        <v>0</v>
      </c>
      <c r="EM34" s="9">
        <f t="shared" si="308"/>
        <v>0</v>
      </c>
      <c r="EN34" s="9">
        <f t="shared" si="309"/>
        <v>14</v>
      </c>
      <c r="EO34" s="9">
        <f t="shared" si="310"/>
        <v>0</v>
      </c>
      <c r="EP34" s="9">
        <f t="shared" si="275"/>
        <v>0</v>
      </c>
      <c r="EQ34" s="9">
        <f t="shared" si="276"/>
        <v>0</v>
      </c>
      <c r="ER34" s="9">
        <f t="shared" si="277"/>
        <v>0</v>
      </c>
      <c r="ES34" s="9">
        <f t="shared" si="278"/>
        <v>0</v>
      </c>
      <c r="ET34" s="9">
        <f t="shared" si="279"/>
        <v>7</v>
      </c>
      <c r="EU34" s="10">
        <f t="shared" si="280"/>
        <v>0</v>
      </c>
      <c r="EV34" s="9">
        <f t="shared" si="281"/>
        <v>0</v>
      </c>
      <c r="EW34" s="9">
        <f t="shared" si="282"/>
        <v>0</v>
      </c>
      <c r="EX34" s="9">
        <f t="shared" si="283"/>
        <v>0</v>
      </c>
      <c r="EY34" s="9">
        <f t="shared" si="284"/>
        <v>14</v>
      </c>
      <c r="EZ34" s="9">
        <f t="shared" si="285"/>
        <v>0</v>
      </c>
      <c r="FA34" s="9">
        <f t="shared" si="286"/>
        <v>0</v>
      </c>
      <c r="FB34" s="9">
        <f t="shared" si="287"/>
        <v>0</v>
      </c>
      <c r="FC34" s="9">
        <f t="shared" si="288"/>
        <v>0</v>
      </c>
      <c r="FD34" s="9">
        <f t="shared" si="289"/>
        <v>0</v>
      </c>
      <c r="FE34" s="9">
        <f t="shared" si="290"/>
        <v>0</v>
      </c>
      <c r="FF34" s="9">
        <f t="shared" si="291"/>
        <v>0</v>
      </c>
      <c r="FG34" s="9">
        <f t="shared" si="292"/>
        <v>0</v>
      </c>
      <c r="FO34" t="str">
        <f t="shared" si="396"/>
        <v xml:space="preserve">            (85138) FLB BUFFALO STYLE CHICKENW2</v>
      </c>
      <c r="FP34" t="str">
        <f t="shared" si="397"/>
        <v xml:space="preserve">            (85138) FLB BUFFALO STYLE CHICKENW2</v>
      </c>
      <c r="FQ34" t="str">
        <f t="shared" si="398"/>
        <v xml:space="preserve">            (85138) FLB BUFFALO STYLE CHICKENW2</v>
      </c>
      <c r="FR34">
        <v>0</v>
      </c>
    </row>
    <row r="35" spans="1:174" outlineLevel="2" x14ac:dyDescent="0.25">
      <c r="A35" s="43" t="s">
        <v>23</v>
      </c>
      <c r="B35" s="9">
        <f>SUMIF(Prophix!$Q:$Q,'Fds Units'!$A35,Prophix!D:D)</f>
        <v>239616</v>
      </c>
      <c r="C35" s="9">
        <f>SUMIF(Prophix!$Q:$Q,'Fds Units'!$A35,Prophix!E:E)</f>
        <v>0</v>
      </c>
      <c r="D35" s="9">
        <f>SUMIF(Prophix!$Q:$Q,'Fds Units'!$A35,Prophix!F:F)</f>
        <v>0</v>
      </c>
      <c r="E35" s="9">
        <f>SUMIF(Prophix!$Q:$Q,'Fds Units'!$A35,Prophix!G:G)</f>
        <v>0</v>
      </c>
      <c r="F35" s="9">
        <f>SUMIF(Prophix!$Q:$Q,'Fds Units'!$A35,Prophix!H:H)</f>
        <v>296064</v>
      </c>
      <c r="G35" s="9">
        <f>SUMIF(Prophix!$Q:$Q,'Fds Units'!$A35,Prophix!I:I)</f>
        <v>0</v>
      </c>
      <c r="H35" s="9">
        <f>SUMIF(Prophix!$Q:$Q,'Fds Units'!$A35,Prophix!J:J)</f>
        <v>0</v>
      </c>
      <c r="I35" s="9">
        <f>SUMIF(Prophix!$Q:$Q,'Fds Units'!$A35,Prophix!K:K)</f>
        <v>0</v>
      </c>
      <c r="J35" s="9">
        <f>SUMIF(Prophix!$Q:$Q,'Fds Units'!$A35,Prophix!L:L)</f>
        <v>0</v>
      </c>
      <c r="K35" s="9">
        <f>SUMIF(Prophix!$Q:$Q,'Fds Units'!$A35,Prophix!M:M)</f>
        <v>0</v>
      </c>
      <c r="L35" s="92">
        <v>348960</v>
      </c>
      <c r="M35" s="133"/>
      <c r="N35" s="92">
        <v>360000</v>
      </c>
      <c r="O35" s="92">
        <f t="shared" si="399"/>
        <v>-11040</v>
      </c>
      <c r="P35" s="142"/>
      <c r="Q35" s="133">
        <v>0</v>
      </c>
      <c r="R35" s="92"/>
      <c r="S35" s="92"/>
      <c r="T35" s="186">
        <f t="shared" si="400"/>
        <v>0</v>
      </c>
      <c r="U35" s="9"/>
      <c r="V35" s="9"/>
      <c r="W35" s="9"/>
      <c r="X35" s="9"/>
      <c r="Y35" s="8"/>
      <c r="Z35" s="9"/>
      <c r="AA35" s="9"/>
      <c r="AB35" s="242">
        <f t="shared" si="401"/>
        <v>0</v>
      </c>
      <c r="AC35" s="241">
        <v>0</v>
      </c>
      <c r="AD35" s="165">
        <v>0</v>
      </c>
      <c r="AE35" s="242">
        <v>0</v>
      </c>
      <c r="AF35" s="9">
        <v>200000</v>
      </c>
      <c r="AG35" s="9">
        <v>200000</v>
      </c>
      <c r="AH35" s="66"/>
      <c r="AI35" s="66"/>
      <c r="AJ35" s="66"/>
      <c r="AK35" s="66"/>
      <c r="AL35" s="66"/>
      <c r="AM35" s="66"/>
      <c r="AN35" s="66"/>
      <c r="AO35" s="59"/>
      <c r="AP35" s="8" t="s">
        <v>78</v>
      </c>
      <c r="AQ35" s="9">
        <v>120000</v>
      </c>
      <c r="AR35" s="10">
        <v>5</v>
      </c>
      <c r="AS35" s="8" t="s">
        <v>77</v>
      </c>
      <c r="AT35" s="9">
        <v>200000</v>
      </c>
      <c r="AU35" s="10">
        <v>7</v>
      </c>
      <c r="AV35" s="8" t="s">
        <v>77</v>
      </c>
      <c r="AW35" s="9">
        <v>200000</v>
      </c>
      <c r="AX35" s="10">
        <v>7</v>
      </c>
      <c r="AY35" s="8" t="s">
        <v>77</v>
      </c>
      <c r="AZ35" s="9">
        <v>200000</v>
      </c>
      <c r="BA35" s="10">
        <v>7</v>
      </c>
      <c r="BB35" s="8" t="s">
        <v>77</v>
      </c>
      <c r="BC35" s="9">
        <v>200000</v>
      </c>
      <c r="BD35" s="10">
        <v>7</v>
      </c>
      <c r="BE35" s="8" t="s">
        <v>77</v>
      </c>
      <c r="BF35" s="9">
        <v>200000</v>
      </c>
      <c r="BG35" s="10">
        <v>7</v>
      </c>
      <c r="BH35" s="8" t="s">
        <v>77</v>
      </c>
      <c r="BI35" s="9">
        <v>200000</v>
      </c>
      <c r="BJ35" s="10">
        <v>7</v>
      </c>
      <c r="BK35" s="8" t="s">
        <v>77</v>
      </c>
      <c r="BL35" s="9">
        <v>200000</v>
      </c>
      <c r="BM35" s="10">
        <v>7</v>
      </c>
      <c r="BN35" s="8" t="s">
        <v>77</v>
      </c>
      <c r="BO35" s="9">
        <v>200000</v>
      </c>
      <c r="BP35" s="10">
        <v>7</v>
      </c>
      <c r="BQ35" s="8" t="s">
        <v>77</v>
      </c>
      <c r="BR35" s="9">
        <f t="shared" si="424"/>
        <v>200000</v>
      </c>
      <c r="BS35" s="10">
        <v>7</v>
      </c>
      <c r="BT35" s="8" t="s">
        <v>77</v>
      </c>
      <c r="BU35" s="9">
        <v>200000</v>
      </c>
      <c r="BV35" s="10">
        <v>7</v>
      </c>
      <c r="BW35" s="8" t="s">
        <v>77</v>
      </c>
      <c r="BX35" s="9">
        <v>200000</v>
      </c>
      <c r="BY35" s="10">
        <v>7</v>
      </c>
      <c r="BZ35" s="8" t="str">
        <f t="shared" si="294"/>
        <v>W2</v>
      </c>
      <c r="CA35" s="9">
        <v>175200</v>
      </c>
      <c r="CB35" s="10">
        <f t="shared" si="295"/>
        <v>7</v>
      </c>
      <c r="CC35" s="8" t="str">
        <f t="shared" si="296"/>
        <v>W2</v>
      </c>
      <c r="CD35" s="9">
        <f t="shared" si="297"/>
        <v>175200</v>
      </c>
      <c r="CE35" s="10">
        <f t="shared" si="298"/>
        <v>7</v>
      </c>
      <c r="CF35" s="8" t="str">
        <f t="shared" si="299"/>
        <v>W2</v>
      </c>
      <c r="CG35" s="9">
        <f t="shared" si="300"/>
        <v>175200</v>
      </c>
      <c r="CH35" s="10">
        <f t="shared" si="301"/>
        <v>7</v>
      </c>
      <c r="CI35" s="8" t="str">
        <f t="shared" si="302"/>
        <v>W2</v>
      </c>
      <c r="CJ35" s="9">
        <f t="shared" si="303"/>
        <v>175200</v>
      </c>
      <c r="CK35" s="10">
        <f t="shared" si="304"/>
        <v>7</v>
      </c>
      <c r="CL35" s="8" t="str">
        <f t="shared" si="251"/>
        <v>W2</v>
      </c>
      <c r="CM35" s="9">
        <f t="shared" si="252"/>
        <v>175200</v>
      </c>
      <c r="CN35" s="10">
        <f t="shared" si="253"/>
        <v>7</v>
      </c>
      <c r="CO35" s="8" t="str">
        <f t="shared" si="254"/>
        <v>W2</v>
      </c>
      <c r="CP35" s="11">
        <f t="shared" si="254"/>
        <v>175200</v>
      </c>
      <c r="CQ35" s="10">
        <f t="shared" si="255"/>
        <v>7</v>
      </c>
      <c r="CR35" s="8" t="str">
        <f t="shared" si="256"/>
        <v>W2</v>
      </c>
      <c r="CS35" s="9">
        <f t="shared" si="257"/>
        <v>175200</v>
      </c>
      <c r="CT35" s="10">
        <f t="shared" si="258"/>
        <v>7</v>
      </c>
      <c r="CU35" s="8" t="str">
        <f t="shared" si="259"/>
        <v>W2</v>
      </c>
      <c r="CV35" s="9">
        <f t="shared" si="260"/>
        <v>175200</v>
      </c>
      <c r="CW35" s="10">
        <f t="shared" si="261"/>
        <v>7</v>
      </c>
      <c r="CX35" s="8" t="str">
        <f t="shared" si="262"/>
        <v>W2</v>
      </c>
      <c r="CY35" s="9">
        <f t="shared" si="263"/>
        <v>175200</v>
      </c>
      <c r="CZ35" s="10">
        <f t="shared" si="264"/>
        <v>7</v>
      </c>
      <c r="DA35" s="8" t="str">
        <f t="shared" si="265"/>
        <v>W2</v>
      </c>
      <c r="DB35" s="9">
        <f t="shared" si="266"/>
        <v>175200</v>
      </c>
      <c r="DC35" s="10">
        <f t="shared" si="267"/>
        <v>7</v>
      </c>
      <c r="DD35" s="8" t="str">
        <f t="shared" si="268"/>
        <v>W2</v>
      </c>
      <c r="DE35" s="9">
        <f t="shared" si="269"/>
        <v>175200</v>
      </c>
      <c r="DF35" s="10">
        <f t="shared" si="270"/>
        <v>7</v>
      </c>
      <c r="DG35" s="8" t="str">
        <f t="shared" si="271"/>
        <v>W2</v>
      </c>
      <c r="DH35" s="9">
        <f t="shared" si="272"/>
        <v>175200</v>
      </c>
      <c r="DI35" s="10">
        <f t="shared" si="273"/>
        <v>7</v>
      </c>
      <c r="DK35" s="72">
        <f t="shared" si="402"/>
        <v>2</v>
      </c>
      <c r="DL35" s="9">
        <f t="shared" si="403"/>
        <v>0</v>
      </c>
      <c r="DM35" s="9">
        <f t="shared" si="404"/>
        <v>0</v>
      </c>
      <c r="DN35" s="9">
        <f>IFERROR(ROUNDUP(+E35/$AZ35,0),0)</f>
        <v>0</v>
      </c>
      <c r="DO35" s="9">
        <f t="shared" si="405"/>
        <v>2</v>
      </c>
      <c r="DP35" s="9">
        <f t="shared" si="406"/>
        <v>0</v>
      </c>
      <c r="DQ35" s="9">
        <f t="shared" si="407"/>
        <v>0</v>
      </c>
      <c r="DR35" s="9">
        <f t="shared" si="408"/>
        <v>0</v>
      </c>
      <c r="DS35" s="9">
        <f t="shared" si="409"/>
        <v>0</v>
      </c>
      <c r="DT35" s="9">
        <f t="shared" si="410"/>
        <v>0</v>
      </c>
      <c r="DU35" s="9">
        <v>2</v>
      </c>
      <c r="DV35" s="10">
        <f t="shared" si="411"/>
        <v>0</v>
      </c>
      <c r="DW35" s="9">
        <f t="shared" si="412"/>
        <v>0</v>
      </c>
      <c r="DX35" s="9">
        <f t="shared" si="413"/>
        <v>0</v>
      </c>
      <c r="DY35" s="9">
        <f t="shared" si="414"/>
        <v>0</v>
      </c>
      <c r="DZ35" s="9">
        <f t="shared" si="415"/>
        <v>2</v>
      </c>
      <c r="EA35" s="9">
        <f>IFERROR(ROUNDUP(+AG35/CM35,0),0)</f>
        <v>2</v>
      </c>
      <c r="EB35" s="9">
        <f t="shared" si="417"/>
        <v>0</v>
      </c>
      <c r="EC35" s="9">
        <f t="shared" si="418"/>
        <v>0</v>
      </c>
      <c r="ED35" s="9">
        <f t="shared" si="419"/>
        <v>0</v>
      </c>
      <c r="EE35" s="9">
        <f t="shared" si="420"/>
        <v>0</v>
      </c>
      <c r="EF35" s="9">
        <f t="shared" si="421"/>
        <v>0</v>
      </c>
      <c r="EG35" s="9">
        <f t="shared" si="422"/>
        <v>0</v>
      </c>
      <c r="EH35" s="9">
        <f t="shared" si="423"/>
        <v>0</v>
      </c>
      <c r="EJ35" s="8">
        <f t="shared" si="305"/>
        <v>10</v>
      </c>
      <c r="EK35" s="9">
        <f t="shared" si="306"/>
        <v>0</v>
      </c>
      <c r="EL35" s="9">
        <f t="shared" si="307"/>
        <v>0</v>
      </c>
      <c r="EM35" s="9">
        <f t="shared" si="308"/>
        <v>0</v>
      </c>
      <c r="EN35" s="9">
        <f t="shared" si="309"/>
        <v>14</v>
      </c>
      <c r="EO35" s="9">
        <f t="shared" si="310"/>
        <v>0</v>
      </c>
      <c r="EP35" s="9">
        <f t="shared" si="275"/>
        <v>0</v>
      </c>
      <c r="EQ35" s="9">
        <f t="shared" si="276"/>
        <v>0</v>
      </c>
      <c r="ER35" s="9">
        <f t="shared" si="277"/>
        <v>0</v>
      </c>
      <c r="ES35" s="9">
        <f t="shared" si="278"/>
        <v>0</v>
      </c>
      <c r="ET35" s="9">
        <f t="shared" si="279"/>
        <v>14</v>
      </c>
      <c r="EU35" s="10">
        <f t="shared" si="280"/>
        <v>0</v>
      </c>
      <c r="EV35" s="9">
        <f t="shared" si="281"/>
        <v>0</v>
      </c>
      <c r="EW35" s="9">
        <f t="shared" si="282"/>
        <v>0</v>
      </c>
      <c r="EX35" s="9">
        <f t="shared" si="283"/>
        <v>0</v>
      </c>
      <c r="EY35" s="9">
        <f t="shared" si="284"/>
        <v>14</v>
      </c>
      <c r="EZ35" s="9">
        <f t="shared" si="285"/>
        <v>14</v>
      </c>
      <c r="FA35" s="9">
        <f t="shared" si="286"/>
        <v>0</v>
      </c>
      <c r="FB35" s="9">
        <f t="shared" si="287"/>
        <v>0</v>
      </c>
      <c r="FC35" s="9">
        <f t="shared" si="288"/>
        <v>0</v>
      </c>
      <c r="FD35" s="9">
        <f t="shared" si="289"/>
        <v>0</v>
      </c>
      <c r="FE35" s="9">
        <f t="shared" si="290"/>
        <v>0</v>
      </c>
      <c r="FF35" s="9">
        <f t="shared" si="291"/>
        <v>0</v>
      </c>
      <c r="FG35" s="9">
        <f t="shared" si="292"/>
        <v>0</v>
      </c>
      <c r="FI35" s="71"/>
      <c r="FJ35" s="71"/>
      <c r="FO35" t="str">
        <f t="shared" si="396"/>
        <v xml:space="preserve">            (85206) FLB CHICKEN SALADW2</v>
      </c>
      <c r="FP35" t="str">
        <f t="shared" si="397"/>
        <v xml:space="preserve">            (85206) FLB CHICKEN SALADW2</v>
      </c>
      <c r="FQ35" t="str">
        <f t="shared" si="398"/>
        <v xml:space="preserve">            (85206) FLB CHICKEN SALADW2</v>
      </c>
      <c r="FR35" t="s">
        <v>856</v>
      </c>
    </row>
    <row r="36" spans="1:174" outlineLevel="2" x14ac:dyDescent="0.25">
      <c r="A36" s="43" t="s">
        <v>24</v>
      </c>
      <c r="B36" s="9">
        <f>SUMIF(Prophix!$Q:$Q,'Fds Units'!$A36,Prophix!D:D)</f>
        <v>207072</v>
      </c>
      <c r="C36" s="9">
        <f>SUMIF(Prophix!$Q:$Q,'Fds Units'!$A36,Prophix!E:E)</f>
        <v>0</v>
      </c>
      <c r="D36" s="9">
        <f>SUMIF(Prophix!$Q:$Q,'Fds Units'!$A36,Prophix!F:F)</f>
        <v>146976</v>
      </c>
      <c r="E36" s="9">
        <f>SUMIF(Prophix!$Q:$Q,'Fds Units'!$A36,Prophix!G:G)</f>
        <v>0</v>
      </c>
      <c r="F36" s="9">
        <f>SUMIF(Prophix!$Q:$Q,'Fds Units'!$A36,Prophix!H:H)</f>
        <v>177504</v>
      </c>
      <c r="G36" s="9">
        <f>SUMIF(Prophix!$Q:$Q,'Fds Units'!$A36,Prophix!I:I)</f>
        <v>0</v>
      </c>
      <c r="H36" s="9">
        <f>SUMIF(Prophix!$Q:$Q,'Fds Units'!$A36,Prophix!J:J)</f>
        <v>367488</v>
      </c>
      <c r="I36" s="9">
        <f>SUMIF(Prophix!$Q:$Q,'Fds Units'!$A36,Prophix!K:K)</f>
        <v>0</v>
      </c>
      <c r="J36" s="9">
        <f>SUMIF(Prophix!$Q:$Q,'Fds Units'!$A36,Prophix!L:L)</f>
        <v>0</v>
      </c>
      <c r="K36" s="9">
        <f>SUMIF(Prophix!$Q:$Q,'Fds Units'!$A36,Prophix!M:M)</f>
        <v>0</v>
      </c>
      <c r="L36" s="92">
        <v>132576</v>
      </c>
      <c r="M36" s="133"/>
      <c r="N36" s="92">
        <v>0</v>
      </c>
      <c r="O36" s="92">
        <f t="shared" si="399"/>
        <v>132576</v>
      </c>
      <c r="P36" s="142">
        <v>174000</v>
      </c>
      <c r="Q36" s="133">
        <f>P36</f>
        <v>174000</v>
      </c>
      <c r="R36" s="92">
        <v>150000</v>
      </c>
      <c r="S36" s="92">
        <v>280056</v>
      </c>
      <c r="T36" s="186">
        <f t="shared" si="400"/>
        <v>130056</v>
      </c>
      <c r="U36" s="9"/>
      <c r="V36" s="9"/>
      <c r="W36" s="9">
        <v>180000</v>
      </c>
      <c r="X36" s="9"/>
      <c r="Y36" s="8"/>
      <c r="Z36" s="9"/>
      <c r="AA36" s="9"/>
      <c r="AB36" s="242">
        <f t="shared" si="401"/>
        <v>0</v>
      </c>
      <c r="AC36" s="241">
        <v>180000</v>
      </c>
      <c r="AD36" s="165">
        <v>180000</v>
      </c>
      <c r="AE36" s="242">
        <v>300480</v>
      </c>
      <c r="AF36" s="9">
        <v>0</v>
      </c>
      <c r="AG36" s="9">
        <v>200000</v>
      </c>
      <c r="AH36" s="66"/>
      <c r="AI36" s="66"/>
      <c r="AJ36" s="66"/>
      <c r="AK36" s="66"/>
      <c r="AL36" s="66"/>
      <c r="AM36" s="66"/>
      <c r="AN36" s="66"/>
      <c r="AO36" s="59"/>
      <c r="AP36" s="8" t="s">
        <v>78</v>
      </c>
      <c r="AQ36" s="9">
        <v>120000</v>
      </c>
      <c r="AR36" s="10">
        <v>5</v>
      </c>
      <c r="AS36" s="8" t="s">
        <v>77</v>
      </c>
      <c r="AT36" s="9">
        <v>200000</v>
      </c>
      <c r="AU36" s="10">
        <v>7</v>
      </c>
      <c r="AV36" s="8" t="s">
        <v>77</v>
      </c>
      <c r="AW36" s="9">
        <v>200000</v>
      </c>
      <c r="AX36" s="10">
        <v>7</v>
      </c>
      <c r="AY36" s="8" t="s">
        <v>77</v>
      </c>
      <c r="AZ36" s="9">
        <v>200000</v>
      </c>
      <c r="BA36" s="10">
        <v>7</v>
      </c>
      <c r="BB36" s="8" t="s">
        <v>77</v>
      </c>
      <c r="BC36" s="9">
        <v>200000</v>
      </c>
      <c r="BD36" s="10">
        <v>7</v>
      </c>
      <c r="BE36" s="8" t="s">
        <v>77</v>
      </c>
      <c r="BF36" s="9">
        <v>200000</v>
      </c>
      <c r="BG36" s="10">
        <v>7</v>
      </c>
      <c r="BH36" s="8" t="s">
        <v>77</v>
      </c>
      <c r="BI36" s="9">
        <f>+H36/2</f>
        <v>183744</v>
      </c>
      <c r="BJ36" s="10">
        <v>7</v>
      </c>
      <c r="BK36" s="8" t="s">
        <v>77</v>
      </c>
      <c r="BL36" s="9">
        <v>200000</v>
      </c>
      <c r="BM36" s="10">
        <v>7</v>
      </c>
      <c r="BN36" s="8" t="s">
        <v>77</v>
      </c>
      <c r="BO36" s="9">
        <v>200000</v>
      </c>
      <c r="BP36" s="10">
        <v>7</v>
      </c>
      <c r="BQ36" s="8" t="s">
        <v>77</v>
      </c>
      <c r="BR36" s="9">
        <v>200000</v>
      </c>
      <c r="BS36" s="10">
        <v>7</v>
      </c>
      <c r="BT36" s="8" t="s">
        <v>77</v>
      </c>
      <c r="BU36" s="9">
        <v>200000</v>
      </c>
      <c r="BV36" s="10">
        <v>7</v>
      </c>
      <c r="BW36" s="8" t="s">
        <v>77</v>
      </c>
      <c r="BX36" s="9">
        <v>200000</v>
      </c>
      <c r="BY36" s="10">
        <v>7</v>
      </c>
      <c r="BZ36" s="8" t="str">
        <f t="shared" si="294"/>
        <v>W2</v>
      </c>
      <c r="CA36" s="9">
        <v>175200</v>
      </c>
      <c r="CB36" s="10">
        <f t="shared" si="295"/>
        <v>7</v>
      </c>
      <c r="CC36" s="8" t="str">
        <f t="shared" si="296"/>
        <v>W2</v>
      </c>
      <c r="CD36" s="9">
        <f t="shared" si="297"/>
        <v>175200</v>
      </c>
      <c r="CE36" s="10">
        <f t="shared" si="298"/>
        <v>7</v>
      </c>
      <c r="CF36" s="8" t="str">
        <f t="shared" si="299"/>
        <v>W2</v>
      </c>
      <c r="CG36" s="9">
        <f t="shared" si="300"/>
        <v>175200</v>
      </c>
      <c r="CH36" s="10">
        <f t="shared" si="301"/>
        <v>7</v>
      </c>
      <c r="CI36" s="8" t="str">
        <f t="shared" si="302"/>
        <v>W2</v>
      </c>
      <c r="CJ36" s="9">
        <f t="shared" si="303"/>
        <v>175200</v>
      </c>
      <c r="CK36" s="10">
        <f t="shared" si="304"/>
        <v>7</v>
      </c>
      <c r="CL36" s="8" t="str">
        <f t="shared" si="251"/>
        <v>W2</v>
      </c>
      <c r="CM36" s="9">
        <f t="shared" si="252"/>
        <v>175200</v>
      </c>
      <c r="CN36" s="10">
        <f t="shared" si="253"/>
        <v>7</v>
      </c>
      <c r="CO36" s="8" t="str">
        <f t="shared" si="254"/>
        <v>W2</v>
      </c>
      <c r="CP36" s="11">
        <f t="shared" si="254"/>
        <v>175200</v>
      </c>
      <c r="CQ36" s="10">
        <f t="shared" si="255"/>
        <v>7</v>
      </c>
      <c r="CR36" s="8" t="str">
        <f t="shared" si="256"/>
        <v>W2</v>
      </c>
      <c r="CS36" s="9">
        <f t="shared" si="257"/>
        <v>175200</v>
      </c>
      <c r="CT36" s="10">
        <f t="shared" si="258"/>
        <v>7</v>
      </c>
      <c r="CU36" s="8" t="str">
        <f t="shared" si="259"/>
        <v>W2</v>
      </c>
      <c r="CV36" s="9">
        <f t="shared" si="260"/>
        <v>175200</v>
      </c>
      <c r="CW36" s="10">
        <f t="shared" si="261"/>
        <v>7</v>
      </c>
      <c r="CX36" s="8" t="str">
        <f t="shared" si="262"/>
        <v>W2</v>
      </c>
      <c r="CY36" s="9">
        <f t="shared" si="263"/>
        <v>175200</v>
      </c>
      <c r="CZ36" s="10">
        <f t="shared" si="264"/>
        <v>7</v>
      </c>
      <c r="DA36" s="8" t="str">
        <f t="shared" si="265"/>
        <v>W2</v>
      </c>
      <c r="DB36" s="9">
        <f t="shared" si="266"/>
        <v>175200</v>
      </c>
      <c r="DC36" s="10">
        <f t="shared" si="267"/>
        <v>7</v>
      </c>
      <c r="DD36" s="8" t="str">
        <f t="shared" si="268"/>
        <v>W2</v>
      </c>
      <c r="DE36" s="9">
        <f t="shared" si="269"/>
        <v>175200</v>
      </c>
      <c r="DF36" s="10">
        <f t="shared" si="270"/>
        <v>7</v>
      </c>
      <c r="DG36" s="8" t="str">
        <f t="shared" si="271"/>
        <v>W2</v>
      </c>
      <c r="DH36" s="9">
        <f t="shared" si="272"/>
        <v>175200</v>
      </c>
      <c r="DI36" s="10">
        <f t="shared" si="273"/>
        <v>7</v>
      </c>
      <c r="DK36" s="72">
        <f t="shared" si="402"/>
        <v>2</v>
      </c>
      <c r="DL36" s="9">
        <f t="shared" si="403"/>
        <v>0</v>
      </c>
      <c r="DM36" s="9">
        <f t="shared" si="404"/>
        <v>1</v>
      </c>
      <c r="DN36" s="9">
        <f>IFERROR(ROUNDUP(+E36/$AZ36,0),0)</f>
        <v>0</v>
      </c>
      <c r="DO36" s="9">
        <f t="shared" si="405"/>
        <v>1</v>
      </c>
      <c r="DP36" s="9">
        <f t="shared" si="406"/>
        <v>0</v>
      </c>
      <c r="DQ36" s="9">
        <f t="shared" si="407"/>
        <v>2</v>
      </c>
      <c r="DR36" s="9">
        <f t="shared" si="408"/>
        <v>0</v>
      </c>
      <c r="DS36" s="9">
        <f t="shared" si="409"/>
        <v>0</v>
      </c>
      <c r="DT36" s="9">
        <f t="shared" si="410"/>
        <v>0</v>
      </c>
      <c r="DU36" s="9">
        <f>IFERROR(ROUNDUP(+N36/BU36,0),0)</f>
        <v>0</v>
      </c>
      <c r="DV36" s="10">
        <f t="shared" si="411"/>
        <v>1</v>
      </c>
      <c r="DW36" s="9">
        <f t="shared" si="412"/>
        <v>0</v>
      </c>
      <c r="DX36" s="9">
        <f t="shared" si="413"/>
        <v>0</v>
      </c>
      <c r="DY36" s="9">
        <f t="shared" si="414"/>
        <v>2</v>
      </c>
      <c r="DZ36" s="9">
        <f t="shared" si="415"/>
        <v>0</v>
      </c>
      <c r="EA36" s="9">
        <f t="shared" si="416"/>
        <v>2</v>
      </c>
      <c r="EB36" s="9">
        <f t="shared" si="417"/>
        <v>0</v>
      </c>
      <c r="EC36" s="9">
        <f t="shared" si="418"/>
        <v>0</v>
      </c>
      <c r="ED36" s="9">
        <f t="shared" si="419"/>
        <v>0</v>
      </c>
      <c r="EE36" s="9">
        <f t="shared" si="420"/>
        <v>0</v>
      </c>
      <c r="EF36" s="9">
        <f t="shared" si="421"/>
        <v>0</v>
      </c>
      <c r="EG36" s="9">
        <f t="shared" si="422"/>
        <v>0</v>
      </c>
      <c r="EH36" s="9">
        <f t="shared" si="423"/>
        <v>0</v>
      </c>
      <c r="EJ36" s="8">
        <f t="shared" si="305"/>
        <v>10</v>
      </c>
      <c r="EK36" s="9">
        <f t="shared" si="306"/>
        <v>0</v>
      </c>
      <c r="EL36" s="9">
        <f t="shared" si="307"/>
        <v>7</v>
      </c>
      <c r="EM36" s="9">
        <f t="shared" si="308"/>
        <v>0</v>
      </c>
      <c r="EN36" s="9">
        <f t="shared" si="309"/>
        <v>7</v>
      </c>
      <c r="EO36" s="9">
        <f t="shared" si="310"/>
        <v>0</v>
      </c>
      <c r="EP36" s="9">
        <f t="shared" si="275"/>
        <v>14</v>
      </c>
      <c r="EQ36" s="9">
        <f t="shared" si="276"/>
        <v>0</v>
      </c>
      <c r="ER36" s="9">
        <f t="shared" si="277"/>
        <v>0</v>
      </c>
      <c r="ES36" s="9">
        <f t="shared" si="278"/>
        <v>0</v>
      </c>
      <c r="ET36" s="9">
        <f t="shared" si="279"/>
        <v>0</v>
      </c>
      <c r="EU36" s="10">
        <f t="shared" si="280"/>
        <v>7</v>
      </c>
      <c r="EV36" s="9">
        <f t="shared" si="281"/>
        <v>0</v>
      </c>
      <c r="EW36" s="9">
        <f t="shared" si="282"/>
        <v>0</v>
      </c>
      <c r="EX36" s="9">
        <f t="shared" si="283"/>
        <v>14</v>
      </c>
      <c r="EY36" s="9">
        <f t="shared" si="284"/>
        <v>0</v>
      </c>
      <c r="EZ36" s="9">
        <f t="shared" si="285"/>
        <v>14</v>
      </c>
      <c r="FA36" s="9">
        <f t="shared" si="286"/>
        <v>0</v>
      </c>
      <c r="FB36" s="9">
        <f t="shared" si="287"/>
        <v>0</v>
      </c>
      <c r="FC36" s="9">
        <f t="shared" si="288"/>
        <v>0</v>
      </c>
      <c r="FD36" s="9">
        <f t="shared" si="289"/>
        <v>0</v>
      </c>
      <c r="FE36" s="9">
        <f t="shared" si="290"/>
        <v>0</v>
      </c>
      <c r="FF36" s="9">
        <f t="shared" si="291"/>
        <v>0</v>
      </c>
      <c r="FG36" s="9">
        <f t="shared" si="292"/>
        <v>0</v>
      </c>
      <c r="FO36" t="str">
        <f t="shared" si="396"/>
        <v xml:space="preserve">            (85207) FLB BBQ  WHITE CHICKENW2</v>
      </c>
      <c r="FP36" t="str">
        <f t="shared" si="397"/>
        <v xml:space="preserve">            (85207) FLB BBQ  WHITE CHICKENW2</v>
      </c>
      <c r="FQ36" t="str">
        <f t="shared" si="398"/>
        <v xml:space="preserve">            (85207) FLB BBQ  WHITE CHICKENW2</v>
      </c>
      <c r="FR36" t="s">
        <v>857</v>
      </c>
    </row>
    <row r="37" spans="1:174" outlineLevel="2" x14ac:dyDescent="0.25">
      <c r="A37" s="43" t="s">
        <v>25</v>
      </c>
      <c r="B37" s="9">
        <f>SUMIF(Prophix!$Q:$Q,'Fds Units'!$A37,Prophix!D:D)</f>
        <v>89760</v>
      </c>
      <c r="C37" s="9">
        <f>SUMIF(Prophix!$Q:$Q,'Fds Units'!$A37,Prophix!E:E)</f>
        <v>0</v>
      </c>
      <c r="D37" s="9">
        <f>SUMIF(Prophix!$Q:$Q,'Fds Units'!$A37,Prophix!F:F)</f>
        <v>0</v>
      </c>
      <c r="E37" s="9">
        <f>SUMIF(Prophix!$Q:$Q,'Fds Units'!$A37,Prophix!G:G)</f>
        <v>0</v>
      </c>
      <c r="F37" s="9">
        <f>SUMIF(Prophix!$Q:$Q,'Fds Units'!$A37,Prophix!H:H)</f>
        <v>0</v>
      </c>
      <c r="G37" s="9">
        <f>SUMIF(Prophix!$Q:$Q,'Fds Units'!$A37,Prophix!I:I)</f>
        <v>0</v>
      </c>
      <c r="H37" s="9">
        <f>SUMIF(Prophix!$Q:$Q,'Fds Units'!$A37,Prophix!J:J)</f>
        <v>0</v>
      </c>
      <c r="I37" s="9">
        <f>SUMIF(Prophix!$Q:$Q,'Fds Units'!$A37,Prophix!K:K)</f>
        <v>0</v>
      </c>
      <c r="J37" s="9">
        <f>SUMIF(Prophix!$Q:$Q,'Fds Units'!$A37,Prophix!L:L)</f>
        <v>0</v>
      </c>
      <c r="K37" s="9">
        <f>SUMIF(Prophix!$Q:$Q,'Fds Units'!$A37,Prophix!M:M)</f>
        <v>0</v>
      </c>
      <c r="L37" s="92">
        <v>0</v>
      </c>
      <c r="M37" s="133"/>
      <c r="N37" s="92">
        <f>SUMIF(Schedule!$R:$R,$FP37,Schedule!P:P)</f>
        <v>0</v>
      </c>
      <c r="O37" s="92">
        <f t="shared" si="399"/>
        <v>0</v>
      </c>
      <c r="P37" s="133"/>
      <c r="Q37" s="133">
        <f t="shared" ref="Q37" si="425">+P37-O37</f>
        <v>0</v>
      </c>
      <c r="R37" s="92"/>
      <c r="S37" s="92"/>
      <c r="T37" s="186">
        <f t="shared" si="400"/>
        <v>0</v>
      </c>
      <c r="U37" s="9"/>
      <c r="V37" s="9"/>
      <c r="W37" s="9"/>
      <c r="X37" s="9"/>
      <c r="Y37" s="8"/>
      <c r="Z37" s="9"/>
      <c r="AA37" s="9"/>
      <c r="AB37" s="242">
        <f t="shared" si="401"/>
        <v>0</v>
      </c>
      <c r="AC37" s="241">
        <v>0</v>
      </c>
      <c r="AD37" s="165">
        <v>0</v>
      </c>
      <c r="AE37" s="242">
        <v>0</v>
      </c>
      <c r="AF37" s="9">
        <v>200000</v>
      </c>
      <c r="AG37" s="9">
        <v>0</v>
      </c>
      <c r="AH37" s="66"/>
      <c r="AI37" s="66"/>
      <c r="AJ37" s="66"/>
      <c r="AK37" s="66"/>
      <c r="AL37" s="66"/>
      <c r="AM37" s="66"/>
      <c r="AN37" s="66"/>
      <c r="AO37" s="59"/>
      <c r="AP37" s="8" t="s">
        <v>78</v>
      </c>
      <c r="AQ37" s="9">
        <v>90000</v>
      </c>
      <c r="AR37" s="10">
        <v>4</v>
      </c>
      <c r="AS37" s="8" t="s">
        <v>77</v>
      </c>
      <c r="AT37" s="9">
        <v>200000</v>
      </c>
      <c r="AU37" s="10">
        <v>7</v>
      </c>
      <c r="AV37" s="8" t="s">
        <v>77</v>
      </c>
      <c r="AW37" s="9">
        <v>200000</v>
      </c>
      <c r="AX37" s="10">
        <v>7</v>
      </c>
      <c r="AY37" s="8" t="s">
        <v>77</v>
      </c>
      <c r="AZ37" s="9">
        <v>200000</v>
      </c>
      <c r="BA37" s="10">
        <v>7</v>
      </c>
      <c r="BB37" s="8" t="s">
        <v>77</v>
      </c>
      <c r="BC37" s="9">
        <v>200000</v>
      </c>
      <c r="BD37" s="10">
        <v>7</v>
      </c>
      <c r="BE37" s="8" t="s">
        <v>77</v>
      </c>
      <c r="BF37" s="9">
        <v>200000</v>
      </c>
      <c r="BG37" s="10">
        <v>7</v>
      </c>
      <c r="BH37" s="8" t="s">
        <v>77</v>
      </c>
      <c r="BI37" s="9">
        <v>200000</v>
      </c>
      <c r="BJ37" s="10">
        <v>7</v>
      </c>
      <c r="BK37" s="8" t="s">
        <v>77</v>
      </c>
      <c r="BL37" s="9">
        <v>200000</v>
      </c>
      <c r="BM37" s="10">
        <v>7</v>
      </c>
      <c r="BN37" s="8" t="s">
        <v>77</v>
      </c>
      <c r="BO37" s="9">
        <v>200000</v>
      </c>
      <c r="BP37" s="10">
        <v>7</v>
      </c>
      <c r="BQ37" s="8" t="s">
        <v>77</v>
      </c>
      <c r="BR37" s="9">
        <v>200000</v>
      </c>
      <c r="BS37" s="10">
        <v>7</v>
      </c>
      <c r="BT37" s="8" t="s">
        <v>77</v>
      </c>
      <c r="BU37" s="9">
        <v>200000</v>
      </c>
      <c r="BV37" s="10">
        <v>7</v>
      </c>
      <c r="BW37" s="8" t="s">
        <v>77</v>
      </c>
      <c r="BX37" s="9">
        <v>200000</v>
      </c>
      <c r="BY37" s="10">
        <v>7</v>
      </c>
      <c r="BZ37" s="8" t="str">
        <f t="shared" si="294"/>
        <v>W2</v>
      </c>
      <c r="CA37" s="9">
        <v>175200</v>
      </c>
      <c r="CB37" s="10">
        <f t="shared" si="295"/>
        <v>7</v>
      </c>
      <c r="CC37" s="8" t="str">
        <f t="shared" si="296"/>
        <v>W2</v>
      </c>
      <c r="CD37" s="9">
        <f t="shared" si="297"/>
        <v>175200</v>
      </c>
      <c r="CE37" s="10">
        <f t="shared" si="298"/>
        <v>7</v>
      </c>
      <c r="CF37" s="8" t="str">
        <f t="shared" si="299"/>
        <v>W2</v>
      </c>
      <c r="CG37" s="9">
        <f t="shared" si="300"/>
        <v>175200</v>
      </c>
      <c r="CH37" s="10">
        <f t="shared" si="301"/>
        <v>7</v>
      </c>
      <c r="CI37" s="8" t="str">
        <f t="shared" si="302"/>
        <v>W2</v>
      </c>
      <c r="CJ37" s="9">
        <f t="shared" si="303"/>
        <v>175200</v>
      </c>
      <c r="CK37" s="10">
        <f t="shared" si="304"/>
        <v>7</v>
      </c>
      <c r="CL37" s="8" t="str">
        <f t="shared" si="251"/>
        <v>W2</v>
      </c>
      <c r="CM37" s="9">
        <f t="shared" si="252"/>
        <v>175200</v>
      </c>
      <c r="CN37" s="10">
        <f t="shared" si="253"/>
        <v>7</v>
      </c>
      <c r="CO37" s="8" t="str">
        <f t="shared" si="254"/>
        <v>W2</v>
      </c>
      <c r="CP37" s="11">
        <f t="shared" si="254"/>
        <v>175200</v>
      </c>
      <c r="CQ37" s="10">
        <f t="shared" si="255"/>
        <v>7</v>
      </c>
      <c r="CR37" s="8" t="str">
        <f t="shared" si="256"/>
        <v>W2</v>
      </c>
      <c r="CS37" s="9">
        <f t="shared" si="257"/>
        <v>175200</v>
      </c>
      <c r="CT37" s="10">
        <f t="shared" si="258"/>
        <v>7</v>
      </c>
      <c r="CU37" s="8" t="str">
        <f t="shared" si="259"/>
        <v>W2</v>
      </c>
      <c r="CV37" s="9">
        <f t="shared" si="260"/>
        <v>175200</v>
      </c>
      <c r="CW37" s="10">
        <f t="shared" si="261"/>
        <v>7</v>
      </c>
      <c r="CX37" s="8" t="str">
        <f t="shared" si="262"/>
        <v>W2</v>
      </c>
      <c r="CY37" s="9">
        <f t="shared" si="263"/>
        <v>175200</v>
      </c>
      <c r="CZ37" s="10">
        <f t="shared" si="264"/>
        <v>7</v>
      </c>
      <c r="DA37" s="8" t="str">
        <f t="shared" si="265"/>
        <v>W2</v>
      </c>
      <c r="DB37" s="9">
        <f t="shared" si="266"/>
        <v>175200</v>
      </c>
      <c r="DC37" s="10">
        <f t="shared" si="267"/>
        <v>7</v>
      </c>
      <c r="DD37" s="8" t="str">
        <f t="shared" si="268"/>
        <v>W2</v>
      </c>
      <c r="DE37" s="9">
        <f t="shared" si="269"/>
        <v>175200</v>
      </c>
      <c r="DF37" s="10">
        <f t="shared" si="270"/>
        <v>7</v>
      </c>
      <c r="DG37" s="8" t="str">
        <f t="shared" si="271"/>
        <v>W2</v>
      </c>
      <c r="DH37" s="9">
        <f t="shared" si="272"/>
        <v>175200</v>
      </c>
      <c r="DI37" s="10">
        <f t="shared" si="273"/>
        <v>7</v>
      </c>
      <c r="DK37" s="72">
        <f t="shared" si="402"/>
        <v>1</v>
      </c>
      <c r="DL37" s="9">
        <f t="shared" si="403"/>
        <v>0</v>
      </c>
      <c r="DM37" s="9">
        <f t="shared" si="404"/>
        <v>0</v>
      </c>
      <c r="DN37" s="9">
        <f>IFERROR(ROUNDUP(+E37/$AZ37,0),0)</f>
        <v>0</v>
      </c>
      <c r="DO37" s="9">
        <f t="shared" si="405"/>
        <v>0</v>
      </c>
      <c r="DP37" s="9">
        <f t="shared" si="406"/>
        <v>0</v>
      </c>
      <c r="DQ37" s="9">
        <f t="shared" si="407"/>
        <v>0</v>
      </c>
      <c r="DR37" s="9">
        <f t="shared" si="408"/>
        <v>0</v>
      </c>
      <c r="DS37" s="9">
        <f t="shared" si="409"/>
        <v>0</v>
      </c>
      <c r="DT37" s="9">
        <f t="shared" si="410"/>
        <v>0</v>
      </c>
      <c r="DU37" s="9">
        <v>1</v>
      </c>
      <c r="DV37" s="10">
        <f t="shared" si="411"/>
        <v>0</v>
      </c>
      <c r="DW37" s="9">
        <f t="shared" si="412"/>
        <v>0</v>
      </c>
      <c r="DX37" s="9">
        <f t="shared" si="413"/>
        <v>0</v>
      </c>
      <c r="DY37" s="9">
        <f t="shared" si="414"/>
        <v>0</v>
      </c>
      <c r="DZ37" s="9">
        <f t="shared" si="415"/>
        <v>2</v>
      </c>
      <c r="EA37" s="9">
        <f t="shared" si="416"/>
        <v>0</v>
      </c>
      <c r="EB37" s="9">
        <f t="shared" si="417"/>
        <v>0</v>
      </c>
      <c r="EC37" s="9">
        <f t="shared" si="418"/>
        <v>0</v>
      </c>
      <c r="ED37" s="9">
        <f t="shared" si="419"/>
        <v>0</v>
      </c>
      <c r="EE37" s="9">
        <f t="shared" si="420"/>
        <v>0</v>
      </c>
      <c r="EF37" s="9">
        <f t="shared" si="421"/>
        <v>0</v>
      </c>
      <c r="EG37" s="9">
        <f t="shared" si="422"/>
        <v>0</v>
      </c>
      <c r="EH37" s="9">
        <f t="shared" si="423"/>
        <v>0</v>
      </c>
      <c r="EJ37" s="8">
        <f t="shared" si="305"/>
        <v>4</v>
      </c>
      <c r="EK37" s="9">
        <f t="shared" si="306"/>
        <v>0</v>
      </c>
      <c r="EL37" s="9">
        <f t="shared" si="307"/>
        <v>0</v>
      </c>
      <c r="EM37" s="9">
        <f t="shared" si="308"/>
        <v>0</v>
      </c>
      <c r="EN37" s="9">
        <f t="shared" si="309"/>
        <v>0</v>
      </c>
      <c r="EO37" s="9">
        <f t="shared" si="310"/>
        <v>0</v>
      </c>
      <c r="EP37" s="9">
        <f t="shared" si="275"/>
        <v>0</v>
      </c>
      <c r="EQ37" s="9">
        <f t="shared" si="276"/>
        <v>0</v>
      </c>
      <c r="ER37" s="9">
        <f t="shared" si="277"/>
        <v>0</v>
      </c>
      <c r="ES37" s="9">
        <f t="shared" si="278"/>
        <v>0</v>
      </c>
      <c r="ET37" s="9">
        <f t="shared" si="279"/>
        <v>7</v>
      </c>
      <c r="EU37" s="10">
        <f t="shared" si="280"/>
        <v>0</v>
      </c>
      <c r="EV37" s="9">
        <f t="shared" si="281"/>
        <v>0</v>
      </c>
      <c r="EW37" s="9">
        <f t="shared" si="282"/>
        <v>0</v>
      </c>
      <c r="EX37" s="9">
        <f t="shared" si="283"/>
        <v>0</v>
      </c>
      <c r="EY37" s="9">
        <f t="shared" si="284"/>
        <v>14</v>
      </c>
      <c r="EZ37" s="9">
        <f t="shared" si="285"/>
        <v>0</v>
      </c>
      <c r="FA37" s="9">
        <f t="shared" si="286"/>
        <v>0</v>
      </c>
      <c r="FB37" s="9">
        <f t="shared" si="287"/>
        <v>0</v>
      </c>
      <c r="FC37" s="9">
        <f t="shared" si="288"/>
        <v>0</v>
      </c>
      <c r="FD37" s="9">
        <f t="shared" si="289"/>
        <v>0</v>
      </c>
      <c r="FE37" s="9">
        <f t="shared" si="290"/>
        <v>0</v>
      </c>
      <c r="FF37" s="9">
        <f t="shared" si="291"/>
        <v>0</v>
      </c>
      <c r="FG37" s="9">
        <f t="shared" si="292"/>
        <v>0</v>
      </c>
      <c r="FO37" t="str">
        <f t="shared" si="396"/>
        <v xml:space="preserve">            (85208) FLB BBQ SAUCE W/BEEFW2</v>
      </c>
      <c r="FP37" t="str">
        <f t="shared" si="397"/>
        <v xml:space="preserve">            (85208) FLB BBQ SAUCE W/BEEFW2</v>
      </c>
      <c r="FQ37" t="str">
        <f t="shared" si="398"/>
        <v xml:space="preserve">            (85208) FLB BBQ SAUCE W/BEEFW2</v>
      </c>
      <c r="FR37">
        <v>0</v>
      </c>
    </row>
    <row r="38" spans="1:174" outlineLevel="2" x14ac:dyDescent="0.25">
      <c r="A38" s="43" t="s">
        <v>846</v>
      </c>
      <c r="B38" s="9">
        <f>SUMIF(Prophix!$Q:$Q,'Fds Units'!$A38,Prophix!D:D)</f>
        <v>0</v>
      </c>
      <c r="C38" s="9">
        <f>SUMIF(Prophix!$Q:$Q,'Fds Units'!$A38,Prophix!E:E)</f>
        <v>0</v>
      </c>
      <c r="D38" s="9">
        <f>SUMIF(Prophix!$Q:$Q,'Fds Units'!$A38,Prophix!F:F)</f>
        <v>0</v>
      </c>
      <c r="E38" s="9">
        <f>SUMIF(Prophix!$Q:$Q,'Fds Units'!$A38,Prophix!G:G)</f>
        <v>0</v>
      </c>
      <c r="F38" s="9">
        <f>SUMIF(Prophix!$Q:$Q,'Fds Units'!$A38,Prophix!H:H)</f>
        <v>0</v>
      </c>
      <c r="G38" s="9">
        <f>SUMIF(Prophix!$Q:$Q,'Fds Units'!$A38,Prophix!I:I)</f>
        <v>361056</v>
      </c>
      <c r="H38" s="9">
        <f>SUMIF(Prophix!$Q:$Q,'Fds Units'!$A38,Prophix!J:J)</f>
        <v>0</v>
      </c>
      <c r="I38" s="9">
        <f>SUMIF(Prophix!$Q:$Q,'Fds Units'!$A38,Prophix!K:K)</f>
        <v>0</v>
      </c>
      <c r="J38" s="9">
        <f>SUMIF(Prophix!$Q:$Q,'Fds Units'!$A38,Prophix!L:L)</f>
        <v>0</v>
      </c>
      <c r="K38" s="9">
        <f>SUMIF(Prophix!$Q:$Q,'Fds Units'!$A38,Prophix!M:M)</f>
        <v>0</v>
      </c>
      <c r="L38" s="92">
        <v>176640</v>
      </c>
      <c r="M38" s="133"/>
      <c r="N38" s="92">
        <v>174960</v>
      </c>
      <c r="O38" s="92">
        <f t="shared" si="399"/>
        <v>1680</v>
      </c>
      <c r="P38" s="142"/>
      <c r="Q38" s="133">
        <v>0</v>
      </c>
      <c r="R38" s="92"/>
      <c r="S38" s="92"/>
      <c r="T38" s="186">
        <f t="shared" si="400"/>
        <v>0</v>
      </c>
      <c r="U38" s="9"/>
      <c r="V38" s="9"/>
      <c r="W38" s="9"/>
      <c r="X38" s="9"/>
      <c r="Y38" s="8"/>
      <c r="Z38" s="9"/>
      <c r="AA38" s="9"/>
      <c r="AB38" s="242">
        <f t="shared" si="401"/>
        <v>0</v>
      </c>
      <c r="AC38" s="241">
        <v>175200</v>
      </c>
      <c r="AD38" s="165">
        <v>175200</v>
      </c>
      <c r="AE38" s="242">
        <v>175200</v>
      </c>
      <c r="AF38" s="9">
        <v>0</v>
      </c>
      <c r="AG38" s="9">
        <v>0</v>
      </c>
      <c r="AH38" s="66"/>
      <c r="AI38" s="66"/>
      <c r="AJ38" s="66"/>
      <c r="AK38" s="66"/>
      <c r="AL38" s="66"/>
      <c r="AM38" s="66"/>
      <c r="AN38" s="66"/>
      <c r="AO38" s="59"/>
      <c r="AP38" s="8" t="s">
        <v>78</v>
      </c>
      <c r="AQ38" s="9">
        <v>90000</v>
      </c>
      <c r="AR38" s="10">
        <v>4</v>
      </c>
      <c r="AS38" s="8" t="s">
        <v>77</v>
      </c>
      <c r="AT38" s="9">
        <v>200000</v>
      </c>
      <c r="AU38" s="10">
        <v>7</v>
      </c>
      <c r="AV38" s="8" t="s">
        <v>77</v>
      </c>
      <c r="AW38" s="9">
        <v>200000</v>
      </c>
      <c r="AX38" s="10">
        <v>7</v>
      </c>
      <c r="AY38" s="8" t="s">
        <v>77</v>
      </c>
      <c r="AZ38" s="9">
        <v>200000</v>
      </c>
      <c r="BA38" s="10">
        <v>7</v>
      </c>
      <c r="BB38" s="8" t="s">
        <v>77</v>
      </c>
      <c r="BC38" s="9">
        <v>200000</v>
      </c>
      <c r="BD38" s="10">
        <v>7</v>
      </c>
      <c r="BE38" s="8" t="s">
        <v>77</v>
      </c>
      <c r="BF38" s="9">
        <f>+G38/2</f>
        <v>180528</v>
      </c>
      <c r="BG38" s="10">
        <v>7</v>
      </c>
      <c r="BH38" s="8" t="s">
        <v>77</v>
      </c>
      <c r="BI38" s="9">
        <v>200000</v>
      </c>
      <c r="BJ38" s="10">
        <v>7</v>
      </c>
      <c r="BK38" s="8" t="s">
        <v>77</v>
      </c>
      <c r="BL38" s="9">
        <v>200000</v>
      </c>
      <c r="BM38" s="10">
        <v>7</v>
      </c>
      <c r="BN38" s="8" t="s">
        <v>77</v>
      </c>
      <c r="BO38" s="9">
        <v>200000</v>
      </c>
      <c r="BP38" s="10">
        <v>7</v>
      </c>
      <c r="BQ38" s="8" t="s">
        <v>77</v>
      </c>
      <c r="BR38" s="9">
        <v>200000</v>
      </c>
      <c r="BS38" s="10">
        <v>7</v>
      </c>
      <c r="BT38" s="8" t="s">
        <v>77</v>
      </c>
      <c r="BU38" s="9">
        <v>200000</v>
      </c>
      <c r="BV38" s="10">
        <v>7</v>
      </c>
      <c r="BW38" s="8" t="s">
        <v>77</v>
      </c>
      <c r="BX38" s="9">
        <v>200000</v>
      </c>
      <c r="BY38" s="10">
        <v>7</v>
      </c>
      <c r="BZ38" s="8" t="str">
        <f t="shared" si="294"/>
        <v>W2</v>
      </c>
      <c r="CA38" s="9">
        <v>175200</v>
      </c>
      <c r="CB38" s="10">
        <f t="shared" si="295"/>
        <v>7</v>
      </c>
      <c r="CC38" s="8" t="str">
        <f t="shared" si="296"/>
        <v>W2</v>
      </c>
      <c r="CD38" s="9">
        <f t="shared" si="297"/>
        <v>175200</v>
      </c>
      <c r="CE38" s="10">
        <f t="shared" si="298"/>
        <v>7</v>
      </c>
      <c r="CF38" s="8" t="str">
        <f t="shared" si="299"/>
        <v>W2</v>
      </c>
      <c r="CG38" s="9">
        <f t="shared" si="300"/>
        <v>175200</v>
      </c>
      <c r="CH38" s="10">
        <f t="shared" si="301"/>
        <v>7</v>
      </c>
      <c r="CI38" s="8" t="str">
        <f t="shared" si="302"/>
        <v>W2</v>
      </c>
      <c r="CJ38" s="9">
        <f t="shared" si="303"/>
        <v>175200</v>
      </c>
      <c r="CK38" s="10">
        <f t="shared" si="304"/>
        <v>7</v>
      </c>
      <c r="CL38" s="8" t="str">
        <f t="shared" si="251"/>
        <v>W2</v>
      </c>
      <c r="CM38" s="9">
        <f t="shared" si="252"/>
        <v>175200</v>
      </c>
      <c r="CN38" s="10">
        <f t="shared" si="253"/>
        <v>7</v>
      </c>
      <c r="CO38" s="8" t="str">
        <f t="shared" si="254"/>
        <v>W2</v>
      </c>
      <c r="CP38" s="11">
        <f t="shared" si="254"/>
        <v>175200</v>
      </c>
      <c r="CQ38" s="10">
        <f t="shared" si="255"/>
        <v>7</v>
      </c>
      <c r="CR38" s="8" t="str">
        <f t="shared" si="256"/>
        <v>W2</v>
      </c>
      <c r="CS38" s="9">
        <f t="shared" si="257"/>
        <v>175200</v>
      </c>
      <c r="CT38" s="10">
        <f t="shared" si="258"/>
        <v>7</v>
      </c>
      <c r="CU38" s="8" t="str">
        <f t="shared" si="259"/>
        <v>W2</v>
      </c>
      <c r="CV38" s="9">
        <f t="shared" si="260"/>
        <v>175200</v>
      </c>
      <c r="CW38" s="10">
        <f t="shared" si="261"/>
        <v>7</v>
      </c>
      <c r="CX38" s="8" t="str">
        <f t="shared" si="262"/>
        <v>W2</v>
      </c>
      <c r="CY38" s="9">
        <f t="shared" si="263"/>
        <v>175200</v>
      </c>
      <c r="CZ38" s="10">
        <f t="shared" si="264"/>
        <v>7</v>
      </c>
      <c r="DA38" s="8" t="str">
        <f t="shared" si="265"/>
        <v>W2</v>
      </c>
      <c r="DB38" s="9">
        <f t="shared" si="266"/>
        <v>175200</v>
      </c>
      <c r="DC38" s="10">
        <f t="shared" si="267"/>
        <v>7</v>
      </c>
      <c r="DD38" s="8" t="str">
        <f t="shared" si="268"/>
        <v>W2</v>
      </c>
      <c r="DE38" s="9">
        <f t="shared" si="269"/>
        <v>175200</v>
      </c>
      <c r="DF38" s="10">
        <f t="shared" si="270"/>
        <v>7</v>
      </c>
      <c r="DG38" s="8" t="str">
        <f t="shared" si="271"/>
        <v>W2</v>
      </c>
      <c r="DH38" s="9">
        <f t="shared" si="272"/>
        <v>175200</v>
      </c>
      <c r="DI38" s="10">
        <f t="shared" si="273"/>
        <v>7</v>
      </c>
      <c r="DK38" s="72">
        <f t="shared" si="402"/>
        <v>0</v>
      </c>
      <c r="DL38" s="9">
        <f t="shared" si="403"/>
        <v>0</v>
      </c>
      <c r="DM38" s="9">
        <f t="shared" si="404"/>
        <v>0</v>
      </c>
      <c r="DN38" s="9">
        <f>IFERROR(ROUNDUP(+E38/$AZ38,0),0)</f>
        <v>0</v>
      </c>
      <c r="DO38" s="9">
        <f t="shared" si="405"/>
        <v>0</v>
      </c>
      <c r="DP38" s="9">
        <f t="shared" si="406"/>
        <v>2</v>
      </c>
      <c r="DQ38" s="9">
        <f t="shared" si="407"/>
        <v>0</v>
      </c>
      <c r="DR38" s="9">
        <f t="shared" si="408"/>
        <v>0</v>
      </c>
      <c r="DS38" s="9">
        <f t="shared" si="409"/>
        <v>0</v>
      </c>
      <c r="DT38" s="9">
        <f t="shared" si="410"/>
        <v>0</v>
      </c>
      <c r="DU38" s="9">
        <v>1</v>
      </c>
      <c r="DV38" s="10">
        <f t="shared" si="411"/>
        <v>0</v>
      </c>
      <c r="DW38" s="9">
        <f t="shared" si="412"/>
        <v>0</v>
      </c>
      <c r="DX38" s="9">
        <f t="shared" si="413"/>
        <v>0</v>
      </c>
      <c r="DY38" s="9">
        <f t="shared" si="414"/>
        <v>1</v>
      </c>
      <c r="DZ38" s="9">
        <f t="shared" si="415"/>
        <v>0</v>
      </c>
      <c r="EA38" s="9">
        <f t="shared" si="416"/>
        <v>0</v>
      </c>
      <c r="EB38" s="9">
        <f t="shared" si="417"/>
        <v>0</v>
      </c>
      <c r="EC38" s="9">
        <f t="shared" si="418"/>
        <v>0</v>
      </c>
      <c r="ED38" s="9">
        <f t="shared" si="419"/>
        <v>0</v>
      </c>
      <c r="EE38" s="9">
        <f t="shared" si="420"/>
        <v>0</v>
      </c>
      <c r="EF38" s="9">
        <f t="shared" si="421"/>
        <v>0</v>
      </c>
      <c r="EG38" s="9">
        <f t="shared" si="422"/>
        <v>0</v>
      </c>
      <c r="EH38" s="9">
        <f t="shared" si="423"/>
        <v>0</v>
      </c>
      <c r="EJ38" s="8">
        <f t="shared" si="305"/>
        <v>0</v>
      </c>
      <c r="EK38" s="9">
        <f t="shared" si="306"/>
        <v>0</v>
      </c>
      <c r="EL38" s="9">
        <f t="shared" si="307"/>
        <v>0</v>
      </c>
      <c r="EM38" s="9">
        <f t="shared" si="308"/>
        <v>0</v>
      </c>
      <c r="EN38" s="9">
        <f t="shared" si="309"/>
        <v>0</v>
      </c>
      <c r="EO38" s="9">
        <f t="shared" si="310"/>
        <v>14</v>
      </c>
      <c r="EP38" s="9">
        <f t="shared" si="275"/>
        <v>0</v>
      </c>
      <c r="EQ38" s="9">
        <f t="shared" si="276"/>
        <v>0</v>
      </c>
      <c r="ER38" s="9">
        <f t="shared" si="277"/>
        <v>0</v>
      </c>
      <c r="ES38" s="9">
        <f t="shared" si="278"/>
        <v>0</v>
      </c>
      <c r="ET38" s="9">
        <f t="shared" si="279"/>
        <v>7</v>
      </c>
      <c r="EU38" s="10">
        <f t="shared" si="280"/>
        <v>0</v>
      </c>
      <c r="EV38" s="9">
        <f t="shared" si="281"/>
        <v>0</v>
      </c>
      <c r="EW38" s="9">
        <f t="shared" si="282"/>
        <v>0</v>
      </c>
      <c r="EX38" s="9">
        <f t="shared" si="283"/>
        <v>7</v>
      </c>
      <c r="EY38" s="9">
        <f t="shared" si="284"/>
        <v>0</v>
      </c>
      <c r="EZ38" s="9">
        <f t="shared" si="285"/>
        <v>0</v>
      </c>
      <c r="FA38" s="9">
        <f t="shared" si="286"/>
        <v>0</v>
      </c>
      <c r="FB38" s="9">
        <f t="shared" si="287"/>
        <v>0</v>
      </c>
      <c r="FC38" s="9">
        <f t="shared" si="288"/>
        <v>0</v>
      </c>
      <c r="FD38" s="9">
        <f t="shared" si="289"/>
        <v>0</v>
      </c>
      <c r="FE38" s="9">
        <f t="shared" si="290"/>
        <v>0</v>
      </c>
      <c r="FF38" s="9">
        <f t="shared" si="291"/>
        <v>0</v>
      </c>
      <c r="FG38" s="9">
        <f t="shared" si="292"/>
        <v>0</v>
      </c>
      <c r="FO38" t="str">
        <f t="shared" si="396"/>
        <v xml:space="preserve">            (85218) FLB POLLO ASADOW2</v>
      </c>
      <c r="FP38" t="str">
        <f t="shared" si="397"/>
        <v xml:space="preserve">            (85218) FLB POLLO ASADOW2</v>
      </c>
      <c r="FQ38" t="str">
        <f t="shared" si="398"/>
        <v xml:space="preserve">            (85218) FLB POLLO ASADOW2</v>
      </c>
      <c r="FR38" t="s">
        <v>927</v>
      </c>
    </row>
    <row r="39" spans="1:174" s="48" customFormat="1" outlineLevel="1" x14ac:dyDescent="0.25">
      <c r="A39" s="217" t="s">
        <v>26</v>
      </c>
      <c r="B39" s="223">
        <f t="shared" ref="B39:E39" si="426">SUM(B40:B44)</f>
        <v>312864</v>
      </c>
      <c r="C39" s="175">
        <f t="shared" si="426"/>
        <v>154344</v>
      </c>
      <c r="D39" s="175">
        <f t="shared" si="426"/>
        <v>664968</v>
      </c>
      <c r="E39" s="175">
        <f t="shared" si="426"/>
        <v>833232</v>
      </c>
      <c r="F39" s="175">
        <f t="shared" ref="F39:G39" si="427">SUM(F40:F44)</f>
        <v>1037520</v>
      </c>
      <c r="G39" s="175">
        <f t="shared" si="427"/>
        <v>813912</v>
      </c>
      <c r="H39" s="175">
        <f t="shared" ref="H39:I39" si="428">SUM(H40:H44)</f>
        <v>286344</v>
      </c>
      <c r="I39" s="175">
        <f t="shared" si="428"/>
        <v>0</v>
      </c>
      <c r="J39" s="175">
        <f t="shared" ref="J39:L39" si="429">SUM(J40:J44)</f>
        <v>907488</v>
      </c>
      <c r="K39" s="175">
        <f t="shared" ref="K39" si="430">SUM(K40:K44)</f>
        <v>944352</v>
      </c>
      <c r="L39" s="175">
        <f t="shared" si="429"/>
        <v>0</v>
      </c>
      <c r="M39" s="218">
        <f t="shared" ref="M39:V39" si="431">SUM(M40:M44)</f>
        <v>360000</v>
      </c>
      <c r="N39" s="175">
        <f t="shared" ref="N39" si="432">SUM(N40:N44)</f>
        <v>0</v>
      </c>
      <c r="O39" s="175">
        <f t="shared" ref="O39" si="433">SUM(O40:O44)</f>
        <v>0</v>
      </c>
      <c r="P39" s="218">
        <f t="shared" ref="P39:Q39" si="434">SUM(P40:P44)</f>
        <v>360000</v>
      </c>
      <c r="Q39" s="218">
        <f t="shared" si="434"/>
        <v>360000</v>
      </c>
      <c r="R39" s="175">
        <f t="shared" ref="R39:S39" si="435">SUM(R40:R44)</f>
        <v>896736</v>
      </c>
      <c r="S39" s="175">
        <f t="shared" si="435"/>
        <v>946584</v>
      </c>
      <c r="T39" s="219">
        <f t="shared" si="431"/>
        <v>49848</v>
      </c>
      <c r="U39" s="175">
        <f t="shared" si="431"/>
        <v>420000</v>
      </c>
      <c r="V39" s="220">
        <f t="shared" si="431"/>
        <v>570000</v>
      </c>
      <c r="W39" s="220">
        <v>720000</v>
      </c>
      <c r="X39" s="220">
        <f t="shared" ref="X39:AG39" si="436">SUM(X40:X44)</f>
        <v>154472</v>
      </c>
      <c r="Y39" s="243">
        <f t="shared" ref="Y39" si="437">SUM(Y40:Y44)</f>
        <v>1497600</v>
      </c>
      <c r="Z39" s="220">
        <f>SUM(Z40:Z44)</f>
        <v>1576800</v>
      </c>
      <c r="AA39" s="220">
        <f t="shared" ref="AA39" si="438">SUM(AA40:AA44)</f>
        <v>1129008</v>
      </c>
      <c r="AB39" s="244">
        <f>SUM(AB40:AB44)</f>
        <v>-447792</v>
      </c>
      <c r="AC39" s="243">
        <f t="shared" si="436"/>
        <v>720000</v>
      </c>
      <c r="AD39" s="220">
        <f t="shared" si="436"/>
        <v>895200</v>
      </c>
      <c r="AE39" s="244">
        <f t="shared" si="436"/>
        <v>895200</v>
      </c>
      <c r="AF39" s="220">
        <f t="shared" si="436"/>
        <v>447300</v>
      </c>
      <c r="AG39" s="220">
        <f t="shared" si="436"/>
        <v>875000</v>
      </c>
      <c r="AH39" s="220">
        <f t="shared" ref="AH39:AN39" si="439">435312*$AO$26</f>
        <v>326484</v>
      </c>
      <c r="AI39" s="220">
        <f t="shared" si="439"/>
        <v>326484</v>
      </c>
      <c r="AJ39" s="220">
        <f t="shared" si="439"/>
        <v>326484</v>
      </c>
      <c r="AK39" s="220">
        <f t="shared" si="439"/>
        <v>326484</v>
      </c>
      <c r="AL39" s="220">
        <f t="shared" si="439"/>
        <v>326484</v>
      </c>
      <c r="AM39" s="220">
        <f t="shared" si="439"/>
        <v>326484</v>
      </c>
      <c r="AN39" s="220">
        <f t="shared" si="439"/>
        <v>326484</v>
      </c>
      <c r="AO39" s="179"/>
      <c r="AP39" s="221"/>
      <c r="AQ39" s="175"/>
      <c r="AR39" s="222"/>
      <c r="AS39" s="221"/>
      <c r="AT39" s="175"/>
      <c r="AU39" s="222"/>
      <c r="AV39" s="221"/>
      <c r="AW39" s="175"/>
      <c r="AX39" s="222"/>
      <c r="AY39" s="221"/>
      <c r="AZ39" s="175"/>
      <c r="BA39" s="222"/>
      <c r="BB39" s="221"/>
      <c r="BC39" s="175"/>
      <c r="BD39" s="222"/>
      <c r="BE39" s="221"/>
      <c r="BF39" s="175"/>
      <c r="BG39" s="222"/>
      <c r="BH39" s="221"/>
      <c r="BI39" s="175"/>
      <c r="BJ39" s="222"/>
      <c r="BK39" s="221"/>
      <c r="BL39" s="175"/>
      <c r="BM39" s="222"/>
      <c r="BN39" s="221"/>
      <c r="BO39" s="175"/>
      <c r="BP39" s="222"/>
      <c r="BQ39" s="221"/>
      <c r="BR39" s="175"/>
      <c r="BS39" s="222"/>
      <c r="BT39" s="221"/>
      <c r="BU39" s="175"/>
      <c r="BV39" s="222"/>
      <c r="BW39" s="221"/>
      <c r="BX39" s="175"/>
      <c r="BY39" s="222"/>
      <c r="BZ39" s="221"/>
      <c r="CA39" s="175"/>
      <c r="CB39" s="222"/>
      <c r="CC39" s="221"/>
      <c r="CD39" s="175"/>
      <c r="CE39" s="222"/>
      <c r="CF39" s="221"/>
      <c r="CG39" s="175"/>
      <c r="CH39" s="222"/>
      <c r="CI39" s="221" t="str">
        <f>+CI40</f>
        <v>W3</v>
      </c>
      <c r="CJ39" s="175">
        <f t="shared" ref="CJ39" si="440">+CJ40</f>
        <v>175200</v>
      </c>
      <c r="CK39" s="222">
        <f t="shared" ref="CK39" si="441">+CK40</f>
        <v>7</v>
      </c>
      <c r="CL39" s="221" t="str">
        <f t="shared" si="251"/>
        <v>W3</v>
      </c>
      <c r="CM39" s="175">
        <f t="shared" si="252"/>
        <v>175200</v>
      </c>
      <c r="CN39" s="222">
        <f t="shared" si="253"/>
        <v>7</v>
      </c>
      <c r="CO39" s="221" t="str">
        <f t="shared" si="254"/>
        <v>W3</v>
      </c>
      <c r="CP39" s="175">
        <f t="shared" ref="CP39:CP74" si="442">+CM39</f>
        <v>175200</v>
      </c>
      <c r="CQ39" s="222">
        <f t="shared" si="255"/>
        <v>7</v>
      </c>
      <c r="CR39" s="221" t="str">
        <f t="shared" si="256"/>
        <v>W3</v>
      </c>
      <c r="CS39" s="175">
        <f t="shared" si="257"/>
        <v>175200</v>
      </c>
      <c r="CT39" s="222">
        <f t="shared" si="258"/>
        <v>7</v>
      </c>
      <c r="CU39" s="221" t="str">
        <f t="shared" si="259"/>
        <v>W3</v>
      </c>
      <c r="CV39" s="175">
        <f t="shared" si="260"/>
        <v>175200</v>
      </c>
      <c r="CW39" s="222">
        <f t="shared" si="261"/>
        <v>7</v>
      </c>
      <c r="CX39" s="221" t="str">
        <f t="shared" si="262"/>
        <v>W3</v>
      </c>
      <c r="CY39" s="175">
        <f t="shared" si="263"/>
        <v>175200</v>
      </c>
      <c r="CZ39" s="222">
        <f t="shared" si="264"/>
        <v>7</v>
      </c>
      <c r="DA39" s="221" t="str">
        <f t="shared" si="265"/>
        <v>W3</v>
      </c>
      <c r="DB39" s="175">
        <f t="shared" si="266"/>
        <v>175200</v>
      </c>
      <c r="DC39" s="222">
        <f t="shared" si="267"/>
        <v>7</v>
      </c>
      <c r="DD39" s="221" t="str">
        <f t="shared" si="268"/>
        <v>W3</v>
      </c>
      <c r="DE39" s="175">
        <f t="shared" si="269"/>
        <v>175200</v>
      </c>
      <c r="DF39" s="222">
        <f t="shared" si="270"/>
        <v>7</v>
      </c>
      <c r="DG39" s="221" t="str">
        <f t="shared" si="271"/>
        <v>W3</v>
      </c>
      <c r="DH39" s="175">
        <f t="shared" si="272"/>
        <v>175200</v>
      </c>
      <c r="DI39" s="222">
        <f t="shared" si="273"/>
        <v>7</v>
      </c>
      <c r="DK39" s="221"/>
      <c r="DL39" s="175"/>
      <c r="DM39" s="175"/>
      <c r="DN39" s="175"/>
      <c r="DO39" s="175"/>
      <c r="DP39" s="175"/>
      <c r="DQ39" s="175"/>
      <c r="DR39" s="175"/>
      <c r="DS39" s="175"/>
      <c r="DT39" s="175"/>
      <c r="DU39" s="175"/>
      <c r="DV39" s="222"/>
      <c r="DW39" s="175">
        <f>IFERROR(ROUNDUP(+Y39/CA39,0),0)</f>
        <v>0</v>
      </c>
      <c r="DX39" s="175">
        <f>IFERROR(ROUNDUP(+AE39/CD39,0),0)</f>
        <v>0</v>
      </c>
      <c r="DY39" s="175">
        <f>IFERROR(ROUNDUP(+AF39/CG39,0),0)</f>
        <v>0</v>
      </c>
      <c r="DZ39" s="175">
        <f>IFERROR(ROUNDUP(+AG39/CJ39,0),0)</f>
        <v>5</v>
      </c>
      <c r="EA39" s="175">
        <f>IFERROR(ROUNDUP(+AH39/CM39,0),0)</f>
        <v>2</v>
      </c>
      <c r="EB39" s="175">
        <f>IFERROR(ROUNDUP(+AI39/CP39,0),0)</f>
        <v>2</v>
      </c>
      <c r="EC39" s="175">
        <f>IFERROR(ROUNDUP(+AJ39/CS39,0),0)</f>
        <v>2</v>
      </c>
      <c r="ED39" s="175">
        <f>IFERROR(ROUNDUP(+AK39/CV39,0),0)</f>
        <v>2</v>
      </c>
      <c r="EE39" s="175">
        <f>IFERROR(ROUNDUP(+AL39/CY39,0),0)</f>
        <v>2</v>
      </c>
      <c r="EF39" s="175">
        <f>IFERROR(ROUNDUP(+AM39/DB39,0),0)</f>
        <v>2</v>
      </c>
      <c r="EG39" s="175">
        <f>IFERROR(ROUNDUP(+AN39/DE39,0),0)</f>
        <v>2</v>
      </c>
      <c r="EH39" s="175">
        <f>IFERROR(ROUNDUP(+#REF!/DH39,0),0)</f>
        <v>0</v>
      </c>
      <c r="EJ39" s="221">
        <f t="shared" si="305"/>
        <v>0</v>
      </c>
      <c r="EK39" s="175">
        <f t="shared" si="306"/>
        <v>0</v>
      </c>
      <c r="EL39" s="175">
        <f t="shared" si="307"/>
        <v>0</v>
      </c>
      <c r="EM39" s="175">
        <f t="shared" si="308"/>
        <v>0</v>
      </c>
      <c r="EN39" s="175">
        <f t="shared" si="309"/>
        <v>0</v>
      </c>
      <c r="EO39" s="175">
        <f t="shared" si="310"/>
        <v>0</v>
      </c>
      <c r="EP39" s="175">
        <f t="shared" si="275"/>
        <v>0</v>
      </c>
      <c r="EQ39" s="175">
        <f t="shared" si="276"/>
        <v>0</v>
      </c>
      <c r="ER39" s="175">
        <f t="shared" si="277"/>
        <v>0</v>
      </c>
      <c r="ES39" s="175">
        <f t="shared" si="278"/>
        <v>0</v>
      </c>
      <c r="ET39" s="175">
        <f t="shared" si="279"/>
        <v>0</v>
      </c>
      <c r="EU39" s="222">
        <f t="shared" si="280"/>
        <v>0</v>
      </c>
      <c r="EV39" s="175">
        <f t="shared" si="281"/>
        <v>0</v>
      </c>
      <c r="EW39" s="175">
        <f t="shared" si="282"/>
        <v>0</v>
      </c>
      <c r="EX39" s="175">
        <f t="shared" si="283"/>
        <v>0</v>
      </c>
      <c r="EY39" s="175">
        <f t="shared" si="284"/>
        <v>35</v>
      </c>
      <c r="EZ39" s="175">
        <f t="shared" si="285"/>
        <v>14</v>
      </c>
      <c r="FA39" s="175">
        <f t="shared" si="286"/>
        <v>14</v>
      </c>
      <c r="FB39" s="175">
        <f t="shared" si="287"/>
        <v>14</v>
      </c>
      <c r="FC39" s="175">
        <f t="shared" si="288"/>
        <v>14</v>
      </c>
      <c r="FD39" s="175">
        <f t="shared" si="289"/>
        <v>14</v>
      </c>
      <c r="FE39" s="175">
        <f>+DC39*EF39</f>
        <v>14</v>
      </c>
      <c r="FF39" s="175">
        <f t="shared" si="291"/>
        <v>14</v>
      </c>
      <c r="FG39" s="175">
        <f t="shared" si="292"/>
        <v>0</v>
      </c>
      <c r="FO39" s="48" t="str">
        <f t="shared" si="396"/>
        <v>8 OZ</v>
      </c>
      <c r="FP39" s="48" t="str">
        <f t="shared" si="397"/>
        <v>8 OZ</v>
      </c>
      <c r="FQ39" s="48" t="str">
        <f t="shared" si="398"/>
        <v>8 OZ</v>
      </c>
      <c r="FR39" s="48">
        <v>0</v>
      </c>
    </row>
    <row r="40" spans="1:174" outlineLevel="2" x14ac:dyDescent="0.25">
      <c r="A40" s="43" t="s">
        <v>27</v>
      </c>
      <c r="B40" s="9">
        <f>SUMIF(Prophix!$Q:$Q,'Fds Units'!$A40,Prophix!D:D)</f>
        <v>0</v>
      </c>
      <c r="C40" s="9">
        <f>SUMIF(Prophix!$Q:$Q,'Fds Units'!$A40,Prophix!E:E)</f>
        <v>0</v>
      </c>
      <c r="D40" s="9">
        <f>SUMIF(Prophix!$Q:$Q,'Fds Units'!$A40,Prophix!F:F)</f>
        <v>0</v>
      </c>
      <c r="E40" s="9">
        <f>SUMIF(Prophix!$Q:$Q,'Fds Units'!$A40,Prophix!G:G)</f>
        <v>0</v>
      </c>
      <c r="F40" s="9">
        <f>SUMIF(Prophix!$Q:$Q,'Fds Units'!$A40,Prophix!H:H)</f>
        <v>89112</v>
      </c>
      <c r="G40" s="9">
        <f>SUMIF(Prophix!$Q:$Q,'Fds Units'!$A40,Prophix!I:I)</f>
        <v>93192</v>
      </c>
      <c r="H40" s="9">
        <f>SUMIF(Prophix!$Q:$Q,'Fds Units'!$A40,Prophix!J:J)</f>
        <v>99288</v>
      </c>
      <c r="I40" s="9">
        <f>SUMIF(Prophix!$Q:$Q,'Fds Units'!$A40,Prophix!K:K)</f>
        <v>0</v>
      </c>
      <c r="J40" s="9">
        <f>SUMIF(Prophix!$Q:$Q,'Fds Units'!$A40,Prophix!L:L)</f>
        <v>176832</v>
      </c>
      <c r="K40" s="9">
        <f>SUMIF(Prophix!$Q:$Q,'Fds Units'!$A40,Prophix!M:M)</f>
        <v>0</v>
      </c>
      <c r="L40" s="92">
        <f>_xlfn.XLOOKUP(FO40,Schedule!Z:Z,Schedule!Y:Y,0)</f>
        <v>0</v>
      </c>
      <c r="M40" s="133">
        <v>360000</v>
      </c>
      <c r="N40" s="92">
        <f>SUMIF(Schedule!$R:$R,$FP40,Schedule!P:P)</f>
        <v>0</v>
      </c>
      <c r="O40" s="92">
        <f t="shared" ref="O40:O44" si="443">L40-N40</f>
        <v>0</v>
      </c>
      <c r="P40" s="142">
        <v>180000</v>
      </c>
      <c r="Q40" s="133">
        <f t="shared" ref="Q40:Q44" si="444">+P40-O40</f>
        <v>180000</v>
      </c>
      <c r="R40" s="92">
        <v>279984</v>
      </c>
      <c r="S40" s="92">
        <v>239376</v>
      </c>
      <c r="T40" s="186">
        <f t="shared" ref="T40:T44" si="445">S40-R40</f>
        <v>-40608</v>
      </c>
      <c r="U40" s="9"/>
      <c r="V40" s="9"/>
      <c r="W40" s="9"/>
      <c r="X40" s="9"/>
      <c r="Y40" s="8"/>
      <c r="Z40" s="9"/>
      <c r="AA40" s="9"/>
      <c r="AB40" s="242">
        <f t="shared" ref="AB40:AB75" si="446">AA40-Z40</f>
        <v>0</v>
      </c>
      <c r="AC40" s="241">
        <v>0</v>
      </c>
      <c r="AD40" s="165">
        <v>175200</v>
      </c>
      <c r="AE40" s="242">
        <v>175200</v>
      </c>
      <c r="AF40" s="9">
        <v>149100</v>
      </c>
      <c r="AG40" s="9">
        <v>0</v>
      </c>
      <c r="AH40" s="66"/>
      <c r="AI40" s="66"/>
      <c r="AJ40" s="66"/>
      <c r="AK40" s="66"/>
      <c r="AL40" s="66"/>
      <c r="AM40" s="66"/>
      <c r="AN40" s="66"/>
      <c r="AO40" s="59"/>
      <c r="AP40" s="8" t="s">
        <v>78</v>
      </c>
      <c r="AQ40" s="9">
        <v>100000</v>
      </c>
      <c r="AR40" s="10">
        <v>4</v>
      </c>
      <c r="AS40" s="8" t="s">
        <v>78</v>
      </c>
      <c r="AT40" s="9">
        <v>100000</v>
      </c>
      <c r="AU40" s="10">
        <v>4</v>
      </c>
      <c r="AV40" s="8" t="s">
        <v>78</v>
      </c>
      <c r="AW40" s="9">
        <v>100000</v>
      </c>
      <c r="AX40" s="10">
        <v>4</v>
      </c>
      <c r="AY40" s="8" t="s">
        <v>78</v>
      </c>
      <c r="AZ40" s="9">
        <v>100000</v>
      </c>
      <c r="BA40" s="10">
        <v>4</v>
      </c>
      <c r="BB40" s="8" t="s">
        <v>78</v>
      </c>
      <c r="BC40" s="9">
        <v>100008</v>
      </c>
      <c r="BD40" s="10">
        <v>4</v>
      </c>
      <c r="BE40" s="8" t="s">
        <v>78</v>
      </c>
      <c r="BF40" s="9">
        <f>+G40/1</f>
        <v>93192</v>
      </c>
      <c r="BG40" s="10">
        <v>4</v>
      </c>
      <c r="BH40" s="8" t="s">
        <v>78</v>
      </c>
      <c r="BI40" s="9">
        <f>+H40/1</f>
        <v>99288</v>
      </c>
      <c r="BJ40" s="10">
        <v>4</v>
      </c>
      <c r="BK40" s="8" t="s">
        <v>77</v>
      </c>
      <c r="BL40" s="9">
        <v>200000</v>
      </c>
      <c r="BM40" s="10">
        <v>7</v>
      </c>
      <c r="BN40" s="8" t="s">
        <v>77</v>
      </c>
      <c r="BO40" s="9">
        <v>200000</v>
      </c>
      <c r="BP40" s="10">
        <v>7</v>
      </c>
      <c r="BQ40" s="8" t="s">
        <v>77</v>
      </c>
      <c r="BR40" s="9">
        <v>200000</v>
      </c>
      <c r="BS40" s="10">
        <v>7</v>
      </c>
      <c r="BT40" s="8" t="s">
        <v>77</v>
      </c>
      <c r="BU40" s="9">
        <v>200000</v>
      </c>
      <c r="BV40" s="10">
        <v>7</v>
      </c>
      <c r="BW40" s="8" t="s">
        <v>74</v>
      </c>
      <c r="BX40" s="9">
        <v>175000</v>
      </c>
      <c r="BY40" s="10">
        <v>7</v>
      </c>
      <c r="BZ40" s="8" t="s">
        <v>74</v>
      </c>
      <c r="CA40" s="9">
        <v>175200</v>
      </c>
      <c r="CB40" s="10">
        <f t="shared" si="295"/>
        <v>7</v>
      </c>
      <c r="CC40" s="8" t="str">
        <f t="shared" si="296"/>
        <v>W3</v>
      </c>
      <c r="CD40" s="9">
        <f t="shared" si="297"/>
        <v>175200</v>
      </c>
      <c r="CE40" s="10">
        <f t="shared" si="298"/>
        <v>7</v>
      </c>
      <c r="CF40" s="8" t="str">
        <f t="shared" si="299"/>
        <v>W3</v>
      </c>
      <c r="CG40" s="9">
        <f t="shared" si="300"/>
        <v>175200</v>
      </c>
      <c r="CH40" s="10">
        <f t="shared" si="301"/>
        <v>7</v>
      </c>
      <c r="CI40" s="8" t="str">
        <f t="shared" si="302"/>
        <v>W3</v>
      </c>
      <c r="CJ40" s="9">
        <f t="shared" si="303"/>
        <v>175200</v>
      </c>
      <c r="CK40" s="10">
        <f t="shared" si="304"/>
        <v>7</v>
      </c>
      <c r="CL40" s="8" t="str">
        <f t="shared" si="251"/>
        <v>W3</v>
      </c>
      <c r="CM40" s="9">
        <f t="shared" si="252"/>
        <v>175200</v>
      </c>
      <c r="CN40" s="10">
        <f t="shared" si="253"/>
        <v>7</v>
      </c>
      <c r="CO40" s="8" t="str">
        <f t="shared" si="254"/>
        <v>W3</v>
      </c>
      <c r="CP40" s="9">
        <f t="shared" si="442"/>
        <v>175200</v>
      </c>
      <c r="CQ40" s="10">
        <f t="shared" si="255"/>
        <v>7</v>
      </c>
      <c r="CR40" s="8" t="str">
        <f t="shared" si="256"/>
        <v>W3</v>
      </c>
      <c r="CS40" s="9">
        <f t="shared" si="257"/>
        <v>175200</v>
      </c>
      <c r="CT40" s="10">
        <f t="shared" si="258"/>
        <v>7</v>
      </c>
      <c r="CU40" s="8" t="str">
        <f t="shared" si="259"/>
        <v>W3</v>
      </c>
      <c r="CV40" s="9">
        <f t="shared" si="260"/>
        <v>175200</v>
      </c>
      <c r="CW40" s="10">
        <f t="shared" si="261"/>
        <v>7</v>
      </c>
      <c r="CX40" s="8" t="str">
        <f t="shared" si="262"/>
        <v>W3</v>
      </c>
      <c r="CY40" s="9">
        <f t="shared" si="263"/>
        <v>175200</v>
      </c>
      <c r="CZ40" s="10">
        <f t="shared" si="264"/>
        <v>7</v>
      </c>
      <c r="DA40" s="8" t="str">
        <f t="shared" si="265"/>
        <v>W3</v>
      </c>
      <c r="DB40" s="9">
        <f t="shared" si="266"/>
        <v>175200</v>
      </c>
      <c r="DC40" s="10">
        <f t="shared" si="267"/>
        <v>7</v>
      </c>
      <c r="DD40" s="8" t="str">
        <f t="shared" si="268"/>
        <v>W3</v>
      </c>
      <c r="DE40" s="9">
        <f t="shared" si="269"/>
        <v>175200</v>
      </c>
      <c r="DF40" s="10">
        <f t="shared" si="270"/>
        <v>7</v>
      </c>
      <c r="DG40" s="8" t="str">
        <f t="shared" si="271"/>
        <v>W3</v>
      </c>
      <c r="DH40" s="9">
        <f t="shared" si="272"/>
        <v>175200</v>
      </c>
      <c r="DI40" s="10">
        <f t="shared" si="273"/>
        <v>7</v>
      </c>
      <c r="DK40" s="8">
        <f>IFERROR(ROUNDUP(+B40/$AQ40,0),0)</f>
        <v>0</v>
      </c>
      <c r="DL40" s="67">
        <f>IFERROR(ROUNDUP(+C40/$AT40,0),0)</f>
        <v>0</v>
      </c>
      <c r="DM40" s="67">
        <f>IFERROR(ROUNDUP(+D40/$AW40,0),0)</f>
        <v>0</v>
      </c>
      <c r="DN40" s="67">
        <f>IFERROR(ROUNDUP(+E40/$AZ40,0),0)</f>
        <v>0</v>
      </c>
      <c r="DO40" s="67">
        <f>IFERROR(ROUNDUP(+F40/$BC40,0),0)</f>
        <v>1</v>
      </c>
      <c r="DP40" s="67">
        <f>IFERROR(ROUNDUP(+G40/$BF40,0),0)</f>
        <v>1</v>
      </c>
      <c r="DQ40" s="9">
        <f>IFERROR(ROUNDUP(+$H40/$BI40,0),0)</f>
        <v>1</v>
      </c>
      <c r="DR40" s="9">
        <f>IFERROR(ROUNDUP(+I40/$BL40,0),0)</f>
        <v>0</v>
      </c>
      <c r="DS40" s="9">
        <f>IFERROR(ROUNDUP(J40/BO40,0),0)</f>
        <v>1</v>
      </c>
      <c r="DT40" s="9">
        <f>IFERROR(ROUNDUP(+K40/BR40,0),0)</f>
        <v>0</v>
      </c>
      <c r="DU40" s="9">
        <f>IFERROR(ROUNDUP(+N40/BU40,0),0)</f>
        <v>0</v>
      </c>
      <c r="DV40" s="10">
        <f>IFERROR(ROUNDUP(+R40/BX40,0),0)</f>
        <v>2</v>
      </c>
      <c r="DW40" s="9">
        <f>IFERROR(ROUNDUP(+V40/CA40,0),0)</f>
        <v>0</v>
      </c>
      <c r="DX40" s="9">
        <f>IFERROR(ROUNDUP(+Y40/CD40,0),0)</f>
        <v>0</v>
      </c>
      <c r="DY40" s="9">
        <f>IFERROR(ROUNDUP(+AE40/CG40,0),0)</f>
        <v>1</v>
      </c>
      <c r="DZ40" s="9">
        <f>IFERROR(ROUNDUP(+AF40/CJ40,0),0)</f>
        <v>1</v>
      </c>
      <c r="EA40" s="9">
        <f>IFERROR(ROUNDUP(+AG40/CM40,0),0)</f>
        <v>0</v>
      </c>
      <c r="EB40" s="9">
        <f>IFERROR(ROUNDUP(+AH40/CP40,0),0)</f>
        <v>0</v>
      </c>
      <c r="EC40" s="9">
        <f>IFERROR(ROUNDUP(+AI40/CS40,0),0)</f>
        <v>0</v>
      </c>
      <c r="ED40" s="9">
        <f>IFERROR(ROUNDUP(+AJ40/CV40,0),0)</f>
        <v>0</v>
      </c>
      <c r="EE40" s="9">
        <f>IFERROR(ROUNDUP(+AK40/CY40,0),0)</f>
        <v>0</v>
      </c>
      <c r="EF40" s="9">
        <f>IFERROR(ROUNDUP(+AL40/DB40,0),0)</f>
        <v>0</v>
      </c>
      <c r="EG40" s="9">
        <f>IFERROR(ROUNDUP(+AM40/DE40,0),0)</f>
        <v>0</v>
      </c>
      <c r="EH40" s="9">
        <f>IFERROR(ROUNDUP(+AN40/DH40,0),0)</f>
        <v>0</v>
      </c>
      <c r="EJ40" s="8">
        <f t="shared" si="305"/>
        <v>0</v>
      </c>
      <c r="EK40" s="9">
        <f t="shared" si="306"/>
        <v>0</v>
      </c>
      <c r="EL40" s="9">
        <f t="shared" si="307"/>
        <v>0</v>
      </c>
      <c r="EM40" s="9">
        <f t="shared" si="308"/>
        <v>0</v>
      </c>
      <c r="EN40" s="9">
        <f t="shared" si="309"/>
        <v>4</v>
      </c>
      <c r="EO40" s="9">
        <f t="shared" si="310"/>
        <v>4</v>
      </c>
      <c r="EP40" s="9">
        <f t="shared" si="275"/>
        <v>4</v>
      </c>
      <c r="EQ40" s="9">
        <f t="shared" si="276"/>
        <v>0</v>
      </c>
      <c r="ER40" s="9">
        <f t="shared" si="277"/>
        <v>7</v>
      </c>
      <c r="ES40" s="9">
        <f t="shared" si="278"/>
        <v>0</v>
      </c>
      <c r="ET40" s="9">
        <f t="shared" si="279"/>
        <v>0</v>
      </c>
      <c r="EU40" s="10">
        <f t="shared" si="280"/>
        <v>14</v>
      </c>
      <c r="EV40" s="9">
        <f t="shared" si="281"/>
        <v>0</v>
      </c>
      <c r="EW40" s="9">
        <f t="shared" si="282"/>
        <v>0</v>
      </c>
      <c r="EX40" s="9">
        <f t="shared" si="283"/>
        <v>7</v>
      </c>
      <c r="EY40" s="9">
        <f t="shared" si="284"/>
        <v>7</v>
      </c>
      <c r="EZ40" s="9">
        <f t="shared" si="285"/>
        <v>0</v>
      </c>
      <c r="FA40" s="9">
        <f t="shared" si="286"/>
        <v>0</v>
      </c>
      <c r="FB40" s="9">
        <f t="shared" si="287"/>
        <v>0</v>
      </c>
      <c r="FC40" s="9">
        <f t="shared" si="288"/>
        <v>0</v>
      </c>
      <c r="FD40" s="9">
        <f t="shared" si="289"/>
        <v>0</v>
      </c>
      <c r="FE40" s="9">
        <f t="shared" si="290"/>
        <v>0</v>
      </c>
      <c r="FF40" s="9">
        <f t="shared" si="291"/>
        <v>0</v>
      </c>
      <c r="FG40" s="9">
        <f t="shared" si="292"/>
        <v>0</v>
      </c>
      <c r="FO40" t="str">
        <f t="shared" si="396"/>
        <v xml:space="preserve">            (85120) FLB SPAGHETTI W/MEAT SAUCEW2</v>
      </c>
      <c r="FP40" t="str">
        <f t="shared" si="397"/>
        <v xml:space="preserve">            (85120) FLB SPAGHETTI W/MEAT SAUCEW2</v>
      </c>
      <c r="FQ40" t="str">
        <f t="shared" si="398"/>
        <v xml:space="preserve">            (85120) FLB SPAGHETTI W/MEAT SAUCEW3</v>
      </c>
      <c r="FR40">
        <v>0</v>
      </c>
    </row>
    <row r="41" spans="1:174" outlineLevel="2" x14ac:dyDescent="0.25">
      <c r="A41" s="43" t="s">
        <v>28</v>
      </c>
      <c r="B41" s="9">
        <f>SUMIF(Prophix!$Q:$Q,'Fds Units'!$A41,Prophix!D:D)</f>
        <v>196320</v>
      </c>
      <c r="C41" s="9">
        <f>SUMIF(Prophix!$Q:$Q,'Fds Units'!$A41,Prophix!E:E)</f>
        <v>154344</v>
      </c>
      <c r="D41" s="9">
        <f>SUMIF(Prophix!$Q:$Q,'Fds Units'!$A41,Prophix!F:F)</f>
        <v>86112</v>
      </c>
      <c r="E41" s="9">
        <f>SUMIF(Prophix!$Q:$Q,'Fds Units'!$A41,Prophix!G:G)</f>
        <v>194328</v>
      </c>
      <c r="F41" s="9">
        <f>SUMIF(Prophix!$Q:$Q,'Fds Units'!$A41,Prophix!H:H)</f>
        <v>201192</v>
      </c>
      <c r="G41" s="9">
        <f>SUMIF(Prophix!$Q:$Q,'Fds Units'!$A41,Prophix!I:I)</f>
        <v>188472</v>
      </c>
      <c r="H41" s="9">
        <f>SUMIF(Prophix!$Q:$Q,'Fds Units'!$A41,Prophix!J:J)</f>
        <v>187056</v>
      </c>
      <c r="I41" s="9">
        <f>SUMIF(Prophix!$Q:$Q,'Fds Units'!$A41,Prophix!K:K)</f>
        <v>0</v>
      </c>
      <c r="J41" s="9">
        <f>SUMIF(Prophix!$Q:$Q,'Fds Units'!$A41,Prophix!L:L)</f>
        <v>628704</v>
      </c>
      <c r="K41" s="9">
        <f>SUMIF(Prophix!$Q:$Q,'Fds Units'!$A41,Prophix!M:M)</f>
        <v>619776</v>
      </c>
      <c r="L41" s="92">
        <f>_xlfn.XLOOKUP(FO41,Schedule!Z:Z,Schedule!Y:Y,0)</f>
        <v>0</v>
      </c>
      <c r="M41" s="133"/>
      <c r="N41" s="92">
        <f>SUMIF(Schedule!$R:$R,$FP41,Schedule!P:P)</f>
        <v>0</v>
      </c>
      <c r="O41" s="92">
        <f t="shared" si="443"/>
        <v>0</v>
      </c>
      <c r="P41" s="142"/>
      <c r="Q41" s="133">
        <f t="shared" si="444"/>
        <v>0</v>
      </c>
      <c r="R41" s="92">
        <v>316800</v>
      </c>
      <c r="S41" s="92">
        <v>130248</v>
      </c>
      <c r="T41" s="186">
        <f t="shared" si="445"/>
        <v>-186552</v>
      </c>
      <c r="U41" s="9">
        <v>150000</v>
      </c>
      <c r="V41" s="9">
        <v>150000</v>
      </c>
      <c r="W41" s="9">
        <v>180000</v>
      </c>
      <c r="X41" s="9">
        <v>154472</v>
      </c>
      <c r="Y41" s="8">
        <v>350400</v>
      </c>
      <c r="Z41" s="9">
        <v>350400</v>
      </c>
      <c r="AA41" s="9">
        <v>142872</v>
      </c>
      <c r="AB41" s="242">
        <f t="shared" si="446"/>
        <v>-207528</v>
      </c>
      <c r="AC41" s="241">
        <v>180000</v>
      </c>
      <c r="AD41" s="165">
        <v>180000</v>
      </c>
      <c r="AE41" s="242">
        <f t="shared" ref="AE41:AE44" si="447">AD41</f>
        <v>180000</v>
      </c>
      <c r="AF41" s="9">
        <v>149100</v>
      </c>
      <c r="AG41" s="9">
        <f>175000*3</f>
        <v>525000</v>
      </c>
      <c r="AH41" s="66"/>
      <c r="AI41" s="66"/>
      <c r="AJ41" s="66"/>
      <c r="AK41" s="66"/>
      <c r="AL41" s="66"/>
      <c r="AM41" s="66"/>
      <c r="AN41" s="66"/>
      <c r="AO41" s="59"/>
      <c r="AP41" s="8" t="s">
        <v>78</v>
      </c>
      <c r="AQ41" s="9">
        <v>100000</v>
      </c>
      <c r="AR41" s="10">
        <v>4</v>
      </c>
      <c r="AS41" s="8" t="s">
        <v>77</v>
      </c>
      <c r="AT41" s="9">
        <v>185000</v>
      </c>
      <c r="AU41" s="10">
        <v>7</v>
      </c>
      <c r="AV41" s="8" t="s">
        <v>78</v>
      </c>
      <c r="AW41" s="9">
        <v>100000</v>
      </c>
      <c r="AX41" s="10">
        <v>4</v>
      </c>
      <c r="AY41" s="8" t="s">
        <v>78</v>
      </c>
      <c r="AZ41" s="9">
        <v>100000</v>
      </c>
      <c r="BA41" s="10">
        <v>4</v>
      </c>
      <c r="BB41" s="8" t="s">
        <v>78</v>
      </c>
      <c r="BC41" s="9">
        <v>101000</v>
      </c>
      <c r="BD41" s="10">
        <v>4</v>
      </c>
      <c r="BE41" s="8" t="s">
        <v>78</v>
      </c>
      <c r="BF41" s="9">
        <f>+G41/3</f>
        <v>62824</v>
      </c>
      <c r="BG41" s="10">
        <v>4</v>
      </c>
      <c r="BH41" s="8" t="s">
        <v>78</v>
      </c>
      <c r="BI41" s="9">
        <f>+H41/2</f>
        <v>93528</v>
      </c>
      <c r="BJ41" s="10">
        <v>4</v>
      </c>
      <c r="BK41" s="8" t="s">
        <v>77</v>
      </c>
      <c r="BL41" s="9">
        <v>200000</v>
      </c>
      <c r="BM41" s="10">
        <v>7</v>
      </c>
      <c r="BN41" s="8" t="s">
        <v>77</v>
      </c>
      <c r="BO41" s="9">
        <v>200000</v>
      </c>
      <c r="BP41" s="10">
        <v>7</v>
      </c>
      <c r="BQ41" s="8" t="s">
        <v>77</v>
      </c>
      <c r="BR41" s="9">
        <v>175000</v>
      </c>
      <c r="BS41" s="10">
        <v>7</v>
      </c>
      <c r="BT41" s="8" t="s">
        <v>77</v>
      </c>
      <c r="BU41" s="9">
        <v>175000</v>
      </c>
      <c r="BV41" s="10">
        <v>7</v>
      </c>
      <c r="BW41" s="8" t="s">
        <v>74</v>
      </c>
      <c r="BX41" s="9">
        <v>175000</v>
      </c>
      <c r="BY41" s="10">
        <v>7</v>
      </c>
      <c r="BZ41" s="8" t="s">
        <v>74</v>
      </c>
      <c r="CA41" s="9">
        <v>175200</v>
      </c>
      <c r="CB41" s="10">
        <f t="shared" si="295"/>
        <v>7</v>
      </c>
      <c r="CC41" s="8" t="str">
        <f t="shared" si="296"/>
        <v>W3</v>
      </c>
      <c r="CD41" s="9">
        <f t="shared" si="297"/>
        <v>175200</v>
      </c>
      <c r="CE41" s="10">
        <f t="shared" si="298"/>
        <v>7</v>
      </c>
      <c r="CF41" s="8" t="str">
        <f t="shared" si="299"/>
        <v>W3</v>
      </c>
      <c r="CG41" s="9">
        <f t="shared" si="300"/>
        <v>175200</v>
      </c>
      <c r="CH41" s="10">
        <f t="shared" si="301"/>
        <v>7</v>
      </c>
      <c r="CI41" s="8" t="str">
        <f t="shared" si="302"/>
        <v>W3</v>
      </c>
      <c r="CJ41" s="9">
        <f t="shared" si="303"/>
        <v>175200</v>
      </c>
      <c r="CK41" s="10">
        <f t="shared" si="304"/>
        <v>7</v>
      </c>
      <c r="CL41" s="8" t="str">
        <f t="shared" si="251"/>
        <v>W3</v>
      </c>
      <c r="CM41" s="9">
        <f t="shared" si="252"/>
        <v>175200</v>
      </c>
      <c r="CN41" s="10">
        <f t="shared" si="253"/>
        <v>7</v>
      </c>
      <c r="CO41" s="8" t="str">
        <f t="shared" si="254"/>
        <v>W3</v>
      </c>
      <c r="CP41" s="9">
        <f t="shared" si="442"/>
        <v>175200</v>
      </c>
      <c r="CQ41" s="10">
        <f t="shared" si="255"/>
        <v>7</v>
      </c>
      <c r="CR41" s="8" t="str">
        <f t="shared" si="256"/>
        <v>W3</v>
      </c>
      <c r="CS41" s="9">
        <f t="shared" si="257"/>
        <v>175200</v>
      </c>
      <c r="CT41" s="10">
        <f t="shared" si="258"/>
        <v>7</v>
      </c>
      <c r="CU41" s="8" t="str">
        <f t="shared" si="259"/>
        <v>W3</v>
      </c>
      <c r="CV41" s="9">
        <f t="shared" si="260"/>
        <v>175200</v>
      </c>
      <c r="CW41" s="10">
        <f t="shared" si="261"/>
        <v>7</v>
      </c>
      <c r="CX41" s="8" t="str">
        <f t="shared" si="262"/>
        <v>W3</v>
      </c>
      <c r="CY41" s="9">
        <f t="shared" si="263"/>
        <v>175200</v>
      </c>
      <c r="CZ41" s="10">
        <f t="shared" si="264"/>
        <v>7</v>
      </c>
      <c r="DA41" s="8" t="str">
        <f t="shared" si="265"/>
        <v>W3</v>
      </c>
      <c r="DB41" s="9">
        <f t="shared" si="266"/>
        <v>175200</v>
      </c>
      <c r="DC41" s="10">
        <f t="shared" si="267"/>
        <v>7</v>
      </c>
      <c r="DD41" s="8" t="str">
        <f t="shared" si="268"/>
        <v>W3</v>
      </c>
      <c r="DE41" s="9">
        <f t="shared" si="269"/>
        <v>175200</v>
      </c>
      <c r="DF41" s="10">
        <f t="shared" si="270"/>
        <v>7</v>
      </c>
      <c r="DG41" s="8" t="str">
        <f t="shared" si="271"/>
        <v>W3</v>
      </c>
      <c r="DH41" s="9">
        <f t="shared" si="272"/>
        <v>175200</v>
      </c>
      <c r="DI41" s="10">
        <f t="shared" si="273"/>
        <v>7</v>
      </c>
      <c r="DK41" s="72">
        <f>IFERROR(ROUNDUP(+B41/$AQ41,0),0)</f>
        <v>2</v>
      </c>
      <c r="DL41" s="67">
        <f>IFERROR(ROUNDUP(+C41/$AT41,0),0)</f>
        <v>1</v>
      </c>
      <c r="DM41" s="67">
        <f>IFERROR(ROUNDUP(+D41/$AW41,0),0)</f>
        <v>1</v>
      </c>
      <c r="DN41" s="67">
        <v>2</v>
      </c>
      <c r="DO41" s="67">
        <f>IFERROR(ROUNDUP(+F41/$BC41,0),0)</f>
        <v>2</v>
      </c>
      <c r="DP41" s="67">
        <f>IFERROR(ROUNDUP(+G41/$BF41,0),0)</f>
        <v>3</v>
      </c>
      <c r="DQ41" s="9">
        <f>IFERROR(ROUNDUP(+$H41/$BI41,0),0)</f>
        <v>2</v>
      </c>
      <c r="DR41" s="9">
        <f>IFERROR(ROUNDUP(+I41/$BL41,0),0)</f>
        <v>0</v>
      </c>
      <c r="DS41" s="9">
        <f>IFERROR(ROUNDUP(J41/BO41,0),0)</f>
        <v>4</v>
      </c>
      <c r="DT41" s="9">
        <f>IFERROR(ROUNDUP(+K41/BR41,0),0)</f>
        <v>4</v>
      </c>
      <c r="DU41" s="9">
        <f>IFERROR(ROUNDUP(+N41/BU41,0),0)</f>
        <v>0</v>
      </c>
      <c r="DV41" s="10">
        <f>IFERROR(ROUNDUP(+R41/BX41,0),0)</f>
        <v>2</v>
      </c>
      <c r="DW41" s="9">
        <f>IFERROR(ROUNDUP(+V41/CA41,0),0)</f>
        <v>1</v>
      </c>
      <c r="DX41" s="9">
        <f>IFERROR(ROUNDUP(+Y41/CD41,0),0)</f>
        <v>2</v>
      </c>
      <c r="DY41" s="9">
        <f>IFERROR(ROUNDUP(+AE41/CG41,0),0)</f>
        <v>2</v>
      </c>
      <c r="DZ41" s="9">
        <f>IFERROR(ROUNDUP(+AF41/CJ41,0),0)</f>
        <v>1</v>
      </c>
      <c r="EA41" s="9">
        <f>IFERROR(ROUNDUP(+AG41/CM41,0),0)</f>
        <v>3</v>
      </c>
      <c r="EB41" s="9">
        <f>IFERROR(ROUNDUP(+AH41/CP41,0),0)</f>
        <v>0</v>
      </c>
      <c r="EC41" s="9">
        <f>IFERROR(ROUNDUP(+AI41/CS41,0),0)</f>
        <v>0</v>
      </c>
      <c r="ED41" s="9">
        <f>IFERROR(ROUNDUP(+AJ41/CV41,0),0)</f>
        <v>0</v>
      </c>
      <c r="EE41" s="9">
        <f>IFERROR(ROUNDUP(+AK41/CY41,0),0)</f>
        <v>0</v>
      </c>
      <c r="EF41" s="9">
        <f>IFERROR(ROUNDUP(+AL41/DB41,0),0)</f>
        <v>0</v>
      </c>
      <c r="EG41" s="9">
        <f>IFERROR(ROUNDUP(+AM41/DE41,0),0)</f>
        <v>0</v>
      </c>
      <c r="EH41" s="9">
        <f>IFERROR(ROUNDUP(+AN41/DH41,0),0)</f>
        <v>0</v>
      </c>
      <c r="EJ41" s="8">
        <f t="shared" si="305"/>
        <v>8</v>
      </c>
      <c r="EK41" s="9">
        <f t="shared" si="306"/>
        <v>7</v>
      </c>
      <c r="EL41" s="9">
        <f t="shared" si="307"/>
        <v>4</v>
      </c>
      <c r="EM41" s="9">
        <f t="shared" si="308"/>
        <v>8</v>
      </c>
      <c r="EN41" s="9">
        <f t="shared" si="309"/>
        <v>8</v>
      </c>
      <c r="EO41" s="9">
        <f t="shared" si="310"/>
        <v>12</v>
      </c>
      <c r="EP41" s="9">
        <f t="shared" si="275"/>
        <v>8</v>
      </c>
      <c r="EQ41" s="9">
        <f t="shared" si="276"/>
        <v>0</v>
      </c>
      <c r="ER41" s="9">
        <f t="shared" si="277"/>
        <v>28</v>
      </c>
      <c r="ES41" s="9">
        <f t="shared" si="278"/>
        <v>28</v>
      </c>
      <c r="ET41" s="9">
        <f t="shared" si="279"/>
        <v>0</v>
      </c>
      <c r="EU41" s="10">
        <f t="shared" si="280"/>
        <v>14</v>
      </c>
      <c r="EV41" s="9">
        <f t="shared" si="281"/>
        <v>7</v>
      </c>
      <c r="EW41" s="9">
        <f t="shared" si="282"/>
        <v>14</v>
      </c>
      <c r="EX41" s="9">
        <f t="shared" si="283"/>
        <v>14</v>
      </c>
      <c r="EY41" s="9">
        <f t="shared" si="284"/>
        <v>7</v>
      </c>
      <c r="EZ41" s="9">
        <f t="shared" si="285"/>
        <v>21</v>
      </c>
      <c r="FA41" s="9">
        <f t="shared" si="286"/>
        <v>0</v>
      </c>
      <c r="FB41" s="9">
        <f t="shared" si="287"/>
        <v>0</v>
      </c>
      <c r="FC41" s="9">
        <f t="shared" si="288"/>
        <v>0</v>
      </c>
      <c r="FD41" s="9">
        <f t="shared" si="289"/>
        <v>0</v>
      </c>
      <c r="FE41" s="9">
        <f t="shared" si="290"/>
        <v>0</v>
      </c>
      <c r="FF41" s="9">
        <f t="shared" si="291"/>
        <v>0</v>
      </c>
      <c r="FG41" s="9">
        <f t="shared" si="292"/>
        <v>0</v>
      </c>
      <c r="FO41" t="str">
        <f t="shared" si="396"/>
        <v xml:space="preserve">            (85125) FLB PASTA &amp; VEGW2</v>
      </c>
      <c r="FP41" t="str">
        <f t="shared" si="397"/>
        <v xml:space="preserve">            (85125) FLB PASTA &amp; VEGW2</v>
      </c>
      <c r="FQ41" t="str">
        <f t="shared" si="398"/>
        <v xml:space="preserve">            (85125) FLB PASTA &amp; VEGW3</v>
      </c>
      <c r="FR41" t="s">
        <v>858</v>
      </c>
    </row>
    <row r="42" spans="1:174" outlineLevel="2" x14ac:dyDescent="0.25">
      <c r="A42" s="43" t="s">
        <v>29</v>
      </c>
      <c r="B42" s="9">
        <f>SUMIF(Prophix!$Q:$Q,'Fds Units'!$A42,Prophix!D:D)</f>
        <v>0</v>
      </c>
      <c r="C42" s="9">
        <f>SUMIF(Prophix!$Q:$Q,'Fds Units'!$A42,Prophix!E:E)</f>
        <v>0</v>
      </c>
      <c r="D42" s="9">
        <f>SUMIF(Prophix!$Q:$Q,'Fds Units'!$A42,Prophix!F:F)</f>
        <v>369552</v>
      </c>
      <c r="E42" s="9">
        <f>SUMIF(Prophix!$Q:$Q,'Fds Units'!$A42,Prophix!G:G)</f>
        <v>0</v>
      </c>
      <c r="F42" s="9">
        <f>SUMIF(Prophix!$Q:$Q,'Fds Units'!$A42,Prophix!H:H)</f>
        <v>376512</v>
      </c>
      <c r="G42" s="9">
        <f>SUMIF(Prophix!$Q:$Q,'Fds Units'!$A42,Prophix!I:I)</f>
        <v>365736</v>
      </c>
      <c r="H42" s="9">
        <f>SUMIF(Prophix!$Q:$Q,'Fds Units'!$A42,Prophix!J:J)</f>
        <v>0</v>
      </c>
      <c r="I42" s="9">
        <f>SUMIF(Prophix!$Q:$Q,'Fds Units'!$A42,Prophix!K:K)</f>
        <v>0</v>
      </c>
      <c r="J42" s="9">
        <f>SUMIF(Prophix!$Q:$Q,'Fds Units'!$A42,Prophix!L:L)</f>
        <v>0</v>
      </c>
      <c r="K42" s="9">
        <f>SUMIF(Prophix!$Q:$Q,'Fds Units'!$A42,Prophix!M:M)</f>
        <v>0</v>
      </c>
      <c r="L42" s="92">
        <f>_xlfn.XLOOKUP(FO42,Schedule!Z:Z,Schedule!Y:Y,0)</f>
        <v>0</v>
      </c>
      <c r="M42" s="133"/>
      <c r="N42" s="92">
        <f>SUMIF(Schedule!$R:$R,$FP42,Schedule!P:P)</f>
        <v>0</v>
      </c>
      <c r="O42" s="92">
        <f t="shared" si="443"/>
        <v>0</v>
      </c>
      <c r="P42" s="142">
        <f>-O42</f>
        <v>0</v>
      </c>
      <c r="Q42" s="133">
        <f t="shared" si="444"/>
        <v>0</v>
      </c>
      <c r="R42" s="92">
        <v>199968</v>
      </c>
      <c r="S42" s="92">
        <v>217104</v>
      </c>
      <c r="T42" s="186">
        <f t="shared" si="445"/>
        <v>17136</v>
      </c>
      <c r="U42" s="9">
        <v>150000</v>
      </c>
      <c r="V42" s="9">
        <v>150000</v>
      </c>
      <c r="W42" s="9">
        <v>180000</v>
      </c>
      <c r="X42" s="9"/>
      <c r="Y42" s="72">
        <v>700800</v>
      </c>
      <c r="Z42" s="67">
        <v>700800</v>
      </c>
      <c r="AA42" s="9">
        <v>540864</v>
      </c>
      <c r="AB42" s="242">
        <f t="shared" si="446"/>
        <v>-159936</v>
      </c>
      <c r="AC42" s="241">
        <v>180000</v>
      </c>
      <c r="AD42" s="165">
        <v>180000</v>
      </c>
      <c r="AE42" s="242">
        <f t="shared" si="447"/>
        <v>180000</v>
      </c>
      <c r="AF42" s="9">
        <v>149100</v>
      </c>
      <c r="AG42" s="9">
        <v>0</v>
      </c>
      <c r="AH42" s="66"/>
      <c r="AI42" s="66"/>
      <c r="AJ42" s="66"/>
      <c r="AK42" s="66"/>
      <c r="AL42" s="66"/>
      <c r="AM42" s="66"/>
      <c r="AN42" s="66"/>
      <c r="AO42" s="59"/>
      <c r="AP42" s="8" t="s">
        <v>78</v>
      </c>
      <c r="AQ42" s="9">
        <v>100000</v>
      </c>
      <c r="AR42" s="10">
        <v>4</v>
      </c>
      <c r="AS42" s="8" t="s">
        <v>78</v>
      </c>
      <c r="AT42" s="9">
        <v>100000</v>
      </c>
      <c r="AU42" s="10">
        <v>4</v>
      </c>
      <c r="AV42" s="8" t="s">
        <v>78</v>
      </c>
      <c r="AW42" s="9">
        <v>100000</v>
      </c>
      <c r="AX42" s="10">
        <v>4</v>
      </c>
      <c r="AY42" s="8" t="s">
        <v>77</v>
      </c>
      <c r="AZ42" s="9">
        <v>200000</v>
      </c>
      <c r="BA42" s="10">
        <v>4</v>
      </c>
      <c r="BB42" s="8" t="s">
        <v>78</v>
      </c>
      <c r="BC42" s="9">
        <v>100008</v>
      </c>
      <c r="BD42" s="10">
        <v>4</v>
      </c>
      <c r="BE42" s="8" t="s">
        <v>78</v>
      </c>
      <c r="BF42" s="9">
        <f>+G42/3</f>
        <v>121912</v>
      </c>
      <c r="BG42" s="10">
        <v>4</v>
      </c>
      <c r="BH42" s="8" t="s">
        <v>78</v>
      </c>
      <c r="BI42" s="9">
        <v>100008</v>
      </c>
      <c r="BJ42" s="10">
        <v>4</v>
      </c>
      <c r="BK42" s="8" t="s">
        <v>77</v>
      </c>
      <c r="BL42" s="9">
        <v>200000</v>
      </c>
      <c r="BM42" s="10">
        <v>7</v>
      </c>
      <c r="BN42" s="8" t="s">
        <v>77</v>
      </c>
      <c r="BO42" s="9">
        <v>200000</v>
      </c>
      <c r="BP42" s="10">
        <v>7</v>
      </c>
      <c r="BQ42" s="8" t="s">
        <v>77</v>
      </c>
      <c r="BR42" s="9">
        <f t="shared" ref="BR42" si="448">+BO42</f>
        <v>200000</v>
      </c>
      <c r="BS42" s="10">
        <v>7</v>
      </c>
      <c r="BT42" s="8" t="s">
        <v>77</v>
      </c>
      <c r="BU42" s="9">
        <v>200000</v>
      </c>
      <c r="BV42" s="10">
        <v>7</v>
      </c>
      <c r="BW42" s="8" t="s">
        <v>74</v>
      </c>
      <c r="BX42" s="9">
        <v>175000</v>
      </c>
      <c r="BY42" s="10">
        <v>7</v>
      </c>
      <c r="BZ42" s="8" t="s">
        <v>74</v>
      </c>
      <c r="CA42" s="9">
        <v>175200</v>
      </c>
      <c r="CB42" s="10">
        <f t="shared" si="295"/>
        <v>7</v>
      </c>
      <c r="CC42" s="8" t="str">
        <f t="shared" si="296"/>
        <v>W3</v>
      </c>
      <c r="CD42" s="9">
        <f t="shared" si="297"/>
        <v>175200</v>
      </c>
      <c r="CE42" s="10">
        <f t="shared" si="298"/>
        <v>7</v>
      </c>
      <c r="CF42" s="8" t="str">
        <f t="shared" si="299"/>
        <v>W3</v>
      </c>
      <c r="CG42" s="9">
        <f t="shared" si="300"/>
        <v>175200</v>
      </c>
      <c r="CH42" s="10">
        <f t="shared" si="301"/>
        <v>7</v>
      </c>
      <c r="CI42" s="8" t="str">
        <f t="shared" si="302"/>
        <v>W3</v>
      </c>
      <c r="CJ42" s="9">
        <f t="shared" si="303"/>
        <v>175200</v>
      </c>
      <c r="CK42" s="10">
        <f t="shared" si="304"/>
        <v>7</v>
      </c>
      <c r="CL42" s="8" t="str">
        <f t="shared" si="251"/>
        <v>W3</v>
      </c>
      <c r="CM42" s="9">
        <f t="shared" si="252"/>
        <v>175200</v>
      </c>
      <c r="CN42" s="10">
        <f t="shared" si="253"/>
        <v>7</v>
      </c>
      <c r="CO42" s="8" t="str">
        <f t="shared" si="254"/>
        <v>W3</v>
      </c>
      <c r="CP42" s="9">
        <f t="shared" si="442"/>
        <v>175200</v>
      </c>
      <c r="CQ42" s="10">
        <f t="shared" si="255"/>
        <v>7</v>
      </c>
      <c r="CR42" s="8" t="str">
        <f t="shared" si="256"/>
        <v>W3</v>
      </c>
      <c r="CS42" s="9">
        <f t="shared" si="257"/>
        <v>175200</v>
      </c>
      <c r="CT42" s="10">
        <f t="shared" si="258"/>
        <v>7</v>
      </c>
      <c r="CU42" s="8" t="str">
        <f t="shared" si="259"/>
        <v>W3</v>
      </c>
      <c r="CV42" s="9">
        <f t="shared" si="260"/>
        <v>175200</v>
      </c>
      <c r="CW42" s="10">
        <f t="shared" si="261"/>
        <v>7</v>
      </c>
      <c r="CX42" s="8" t="str">
        <f t="shared" si="262"/>
        <v>W3</v>
      </c>
      <c r="CY42" s="9">
        <f t="shared" si="263"/>
        <v>175200</v>
      </c>
      <c r="CZ42" s="10">
        <f t="shared" si="264"/>
        <v>7</v>
      </c>
      <c r="DA42" s="8" t="str">
        <f t="shared" si="265"/>
        <v>W3</v>
      </c>
      <c r="DB42" s="9">
        <f t="shared" si="266"/>
        <v>175200</v>
      </c>
      <c r="DC42" s="10">
        <f t="shared" si="267"/>
        <v>7</v>
      </c>
      <c r="DD42" s="8" t="str">
        <f t="shared" si="268"/>
        <v>W3</v>
      </c>
      <c r="DE42" s="9">
        <f t="shared" si="269"/>
        <v>175200</v>
      </c>
      <c r="DF42" s="10">
        <f t="shared" si="270"/>
        <v>7</v>
      </c>
      <c r="DG42" s="8" t="str">
        <f t="shared" si="271"/>
        <v>W3</v>
      </c>
      <c r="DH42" s="9">
        <f t="shared" si="272"/>
        <v>175200</v>
      </c>
      <c r="DI42" s="10">
        <f t="shared" si="273"/>
        <v>7</v>
      </c>
      <c r="DK42" s="8">
        <f>IFERROR(ROUNDUP(+B42/$AQ42,0),0)</f>
        <v>0</v>
      </c>
      <c r="DL42" s="67">
        <f>IFERROR(ROUNDUP(+C42/$AT42,0),0)</f>
        <v>0</v>
      </c>
      <c r="DM42" s="67">
        <f>IFERROR(ROUNDUP(+D42/$AW42,0),0)</f>
        <v>4</v>
      </c>
      <c r="DN42" s="9">
        <f>IFERROR(ROUNDUP(+E42/$AZ42,0),0)</f>
        <v>0</v>
      </c>
      <c r="DO42" s="67">
        <f>IFERROR(ROUNDUP(+F42/$BC42,0),0)</f>
        <v>4</v>
      </c>
      <c r="DP42" s="67">
        <f>IFERROR(ROUNDUP(+G42/$BF42,0),0)</f>
        <v>3</v>
      </c>
      <c r="DQ42" s="9">
        <f>IFERROR(ROUNDUP(+$H42/$BI42,0),0)</f>
        <v>0</v>
      </c>
      <c r="DR42" s="9">
        <f>IFERROR(ROUNDUP(+I42/$BL42,0),0)</f>
        <v>0</v>
      </c>
      <c r="DS42" s="9">
        <f>IFERROR(ROUNDUP(J42/BO42,0),0)</f>
        <v>0</v>
      </c>
      <c r="DT42" s="9">
        <f>IFERROR(ROUNDUP(+K42/BR42,0),0)</f>
        <v>0</v>
      </c>
      <c r="DU42" s="9">
        <f>IFERROR(ROUNDUP(+N42/BU42,0),0)</f>
        <v>0</v>
      </c>
      <c r="DV42" s="10">
        <f>IFERROR(ROUNDUP(+R42/BX42,0),0)</f>
        <v>2</v>
      </c>
      <c r="DW42" s="9">
        <f>IFERROR(ROUNDUP(+V42/CA42,0),0)</f>
        <v>1</v>
      </c>
      <c r="DX42" s="9">
        <f>IFERROR(ROUNDUP(+Y42/CD42,0),0)</f>
        <v>4</v>
      </c>
      <c r="DY42" s="9">
        <f>IFERROR(ROUNDUP(+AE42/CG42,0),0)</f>
        <v>2</v>
      </c>
      <c r="DZ42" s="9">
        <f>IFERROR(ROUNDUP(+AF42/CJ42,0),0)</f>
        <v>1</v>
      </c>
      <c r="EA42" s="9">
        <f>IFERROR(ROUNDUP(+AG42/CM42,0),0)</f>
        <v>0</v>
      </c>
      <c r="EB42" s="9">
        <f>IFERROR(ROUNDUP(+AH42/CP42,0),0)</f>
        <v>0</v>
      </c>
      <c r="EC42" s="9">
        <f>IFERROR(ROUNDUP(+AI42/CS42,0),0)</f>
        <v>0</v>
      </c>
      <c r="ED42" s="9">
        <f>IFERROR(ROUNDUP(+AJ42/CV42,0),0)</f>
        <v>0</v>
      </c>
      <c r="EE42" s="9">
        <f>IFERROR(ROUNDUP(+AK42/CY42,0),0)</f>
        <v>0</v>
      </c>
      <c r="EF42" s="9">
        <f>IFERROR(ROUNDUP(+AL42/DB42,0),0)</f>
        <v>0</v>
      </c>
      <c r="EG42" s="9">
        <f>IFERROR(ROUNDUP(+AM42/DE42,0),0)</f>
        <v>0</v>
      </c>
      <c r="EH42" s="9">
        <f>IFERROR(ROUNDUP(+AN42/DH42,0),0)</f>
        <v>0</v>
      </c>
      <c r="EJ42" s="8">
        <f t="shared" si="305"/>
        <v>0</v>
      </c>
      <c r="EK42" s="9">
        <f t="shared" si="306"/>
        <v>0</v>
      </c>
      <c r="EL42" s="9">
        <f t="shared" si="307"/>
        <v>16</v>
      </c>
      <c r="EM42" s="9">
        <f t="shared" si="308"/>
        <v>0</v>
      </c>
      <c r="EN42" s="9">
        <f t="shared" si="309"/>
        <v>16</v>
      </c>
      <c r="EO42" s="9">
        <f t="shared" si="310"/>
        <v>12</v>
      </c>
      <c r="EP42" s="9">
        <f t="shared" si="275"/>
        <v>0</v>
      </c>
      <c r="EQ42" s="9">
        <f t="shared" si="276"/>
        <v>0</v>
      </c>
      <c r="ER42" s="9">
        <f t="shared" si="277"/>
        <v>0</v>
      </c>
      <c r="ES42" s="9">
        <f t="shared" si="278"/>
        <v>0</v>
      </c>
      <c r="ET42" s="9">
        <f t="shared" si="279"/>
        <v>0</v>
      </c>
      <c r="EU42" s="10">
        <f t="shared" si="280"/>
        <v>14</v>
      </c>
      <c r="EV42" s="9">
        <f t="shared" si="281"/>
        <v>7</v>
      </c>
      <c r="EW42" s="9">
        <f t="shared" si="282"/>
        <v>28</v>
      </c>
      <c r="EX42" s="9">
        <f t="shared" si="283"/>
        <v>14</v>
      </c>
      <c r="EY42" s="9">
        <f t="shared" si="284"/>
        <v>7</v>
      </c>
      <c r="EZ42" s="9">
        <f t="shared" si="285"/>
        <v>0</v>
      </c>
      <c r="FA42" s="9">
        <f t="shared" si="286"/>
        <v>0</v>
      </c>
      <c r="FB42" s="9">
        <f t="shared" si="287"/>
        <v>0</v>
      </c>
      <c r="FC42" s="9">
        <f t="shared" si="288"/>
        <v>0</v>
      </c>
      <c r="FD42" s="9">
        <f t="shared" si="289"/>
        <v>0</v>
      </c>
      <c r="FE42" s="9">
        <f t="shared" si="290"/>
        <v>0</v>
      </c>
      <c r="FF42" s="9">
        <f t="shared" si="291"/>
        <v>0</v>
      </c>
      <c r="FG42" s="9">
        <f t="shared" si="292"/>
        <v>0</v>
      </c>
      <c r="FO42" t="str">
        <f t="shared" si="396"/>
        <v xml:space="preserve">            (85127) FLB SOUTHW CHIX W/RICE &amp; BEANSW2</v>
      </c>
      <c r="FP42" t="str">
        <f t="shared" si="397"/>
        <v xml:space="preserve">            (85127) FLB SOUTHW CHIX W/RICE &amp; BEANSW2</v>
      </c>
      <c r="FQ42" t="str">
        <f t="shared" si="398"/>
        <v xml:space="preserve">            (85127) FLB SOUTHW CHIX W/RICE &amp; BEANSW3</v>
      </c>
      <c r="FR42" t="s">
        <v>859</v>
      </c>
    </row>
    <row r="43" spans="1:174" outlineLevel="2" x14ac:dyDescent="0.25">
      <c r="A43" s="43" t="s">
        <v>30</v>
      </c>
      <c r="B43" s="9">
        <f>SUMIF(Prophix!$Q:$Q,'Fds Units'!$A43,Prophix!D:D)</f>
        <v>116544</v>
      </c>
      <c r="C43" s="9">
        <f>SUMIF(Prophix!$Q:$Q,'Fds Units'!$A43,Prophix!E:E)</f>
        <v>0</v>
      </c>
      <c r="D43" s="9">
        <f>SUMIF(Prophix!$Q:$Q,'Fds Units'!$A43,Prophix!F:F)</f>
        <v>87888</v>
      </c>
      <c r="E43" s="9">
        <f>SUMIF(Prophix!$Q:$Q,'Fds Units'!$A43,Prophix!G:G)</f>
        <v>536784</v>
      </c>
      <c r="F43" s="9">
        <f>SUMIF(Prophix!$Q:$Q,'Fds Units'!$A43,Prophix!H:H)</f>
        <v>289680</v>
      </c>
      <c r="G43" s="9">
        <f>SUMIF(Prophix!$Q:$Q,'Fds Units'!$A43,Prophix!I:I)</f>
        <v>166512</v>
      </c>
      <c r="H43" s="9">
        <f>SUMIF(Prophix!$Q:$Q,'Fds Units'!$A43,Prophix!J:J)</f>
        <v>0</v>
      </c>
      <c r="I43" s="9">
        <f>SUMIF(Prophix!$Q:$Q,'Fds Units'!$A43,Prophix!K:K)</f>
        <v>0</v>
      </c>
      <c r="J43" s="9">
        <f>SUMIF(Prophix!$Q:$Q,'Fds Units'!$A43,Prophix!L:L)</f>
        <v>0</v>
      </c>
      <c r="K43" s="9">
        <f>SUMIF(Prophix!$Q:$Q,'Fds Units'!$A43,Prophix!M:M)</f>
        <v>324576</v>
      </c>
      <c r="L43" s="92">
        <f>_xlfn.XLOOKUP(FO43,Schedule!Z:Z,Schedule!Y:Y,0)</f>
        <v>0</v>
      </c>
      <c r="M43" s="133"/>
      <c r="N43" s="92">
        <f>SUMIF(Schedule!$R:$R,$FP43,Schedule!P:P)</f>
        <v>0</v>
      </c>
      <c r="O43" s="92">
        <f t="shared" si="443"/>
        <v>0</v>
      </c>
      <c r="P43" s="133">
        <v>180000</v>
      </c>
      <c r="Q43" s="133">
        <f t="shared" si="444"/>
        <v>180000</v>
      </c>
      <c r="R43" s="92">
        <v>99984</v>
      </c>
      <c r="S43" s="92">
        <v>359856</v>
      </c>
      <c r="T43" s="186">
        <f t="shared" si="445"/>
        <v>259872</v>
      </c>
      <c r="U43" s="9">
        <v>120000</v>
      </c>
      <c r="V43" s="9">
        <v>270000</v>
      </c>
      <c r="W43" s="9">
        <v>180000</v>
      </c>
      <c r="X43" s="9"/>
      <c r="Y43" s="8">
        <v>446400</v>
      </c>
      <c r="Z43" s="9">
        <v>525600</v>
      </c>
      <c r="AA43" s="9">
        <v>445272</v>
      </c>
      <c r="AB43" s="242">
        <f t="shared" si="446"/>
        <v>-80328</v>
      </c>
      <c r="AC43" s="241">
        <v>180000</v>
      </c>
      <c r="AD43" s="165">
        <v>180000</v>
      </c>
      <c r="AE43" s="242">
        <f t="shared" si="447"/>
        <v>180000</v>
      </c>
      <c r="AF43" s="9">
        <v>0</v>
      </c>
      <c r="AG43" s="9">
        <f>175000*2</f>
        <v>350000</v>
      </c>
      <c r="AH43" s="66"/>
      <c r="AI43" s="66"/>
      <c r="AJ43" s="66"/>
      <c r="AK43" s="66"/>
      <c r="AL43" s="66"/>
      <c r="AM43" s="66"/>
      <c r="AN43" s="66"/>
      <c r="AO43" s="59"/>
      <c r="AP43" s="8" t="s">
        <v>78</v>
      </c>
      <c r="AQ43" s="9">
        <v>120000</v>
      </c>
      <c r="AR43" s="10">
        <v>5</v>
      </c>
      <c r="AS43" s="8" t="s">
        <v>78</v>
      </c>
      <c r="AT43" s="9">
        <v>100000</v>
      </c>
      <c r="AU43" s="10">
        <v>4</v>
      </c>
      <c r="AV43" s="8" t="s">
        <v>78</v>
      </c>
      <c r="AW43" s="9">
        <v>100000</v>
      </c>
      <c r="AX43" s="10">
        <v>4</v>
      </c>
      <c r="AY43" s="8" t="s">
        <v>77</v>
      </c>
      <c r="AZ43" s="9">
        <v>200000</v>
      </c>
      <c r="BA43" s="10">
        <v>7</v>
      </c>
      <c r="BB43" s="8" t="s">
        <v>78</v>
      </c>
      <c r="BC43" s="9">
        <v>100008</v>
      </c>
      <c r="BD43" s="10">
        <v>4</v>
      </c>
      <c r="BE43" s="8" t="s">
        <v>78</v>
      </c>
      <c r="BF43" s="9">
        <f>+G43/2</f>
        <v>83256</v>
      </c>
      <c r="BG43" s="10">
        <v>4</v>
      </c>
      <c r="BH43" s="8" t="s">
        <v>78</v>
      </c>
      <c r="BI43" s="9">
        <v>100008</v>
      </c>
      <c r="BJ43" s="10">
        <v>4</v>
      </c>
      <c r="BK43" s="8" t="s">
        <v>77</v>
      </c>
      <c r="BL43" s="9">
        <v>200000</v>
      </c>
      <c r="BM43" s="10">
        <v>7</v>
      </c>
      <c r="BN43" s="8" t="s">
        <v>77</v>
      </c>
      <c r="BO43" s="9">
        <v>200000</v>
      </c>
      <c r="BP43" s="10">
        <v>7</v>
      </c>
      <c r="BQ43" s="8" t="s">
        <v>77</v>
      </c>
      <c r="BR43" s="9">
        <v>180000</v>
      </c>
      <c r="BS43" s="10">
        <v>7</v>
      </c>
      <c r="BT43" s="8" t="s">
        <v>77</v>
      </c>
      <c r="BU43" s="9">
        <v>180000</v>
      </c>
      <c r="BV43" s="10">
        <v>7</v>
      </c>
      <c r="BW43" s="8" t="s">
        <v>74</v>
      </c>
      <c r="BX43" s="9">
        <v>175000</v>
      </c>
      <c r="BY43" s="10">
        <v>7</v>
      </c>
      <c r="BZ43" s="8" t="s">
        <v>74</v>
      </c>
      <c r="CA43" s="9">
        <v>175200</v>
      </c>
      <c r="CB43" s="10">
        <f t="shared" si="295"/>
        <v>7</v>
      </c>
      <c r="CC43" s="8" t="str">
        <f t="shared" si="296"/>
        <v>W3</v>
      </c>
      <c r="CD43" s="9">
        <f t="shared" si="297"/>
        <v>175200</v>
      </c>
      <c r="CE43" s="10">
        <f t="shared" si="298"/>
        <v>7</v>
      </c>
      <c r="CF43" s="8" t="str">
        <f t="shared" si="299"/>
        <v>W3</v>
      </c>
      <c r="CG43" s="9">
        <f t="shared" si="300"/>
        <v>175200</v>
      </c>
      <c r="CH43" s="10">
        <f t="shared" si="301"/>
        <v>7</v>
      </c>
      <c r="CI43" s="8" t="str">
        <f t="shared" si="302"/>
        <v>W3</v>
      </c>
      <c r="CJ43" s="9">
        <f t="shared" si="303"/>
        <v>175200</v>
      </c>
      <c r="CK43" s="10">
        <f t="shared" si="304"/>
        <v>7</v>
      </c>
      <c r="CL43" s="8" t="str">
        <f t="shared" si="251"/>
        <v>W3</v>
      </c>
      <c r="CM43" s="9">
        <f t="shared" si="252"/>
        <v>175200</v>
      </c>
      <c r="CN43" s="10">
        <f t="shared" si="253"/>
        <v>7</v>
      </c>
      <c r="CO43" s="8" t="str">
        <f t="shared" si="254"/>
        <v>W3</v>
      </c>
      <c r="CP43" s="9">
        <f t="shared" si="442"/>
        <v>175200</v>
      </c>
      <c r="CQ43" s="10">
        <f t="shared" si="255"/>
        <v>7</v>
      </c>
      <c r="CR43" s="8" t="str">
        <f t="shared" si="256"/>
        <v>W3</v>
      </c>
      <c r="CS43" s="9">
        <f t="shared" si="257"/>
        <v>175200</v>
      </c>
      <c r="CT43" s="10">
        <f t="shared" si="258"/>
        <v>7</v>
      </c>
      <c r="CU43" s="8" t="str">
        <f t="shared" si="259"/>
        <v>W3</v>
      </c>
      <c r="CV43" s="9">
        <f t="shared" si="260"/>
        <v>175200</v>
      </c>
      <c r="CW43" s="10">
        <f t="shared" si="261"/>
        <v>7</v>
      </c>
      <c r="CX43" s="8" t="str">
        <f t="shared" si="262"/>
        <v>W3</v>
      </c>
      <c r="CY43" s="9">
        <f t="shared" si="263"/>
        <v>175200</v>
      </c>
      <c r="CZ43" s="10">
        <f t="shared" si="264"/>
        <v>7</v>
      </c>
      <c r="DA43" s="8" t="str">
        <f t="shared" si="265"/>
        <v>W3</v>
      </c>
      <c r="DB43" s="9">
        <f t="shared" si="266"/>
        <v>175200</v>
      </c>
      <c r="DC43" s="10">
        <f t="shared" si="267"/>
        <v>7</v>
      </c>
      <c r="DD43" s="8" t="str">
        <f t="shared" si="268"/>
        <v>W3</v>
      </c>
      <c r="DE43" s="9">
        <f t="shared" si="269"/>
        <v>175200</v>
      </c>
      <c r="DF43" s="10">
        <f t="shared" si="270"/>
        <v>7</v>
      </c>
      <c r="DG43" s="8" t="str">
        <f t="shared" si="271"/>
        <v>W3</v>
      </c>
      <c r="DH43" s="9">
        <f t="shared" si="272"/>
        <v>175200</v>
      </c>
      <c r="DI43" s="10">
        <f t="shared" si="273"/>
        <v>7</v>
      </c>
      <c r="DK43" s="72">
        <f>IFERROR(ROUNDUP(+B43/$AQ43,0),0)</f>
        <v>1</v>
      </c>
      <c r="DL43" s="67">
        <f>IFERROR(ROUNDUP(+C43/$AT43,0),0)</f>
        <v>0</v>
      </c>
      <c r="DM43" s="67">
        <f>IFERROR(ROUNDUP(+D43/$AW43,0),0)</f>
        <v>1</v>
      </c>
      <c r="DN43" s="9">
        <v>2</v>
      </c>
      <c r="DO43" s="67">
        <f>IFERROR(ROUNDUP(+F43/$BC43,0),0)</f>
        <v>3</v>
      </c>
      <c r="DP43" s="67">
        <f>IFERROR(ROUNDUP(+G43/$BF43,0),0)</f>
        <v>2</v>
      </c>
      <c r="DQ43" s="9">
        <f>IFERROR(ROUNDUP(+$H43/$BI43,0),0)</f>
        <v>0</v>
      </c>
      <c r="DR43" s="9">
        <f>IFERROR(ROUNDUP(+I43/$BL43,0),0)</f>
        <v>0</v>
      </c>
      <c r="DS43" s="9">
        <f>IFERROR(ROUNDUP(J43/BO43,0),0)</f>
        <v>0</v>
      </c>
      <c r="DT43" s="9">
        <f>IFERROR(ROUNDUP(+K43/BR43,0),0)</f>
        <v>2</v>
      </c>
      <c r="DU43" s="9">
        <f>IFERROR(ROUNDUP(+N43/BU43,0),0)</f>
        <v>0</v>
      </c>
      <c r="DV43" s="10">
        <f>IFERROR(ROUNDUP(+R43/BX43,0),0)</f>
        <v>1</v>
      </c>
      <c r="DW43" s="9">
        <f>IFERROR(ROUNDUP(+V43/CA43,0),0)</f>
        <v>2</v>
      </c>
      <c r="DX43" s="9">
        <f>IFERROR(ROUNDUP(+Y43/CD43,0),0)</f>
        <v>3</v>
      </c>
      <c r="DY43" s="9">
        <f>IFERROR(ROUNDUP(+AE43/CG43,0),0)</f>
        <v>2</v>
      </c>
      <c r="DZ43" s="9">
        <f>IFERROR(ROUNDUP(+AF43/CJ43,0),0)</f>
        <v>0</v>
      </c>
      <c r="EA43" s="9">
        <f>IFERROR(ROUNDUP(+AG43/CM43,0),0)</f>
        <v>2</v>
      </c>
      <c r="EB43" s="9">
        <f>IFERROR(ROUNDUP(+AH43/CP43,0),0)</f>
        <v>0</v>
      </c>
      <c r="EC43" s="9">
        <f>IFERROR(ROUNDUP(+AI43/CS43,0),0)</f>
        <v>0</v>
      </c>
      <c r="ED43" s="9">
        <f>IFERROR(ROUNDUP(+AJ43/CV43,0),0)</f>
        <v>0</v>
      </c>
      <c r="EE43" s="9">
        <f>IFERROR(ROUNDUP(+AK43/CY43,0),0)</f>
        <v>0</v>
      </c>
      <c r="EF43" s="9">
        <f>IFERROR(ROUNDUP(+AL43/DB43,0),0)</f>
        <v>0</v>
      </c>
      <c r="EG43" s="9">
        <f>IFERROR(ROUNDUP(+AM43/DE43,0),0)</f>
        <v>0</v>
      </c>
      <c r="EH43" s="9">
        <f>IFERROR(ROUNDUP(+AN43/DH43,0),0)</f>
        <v>0</v>
      </c>
      <c r="EJ43" s="8">
        <f t="shared" si="305"/>
        <v>5</v>
      </c>
      <c r="EK43" s="9">
        <f t="shared" si="306"/>
        <v>0</v>
      </c>
      <c r="EL43" s="9">
        <f t="shared" si="307"/>
        <v>4</v>
      </c>
      <c r="EM43" s="9">
        <f t="shared" si="308"/>
        <v>14</v>
      </c>
      <c r="EN43" s="9">
        <f t="shared" si="309"/>
        <v>12</v>
      </c>
      <c r="EO43" s="9">
        <f t="shared" si="310"/>
        <v>8</v>
      </c>
      <c r="EP43" s="9">
        <f t="shared" si="275"/>
        <v>0</v>
      </c>
      <c r="EQ43" s="9">
        <f t="shared" si="276"/>
        <v>0</v>
      </c>
      <c r="ER43" s="9">
        <f t="shared" si="277"/>
        <v>0</v>
      </c>
      <c r="ES43" s="9">
        <f t="shared" si="278"/>
        <v>14</v>
      </c>
      <c r="ET43" s="9">
        <f t="shared" si="279"/>
        <v>0</v>
      </c>
      <c r="EU43" s="10">
        <f t="shared" si="280"/>
        <v>7</v>
      </c>
      <c r="EV43" s="9">
        <f t="shared" si="281"/>
        <v>14</v>
      </c>
      <c r="EW43" s="9">
        <f t="shared" si="282"/>
        <v>21</v>
      </c>
      <c r="EX43" s="9">
        <f t="shared" si="283"/>
        <v>14</v>
      </c>
      <c r="EY43" s="9">
        <f t="shared" si="284"/>
        <v>0</v>
      </c>
      <c r="EZ43" s="9">
        <f t="shared" si="285"/>
        <v>14</v>
      </c>
      <c r="FA43" s="9">
        <f t="shared" si="286"/>
        <v>0</v>
      </c>
      <c r="FB43" s="9">
        <f t="shared" si="287"/>
        <v>0</v>
      </c>
      <c r="FC43" s="9">
        <f t="shared" si="288"/>
        <v>0</v>
      </c>
      <c r="FD43" s="9">
        <f t="shared" si="289"/>
        <v>0</v>
      </c>
      <c r="FE43" s="9">
        <f t="shared" si="290"/>
        <v>0</v>
      </c>
      <c r="FF43" s="9">
        <f t="shared" si="291"/>
        <v>0</v>
      </c>
      <c r="FG43" s="9">
        <f t="shared" si="292"/>
        <v>0</v>
      </c>
      <c r="FO43" t="str">
        <f t="shared" si="396"/>
        <v xml:space="preserve">            (85205) FLB WHITE CHICKEN CHILIW2</v>
      </c>
      <c r="FP43" t="str">
        <f t="shared" si="397"/>
        <v xml:space="preserve">            (85205) FLB WHITE CHICKEN CHILIW2</v>
      </c>
      <c r="FQ43" t="str">
        <f t="shared" si="398"/>
        <v xml:space="preserve">            (85205) FLB WHITE CHICKEN CHILIW3</v>
      </c>
      <c r="FR43" t="s">
        <v>860</v>
      </c>
    </row>
    <row r="44" spans="1:174" outlineLevel="2" x14ac:dyDescent="0.25">
      <c r="A44" s="43" t="s">
        <v>31</v>
      </c>
      <c r="B44" s="9">
        <f>SUMIF(Prophix!$Q:$Q,'Fds Units'!$A44,Prophix!D:D)</f>
        <v>0</v>
      </c>
      <c r="C44" s="9">
        <f>SUMIF(Prophix!$Q:$Q,'Fds Units'!$A44,Prophix!E:E)</f>
        <v>0</v>
      </c>
      <c r="D44" s="9">
        <f>SUMIF(Prophix!$Q:$Q,'Fds Units'!$A44,Prophix!F:F)</f>
        <v>121416</v>
      </c>
      <c r="E44" s="9">
        <f>SUMIF(Prophix!$Q:$Q,'Fds Units'!$A44,Prophix!G:G)</f>
        <v>102120</v>
      </c>
      <c r="F44" s="9">
        <f>SUMIF(Prophix!$Q:$Q,'Fds Units'!$A44,Prophix!H:H)</f>
        <v>81024</v>
      </c>
      <c r="G44" s="9">
        <f>SUMIF(Prophix!$Q:$Q,'Fds Units'!$A44,Prophix!I:I)</f>
        <v>0</v>
      </c>
      <c r="H44" s="9">
        <f>SUMIF(Prophix!$Q:$Q,'Fds Units'!$A44,Prophix!J:J)</f>
        <v>0</v>
      </c>
      <c r="I44" s="9">
        <f>SUMIF(Prophix!$Q:$Q,'Fds Units'!$A44,Prophix!K:K)</f>
        <v>0</v>
      </c>
      <c r="J44" s="9">
        <f>SUMIF(Prophix!$Q:$Q,'Fds Units'!$A44,Prophix!L:L)</f>
        <v>101952</v>
      </c>
      <c r="K44" s="9">
        <f>SUMIF(Prophix!$Q:$Q,'Fds Units'!$A44,Prophix!M:M)</f>
        <v>0</v>
      </c>
      <c r="L44" s="92">
        <f>_xlfn.XLOOKUP(FO44,Schedule!Z:Z,Schedule!Y:Y,0)</f>
        <v>0</v>
      </c>
      <c r="M44" s="133"/>
      <c r="N44" s="92">
        <f>SUMIF(Schedule!$R:$R,$FP44,Schedule!P:P)</f>
        <v>0</v>
      </c>
      <c r="O44" s="92">
        <f t="shared" si="443"/>
        <v>0</v>
      </c>
      <c r="P44" s="142">
        <f>-O44</f>
        <v>0</v>
      </c>
      <c r="Q44" s="133">
        <f t="shared" si="444"/>
        <v>0</v>
      </c>
      <c r="R44" s="92"/>
      <c r="S44" s="92"/>
      <c r="T44" s="186">
        <f t="shared" si="445"/>
        <v>0</v>
      </c>
      <c r="U44" s="9"/>
      <c r="V44" s="9"/>
      <c r="W44" s="9">
        <v>180000</v>
      </c>
      <c r="X44" s="9"/>
      <c r="Y44" s="8"/>
      <c r="Z44" s="9"/>
      <c r="AA44" s="9"/>
      <c r="AB44" s="242">
        <f t="shared" si="446"/>
        <v>0</v>
      </c>
      <c r="AC44" s="241">
        <v>180000</v>
      </c>
      <c r="AD44" s="165">
        <v>180000</v>
      </c>
      <c r="AE44" s="242">
        <f t="shared" si="447"/>
        <v>180000</v>
      </c>
      <c r="AF44" s="9">
        <v>0</v>
      </c>
      <c r="AG44" s="9">
        <v>0</v>
      </c>
      <c r="AH44" s="66"/>
      <c r="AI44" s="66"/>
      <c r="AJ44" s="66"/>
      <c r="AK44" s="66"/>
      <c r="AL44" s="66"/>
      <c r="AM44" s="66"/>
      <c r="AN44" s="66"/>
      <c r="AO44" s="59"/>
      <c r="AP44" s="8" t="s">
        <v>78</v>
      </c>
      <c r="AQ44" s="9">
        <v>100000</v>
      </c>
      <c r="AR44" s="10">
        <v>4</v>
      </c>
      <c r="AS44" s="8" t="s">
        <v>78</v>
      </c>
      <c r="AT44" s="9">
        <v>100000</v>
      </c>
      <c r="AU44" s="10">
        <v>4</v>
      </c>
      <c r="AV44" s="8" t="s">
        <v>78</v>
      </c>
      <c r="AW44" s="9">
        <v>100000</v>
      </c>
      <c r="AX44" s="10">
        <v>4</v>
      </c>
      <c r="AY44" s="8" t="s">
        <v>607</v>
      </c>
      <c r="AZ44" s="9">
        <v>105000</v>
      </c>
      <c r="BA44" s="10">
        <v>4</v>
      </c>
      <c r="BB44" s="8" t="s">
        <v>77</v>
      </c>
      <c r="BC44" s="9">
        <v>150000</v>
      </c>
      <c r="BD44" s="10">
        <v>6</v>
      </c>
      <c r="BE44" s="8" t="s">
        <v>78</v>
      </c>
      <c r="BF44" s="9">
        <v>100000</v>
      </c>
      <c r="BG44" s="10">
        <v>4</v>
      </c>
      <c r="BH44" s="8" t="s">
        <v>78</v>
      </c>
      <c r="BI44" s="9">
        <v>100000</v>
      </c>
      <c r="BJ44" s="10">
        <v>4</v>
      </c>
      <c r="BK44" s="8" t="s">
        <v>77</v>
      </c>
      <c r="BL44" s="9">
        <v>200000</v>
      </c>
      <c r="BM44" s="10">
        <v>7</v>
      </c>
      <c r="BN44" s="8" t="s">
        <v>77</v>
      </c>
      <c r="BO44" s="9">
        <v>200000</v>
      </c>
      <c r="BP44" s="10">
        <v>7</v>
      </c>
      <c r="BQ44" s="8" t="s">
        <v>77</v>
      </c>
      <c r="BR44" s="9">
        <v>200000</v>
      </c>
      <c r="BS44" s="10">
        <v>7</v>
      </c>
      <c r="BT44" s="8" t="s">
        <v>77</v>
      </c>
      <c r="BU44" s="9">
        <v>200000</v>
      </c>
      <c r="BV44" s="10">
        <v>7</v>
      </c>
      <c r="BW44" s="8" t="s">
        <v>74</v>
      </c>
      <c r="BX44" s="9">
        <v>175000</v>
      </c>
      <c r="BY44" s="10">
        <v>7</v>
      </c>
      <c r="BZ44" s="8" t="s">
        <v>74</v>
      </c>
      <c r="CA44" s="9">
        <v>175200</v>
      </c>
      <c r="CB44" s="10">
        <f t="shared" si="295"/>
        <v>7</v>
      </c>
      <c r="CC44" s="8" t="str">
        <f t="shared" si="296"/>
        <v>W3</v>
      </c>
      <c r="CD44" s="9">
        <f t="shared" si="297"/>
        <v>175200</v>
      </c>
      <c r="CE44" s="10">
        <f t="shared" si="298"/>
        <v>7</v>
      </c>
      <c r="CF44" s="8" t="str">
        <f t="shared" si="299"/>
        <v>W3</v>
      </c>
      <c r="CG44" s="9">
        <f t="shared" si="300"/>
        <v>175200</v>
      </c>
      <c r="CH44" s="10">
        <f t="shared" si="301"/>
        <v>7</v>
      </c>
      <c r="CI44" s="8" t="str">
        <f t="shared" si="302"/>
        <v>W3</v>
      </c>
      <c r="CJ44" s="9">
        <f t="shared" si="303"/>
        <v>175200</v>
      </c>
      <c r="CK44" s="10">
        <f t="shared" si="304"/>
        <v>7</v>
      </c>
      <c r="CL44" s="8" t="str">
        <f t="shared" si="251"/>
        <v>W3</v>
      </c>
      <c r="CM44" s="9">
        <f t="shared" si="252"/>
        <v>175200</v>
      </c>
      <c r="CN44" s="10">
        <f t="shared" si="253"/>
        <v>7</v>
      </c>
      <c r="CO44" s="8" t="str">
        <f t="shared" si="254"/>
        <v>W3</v>
      </c>
      <c r="CP44" s="9">
        <f t="shared" si="442"/>
        <v>175200</v>
      </c>
      <c r="CQ44" s="10">
        <f t="shared" si="255"/>
        <v>7</v>
      </c>
      <c r="CR44" s="8" t="str">
        <f t="shared" si="256"/>
        <v>W3</v>
      </c>
      <c r="CS44" s="9">
        <f t="shared" si="257"/>
        <v>175200</v>
      </c>
      <c r="CT44" s="10">
        <f t="shared" si="258"/>
        <v>7</v>
      </c>
      <c r="CU44" s="8" t="str">
        <f t="shared" si="259"/>
        <v>W3</v>
      </c>
      <c r="CV44" s="9">
        <f t="shared" si="260"/>
        <v>175200</v>
      </c>
      <c r="CW44" s="10">
        <f t="shared" si="261"/>
        <v>7</v>
      </c>
      <c r="CX44" s="8" t="str">
        <f t="shared" si="262"/>
        <v>W3</v>
      </c>
      <c r="CY44" s="9">
        <f t="shared" si="263"/>
        <v>175200</v>
      </c>
      <c r="CZ44" s="10">
        <f t="shared" si="264"/>
        <v>7</v>
      </c>
      <c r="DA44" s="8" t="str">
        <f t="shared" si="265"/>
        <v>W3</v>
      </c>
      <c r="DB44" s="9">
        <f t="shared" si="266"/>
        <v>175200</v>
      </c>
      <c r="DC44" s="10">
        <f t="shared" si="267"/>
        <v>7</v>
      </c>
      <c r="DD44" s="8" t="str">
        <f t="shared" si="268"/>
        <v>W3</v>
      </c>
      <c r="DE44" s="9">
        <f t="shared" si="269"/>
        <v>175200</v>
      </c>
      <c r="DF44" s="10">
        <f t="shared" si="270"/>
        <v>7</v>
      </c>
      <c r="DG44" s="8" t="str">
        <f t="shared" si="271"/>
        <v>W3</v>
      </c>
      <c r="DH44" s="9">
        <f t="shared" si="272"/>
        <v>175200</v>
      </c>
      <c r="DI44" s="10">
        <f t="shared" si="273"/>
        <v>7</v>
      </c>
      <c r="DK44" s="8">
        <f>IFERROR(ROUNDUP(+B44/$AQ44,0),0)</f>
        <v>0</v>
      </c>
      <c r="DL44" s="67">
        <f>IFERROR(ROUNDUP(+C44/$AT44,0),0)</f>
        <v>0</v>
      </c>
      <c r="DM44" s="67">
        <f>IFERROR(ROUNDUP(+D44/$AW44,0),0)</f>
        <v>2</v>
      </c>
      <c r="DN44" s="67">
        <f>IFERROR(ROUNDUP(+E44/$AZ44,0),0)</f>
        <v>1</v>
      </c>
      <c r="DO44" s="67">
        <f>IFERROR(ROUNDUP(+F44/$BC44,0),0)</f>
        <v>1</v>
      </c>
      <c r="DP44" s="67">
        <f>IFERROR(ROUNDUP(+G44/$BF44,0),0)</f>
        <v>0</v>
      </c>
      <c r="DQ44" s="9">
        <f>IFERROR(ROUNDUP(+$H44/$BI44,0),0)</f>
        <v>0</v>
      </c>
      <c r="DR44" s="9">
        <f>IFERROR(ROUNDUP(+I44/$BL44,0),0)</f>
        <v>0</v>
      </c>
      <c r="DS44" s="9">
        <f>IFERROR(ROUNDUP(J44/BO44,0),0)</f>
        <v>1</v>
      </c>
      <c r="DT44" s="9">
        <f>IFERROR(ROUNDUP(+K44/BR44,0),0)</f>
        <v>0</v>
      </c>
      <c r="DU44" s="9">
        <f>IFERROR(ROUNDUP(+N44/BU44,0),0)</f>
        <v>0</v>
      </c>
      <c r="DV44" s="10">
        <f>IFERROR(ROUNDUP(+R44/BX44,0),0)</f>
        <v>0</v>
      </c>
      <c r="DW44" s="9">
        <f>IFERROR(ROUNDUP(+V44/CA44,0),0)</f>
        <v>0</v>
      </c>
      <c r="DX44" s="9">
        <f>IFERROR(ROUNDUP(+Y44/CD44,0),0)</f>
        <v>0</v>
      </c>
      <c r="DY44" s="9">
        <f>IFERROR(ROUNDUP(+AE44/CG44,0),0)</f>
        <v>2</v>
      </c>
      <c r="DZ44" s="9">
        <f>IFERROR(ROUNDUP(+AF44/CJ44,0),0)</f>
        <v>0</v>
      </c>
      <c r="EA44" s="9">
        <f>IFERROR(ROUNDUP(+AG44/CM44,0),0)</f>
        <v>0</v>
      </c>
      <c r="EB44" s="9">
        <f>IFERROR(ROUNDUP(+AH44/CP44,0),0)</f>
        <v>0</v>
      </c>
      <c r="EC44" s="9">
        <f>IFERROR(ROUNDUP(+AI44/CS44,0),0)</f>
        <v>0</v>
      </c>
      <c r="ED44" s="9">
        <f>IFERROR(ROUNDUP(+AJ44/CV44,0),0)</f>
        <v>0</v>
      </c>
      <c r="EE44" s="9">
        <f>IFERROR(ROUNDUP(+AK44/CY44,0),0)</f>
        <v>0</v>
      </c>
      <c r="EF44" s="9">
        <f>IFERROR(ROUNDUP(+AL44/DB44,0),0)</f>
        <v>0</v>
      </c>
      <c r="EG44" s="9">
        <f>IFERROR(ROUNDUP(+AM44/DE44,0),0)</f>
        <v>0</v>
      </c>
      <c r="EH44" s="9">
        <f>IFERROR(ROUNDUP(+AN44/DH44,0),0)</f>
        <v>0</v>
      </c>
      <c r="EJ44" s="8">
        <f t="shared" si="305"/>
        <v>0</v>
      </c>
      <c r="EK44" s="9">
        <f t="shared" si="306"/>
        <v>0</v>
      </c>
      <c r="EL44" s="9">
        <f t="shared" si="307"/>
        <v>8</v>
      </c>
      <c r="EM44" s="9">
        <f t="shared" si="308"/>
        <v>4</v>
      </c>
      <c r="EN44" s="9">
        <f t="shared" si="309"/>
        <v>6</v>
      </c>
      <c r="EO44" s="9">
        <f t="shared" si="310"/>
        <v>0</v>
      </c>
      <c r="EP44" s="9">
        <f t="shared" si="275"/>
        <v>0</v>
      </c>
      <c r="EQ44" s="9">
        <f t="shared" si="276"/>
        <v>0</v>
      </c>
      <c r="ER44" s="9">
        <f t="shared" si="277"/>
        <v>7</v>
      </c>
      <c r="ES44" s="9">
        <f t="shared" si="278"/>
        <v>0</v>
      </c>
      <c r="ET44" s="9">
        <f t="shared" si="279"/>
        <v>0</v>
      </c>
      <c r="EU44" s="10">
        <f t="shared" si="280"/>
        <v>0</v>
      </c>
      <c r="EV44" s="9">
        <f t="shared" si="281"/>
        <v>0</v>
      </c>
      <c r="EW44" s="9">
        <f t="shared" si="282"/>
        <v>0</v>
      </c>
      <c r="EX44" s="9">
        <f t="shared" si="283"/>
        <v>14</v>
      </c>
      <c r="EY44" s="9">
        <f t="shared" si="284"/>
        <v>0</v>
      </c>
      <c r="EZ44" s="9">
        <f t="shared" si="285"/>
        <v>0</v>
      </c>
      <c r="FA44" s="9">
        <f t="shared" si="286"/>
        <v>0</v>
      </c>
      <c r="FB44" s="9">
        <f t="shared" si="287"/>
        <v>0</v>
      </c>
      <c r="FC44" s="9">
        <f t="shared" si="288"/>
        <v>0</v>
      </c>
      <c r="FD44" s="9">
        <f t="shared" si="289"/>
        <v>0</v>
      </c>
      <c r="FE44" s="9">
        <f t="shared" si="290"/>
        <v>0</v>
      </c>
      <c r="FF44" s="9">
        <f t="shared" si="291"/>
        <v>0</v>
      </c>
      <c r="FG44" s="9">
        <f t="shared" si="292"/>
        <v>0</v>
      </c>
      <c r="FO44" t="str">
        <f t="shared" si="396"/>
        <v xml:space="preserve">            (85215) FLB CHILI W/BEANSW2</v>
      </c>
      <c r="FP44" t="str">
        <f t="shared" si="397"/>
        <v xml:space="preserve">            (85215) FLB CHILI W/BEANSW2</v>
      </c>
      <c r="FQ44" t="str">
        <f t="shared" si="398"/>
        <v xml:space="preserve">            (85215) FLB CHILI W/BEANSW3</v>
      </c>
      <c r="FR44" t="s">
        <v>861</v>
      </c>
    </row>
    <row r="45" spans="1:174" s="48" customFormat="1" outlineLevel="1" x14ac:dyDescent="0.25">
      <c r="A45" s="217" t="s">
        <v>32</v>
      </c>
      <c r="B45" s="223">
        <f t="shared" ref="B45:E45" si="449">SUM(B46:B51)</f>
        <v>274032</v>
      </c>
      <c r="C45" s="175">
        <f t="shared" si="449"/>
        <v>279768</v>
      </c>
      <c r="D45" s="175">
        <f t="shared" si="449"/>
        <v>831336</v>
      </c>
      <c r="E45" s="175">
        <f t="shared" si="449"/>
        <v>1205136</v>
      </c>
      <c r="F45" s="175">
        <f t="shared" ref="F45:G45" si="450">SUM(F46:F51)</f>
        <v>493680</v>
      </c>
      <c r="G45" s="175">
        <f t="shared" si="450"/>
        <v>1240200</v>
      </c>
      <c r="H45" s="175">
        <f t="shared" ref="H45:I45" si="451">SUM(H46:H51)</f>
        <v>830064</v>
      </c>
      <c r="I45" s="175">
        <f t="shared" si="451"/>
        <v>0</v>
      </c>
      <c r="J45" s="175">
        <f t="shared" ref="J45:L45" si="452">SUM(J46:J51)</f>
        <v>426384</v>
      </c>
      <c r="K45" s="175">
        <f t="shared" ref="K45" si="453">SUM(K46:K51)</f>
        <v>0</v>
      </c>
      <c r="L45" s="175">
        <f t="shared" si="452"/>
        <v>43464</v>
      </c>
      <c r="M45" s="218">
        <f t="shared" ref="M45:T45" si="454">SUM(M46:M51)</f>
        <v>0</v>
      </c>
      <c r="N45" s="175">
        <f t="shared" ref="N45" si="455">SUM(N46:N51)</f>
        <v>0</v>
      </c>
      <c r="O45" s="175">
        <f t="shared" ref="O45" si="456">SUM(O46:O51)</f>
        <v>43464</v>
      </c>
      <c r="P45" s="224">
        <f t="shared" ref="P45:Q45" si="457">SUM(P46:P51)</f>
        <v>0</v>
      </c>
      <c r="Q45" s="218">
        <f t="shared" si="457"/>
        <v>0</v>
      </c>
      <c r="R45" s="175">
        <f t="shared" ref="R45:S45" si="458">SUM(R46:R51)</f>
        <v>249984</v>
      </c>
      <c r="S45" s="175">
        <f t="shared" si="458"/>
        <v>95064</v>
      </c>
      <c r="T45" s="219">
        <f t="shared" si="454"/>
        <v>-154920</v>
      </c>
      <c r="U45" s="175">
        <f>SUM(U46:U51)</f>
        <v>750000</v>
      </c>
      <c r="V45" s="220">
        <f>SUM(V46:V51)</f>
        <v>724800</v>
      </c>
      <c r="W45" s="220">
        <v>0</v>
      </c>
      <c r="X45" s="220">
        <f t="shared" ref="X45" si="459">SUM(X46:X51)</f>
        <v>623155</v>
      </c>
      <c r="Y45" s="243"/>
      <c r="Z45" s="220">
        <f>SUM(Z46:Z51)</f>
        <v>700800</v>
      </c>
      <c r="AA45" s="220">
        <f t="shared" ref="AA45" si="460">SUM(AA46:AA51)</f>
        <v>411528</v>
      </c>
      <c r="AB45" s="244">
        <f>SUM(AB46:AB51)</f>
        <v>-289272</v>
      </c>
      <c r="AC45" s="243">
        <f t="shared" ref="AC45:AG45" si="461">SUM(AC46:AC51)</f>
        <v>1065600</v>
      </c>
      <c r="AD45" s="220">
        <f t="shared" si="461"/>
        <v>1591200</v>
      </c>
      <c r="AE45" s="244">
        <f t="shared" si="461"/>
        <v>1576800</v>
      </c>
      <c r="AF45" s="220">
        <f t="shared" si="461"/>
        <v>447300</v>
      </c>
      <c r="AG45" s="220">
        <f t="shared" si="461"/>
        <v>1225000</v>
      </c>
      <c r="AH45" s="220">
        <f t="shared" ref="AH45:AN45" si="462">666667*$AO$26</f>
        <v>500000.25</v>
      </c>
      <c r="AI45" s="220">
        <f t="shared" si="462"/>
        <v>500000.25</v>
      </c>
      <c r="AJ45" s="220">
        <f t="shared" si="462"/>
        <v>500000.25</v>
      </c>
      <c r="AK45" s="220">
        <f t="shared" si="462"/>
        <v>500000.25</v>
      </c>
      <c r="AL45" s="220">
        <f t="shared" si="462"/>
        <v>500000.25</v>
      </c>
      <c r="AM45" s="220">
        <f t="shared" si="462"/>
        <v>500000.25</v>
      </c>
      <c r="AN45" s="220">
        <f t="shared" si="462"/>
        <v>500000.25</v>
      </c>
      <c r="AO45" s="179"/>
      <c r="AP45" s="221"/>
      <c r="AQ45" s="175"/>
      <c r="AR45" s="222"/>
      <c r="AS45" s="221"/>
      <c r="AT45" s="175"/>
      <c r="AU45" s="222"/>
      <c r="AV45" s="221"/>
      <c r="AW45" s="175"/>
      <c r="AX45" s="222"/>
      <c r="AY45" s="221"/>
      <c r="AZ45" s="175"/>
      <c r="BA45" s="222"/>
      <c r="BB45" s="221"/>
      <c r="BC45" s="175"/>
      <c r="BD45" s="222"/>
      <c r="BE45" s="221"/>
      <c r="BF45" s="175"/>
      <c r="BG45" s="222"/>
      <c r="BH45" s="221"/>
      <c r="BI45" s="175"/>
      <c r="BJ45" s="222"/>
      <c r="BK45" s="221"/>
      <c r="BL45" s="175"/>
      <c r="BM45" s="222"/>
      <c r="BN45" s="221"/>
      <c r="BO45" s="175"/>
      <c r="BP45" s="222"/>
      <c r="BQ45" s="221"/>
      <c r="BR45" s="175"/>
      <c r="BS45" s="222"/>
      <c r="BT45" s="221"/>
      <c r="BU45" s="175"/>
      <c r="BV45" s="222"/>
      <c r="BW45" s="221"/>
      <c r="BX45" s="175"/>
      <c r="BY45" s="222"/>
      <c r="BZ45" s="221"/>
      <c r="CA45" s="175"/>
      <c r="CB45" s="222"/>
      <c r="CC45" s="221"/>
      <c r="CD45" s="175"/>
      <c r="CE45" s="222"/>
      <c r="CF45" s="221"/>
      <c r="CG45" s="175"/>
      <c r="CH45" s="222"/>
      <c r="CI45" s="221" t="str">
        <f>+CI46</f>
        <v>W3</v>
      </c>
      <c r="CJ45" s="175">
        <f t="shared" ref="CJ45" si="463">+CJ46</f>
        <v>175000</v>
      </c>
      <c r="CK45" s="222">
        <f t="shared" ref="CK45" si="464">+CK46</f>
        <v>7</v>
      </c>
      <c r="CL45" s="221" t="str">
        <f t="shared" si="251"/>
        <v>W3</v>
      </c>
      <c r="CM45" s="175">
        <f t="shared" si="252"/>
        <v>175000</v>
      </c>
      <c r="CN45" s="222">
        <f t="shared" si="253"/>
        <v>7</v>
      </c>
      <c r="CO45" s="221" t="str">
        <f t="shared" si="254"/>
        <v>W3</v>
      </c>
      <c r="CP45" s="175">
        <f t="shared" si="442"/>
        <v>175000</v>
      </c>
      <c r="CQ45" s="222">
        <f t="shared" si="255"/>
        <v>7</v>
      </c>
      <c r="CR45" s="221" t="str">
        <f t="shared" si="256"/>
        <v>W3</v>
      </c>
      <c r="CS45" s="175">
        <f t="shared" si="257"/>
        <v>175000</v>
      </c>
      <c r="CT45" s="222">
        <f t="shared" si="258"/>
        <v>7</v>
      </c>
      <c r="CU45" s="221" t="str">
        <f t="shared" si="259"/>
        <v>W3</v>
      </c>
      <c r="CV45" s="175">
        <f t="shared" si="260"/>
        <v>175000</v>
      </c>
      <c r="CW45" s="222">
        <f t="shared" si="261"/>
        <v>7</v>
      </c>
      <c r="CX45" s="221" t="str">
        <f t="shared" si="262"/>
        <v>W3</v>
      </c>
      <c r="CY45" s="175">
        <f t="shared" si="263"/>
        <v>175000</v>
      </c>
      <c r="CZ45" s="222">
        <f t="shared" si="264"/>
        <v>7</v>
      </c>
      <c r="DA45" s="221" t="str">
        <f t="shared" si="265"/>
        <v>W3</v>
      </c>
      <c r="DB45" s="175">
        <f t="shared" si="266"/>
        <v>175000</v>
      </c>
      <c r="DC45" s="222">
        <f t="shared" si="267"/>
        <v>7</v>
      </c>
      <c r="DD45" s="221" t="str">
        <f t="shared" si="268"/>
        <v>W3</v>
      </c>
      <c r="DE45" s="175">
        <f t="shared" si="269"/>
        <v>175000</v>
      </c>
      <c r="DF45" s="222">
        <f t="shared" si="270"/>
        <v>7</v>
      </c>
      <c r="DG45" s="221" t="str">
        <f t="shared" si="271"/>
        <v>W3</v>
      </c>
      <c r="DH45" s="175">
        <f t="shared" si="272"/>
        <v>175000</v>
      </c>
      <c r="DI45" s="222">
        <f t="shared" si="273"/>
        <v>7</v>
      </c>
      <c r="DK45" s="221"/>
      <c r="DL45" s="175"/>
      <c r="DM45" s="175"/>
      <c r="DN45" s="175"/>
      <c r="DO45" s="175"/>
      <c r="DP45" s="175"/>
      <c r="DQ45" s="175"/>
      <c r="DR45" s="175"/>
      <c r="DS45" s="175"/>
      <c r="DT45" s="175"/>
      <c r="DU45" s="175"/>
      <c r="DV45" s="222"/>
      <c r="DW45" s="175">
        <f>IFERROR(ROUNDUP(+Y45/CA45,0),0)</f>
        <v>0</v>
      </c>
      <c r="DX45" s="175">
        <f>IFERROR(ROUNDUP(+AE45/CD45,0),0)</f>
        <v>0</v>
      </c>
      <c r="DY45" s="175">
        <f>IFERROR(ROUNDUP(+AF45/CG45,0),0)</f>
        <v>0</v>
      </c>
      <c r="DZ45" s="175">
        <f>IFERROR(ROUNDUP(+AG45/CJ45,0),0)</f>
        <v>7</v>
      </c>
      <c r="EA45" s="175">
        <f>IFERROR(ROUNDUP(+AH45/CM45,0),0)</f>
        <v>3</v>
      </c>
      <c r="EB45" s="175">
        <f>IFERROR(ROUNDUP(+AI45/CP45,0),0)</f>
        <v>3</v>
      </c>
      <c r="EC45" s="175">
        <f>IFERROR(ROUNDUP(+AJ45/CS45,0),0)</f>
        <v>3</v>
      </c>
      <c r="ED45" s="175">
        <f>IFERROR(ROUNDUP(+AK45/CV45,0),0)</f>
        <v>3</v>
      </c>
      <c r="EE45" s="175">
        <f>IFERROR(ROUNDUP(+AL45/CY45,0),0)</f>
        <v>3</v>
      </c>
      <c r="EF45" s="175">
        <f>IFERROR(ROUNDUP(+AM45/DB45,0),0)</f>
        <v>3</v>
      </c>
      <c r="EG45" s="175">
        <f>IFERROR(ROUNDUP(+AN45/DE45,0),0)</f>
        <v>3</v>
      </c>
      <c r="EH45" s="175">
        <f>IFERROR(ROUNDUP(+#REF!/DH45,0),0)</f>
        <v>0</v>
      </c>
      <c r="EJ45" s="221">
        <f t="shared" si="305"/>
        <v>0</v>
      </c>
      <c r="EK45" s="175">
        <f t="shared" si="306"/>
        <v>0</v>
      </c>
      <c r="EL45" s="175">
        <f t="shared" si="307"/>
        <v>0</v>
      </c>
      <c r="EM45" s="175">
        <f t="shared" si="308"/>
        <v>0</v>
      </c>
      <c r="EN45" s="175">
        <f t="shared" si="309"/>
        <v>0</v>
      </c>
      <c r="EO45" s="175">
        <f t="shared" si="310"/>
        <v>0</v>
      </c>
      <c r="EP45" s="175">
        <f t="shared" si="275"/>
        <v>0</v>
      </c>
      <c r="EQ45" s="175">
        <f t="shared" si="276"/>
        <v>0</v>
      </c>
      <c r="ER45" s="175">
        <f t="shared" si="277"/>
        <v>0</v>
      </c>
      <c r="ES45" s="175">
        <f t="shared" si="278"/>
        <v>0</v>
      </c>
      <c r="ET45" s="175">
        <f t="shared" si="279"/>
        <v>0</v>
      </c>
      <c r="EU45" s="222">
        <f t="shared" si="280"/>
        <v>0</v>
      </c>
      <c r="EV45" s="175">
        <f t="shared" si="281"/>
        <v>0</v>
      </c>
      <c r="EW45" s="175">
        <f t="shared" si="282"/>
        <v>0</v>
      </c>
      <c r="EX45" s="175">
        <f t="shared" si="283"/>
        <v>0</v>
      </c>
      <c r="EY45" s="175">
        <f t="shared" si="284"/>
        <v>49</v>
      </c>
      <c r="EZ45" s="175">
        <f t="shared" si="285"/>
        <v>21</v>
      </c>
      <c r="FA45" s="175">
        <f t="shared" si="286"/>
        <v>21</v>
      </c>
      <c r="FB45" s="175">
        <f t="shared" si="287"/>
        <v>21</v>
      </c>
      <c r="FC45" s="175">
        <f t="shared" si="288"/>
        <v>21</v>
      </c>
      <c r="FD45" s="175">
        <f t="shared" si="289"/>
        <v>21</v>
      </c>
      <c r="FE45" s="175">
        <f t="shared" si="290"/>
        <v>21</v>
      </c>
      <c r="FF45" s="175">
        <f t="shared" si="291"/>
        <v>21</v>
      </c>
      <c r="FG45" s="175">
        <f t="shared" si="292"/>
        <v>0</v>
      </c>
      <c r="FO45" s="48" t="str">
        <f t="shared" si="396"/>
        <v>7 OZ</v>
      </c>
      <c r="FP45" s="48" t="str">
        <f t="shared" si="397"/>
        <v>7 OZ</v>
      </c>
      <c r="FQ45" s="48" t="str">
        <f t="shared" si="398"/>
        <v>7 OZ</v>
      </c>
      <c r="FR45" s="48">
        <v>0</v>
      </c>
    </row>
    <row r="46" spans="1:174" outlineLevel="2" x14ac:dyDescent="0.25">
      <c r="A46" s="43" t="s">
        <v>33</v>
      </c>
      <c r="B46" s="9">
        <f>SUMIF(Prophix!$Q:$Q,'Fds Units'!$A46,Prophix!D:D)</f>
        <v>178464</v>
      </c>
      <c r="C46" s="9">
        <f>SUMIF(Prophix!$Q:$Q,'Fds Units'!$A46,Prophix!E:E)</f>
        <v>0</v>
      </c>
      <c r="D46" s="9">
        <f>SUMIF(Prophix!$Q:$Q,'Fds Units'!$A46,Prophix!F:F)</f>
        <v>210936</v>
      </c>
      <c r="E46" s="9">
        <f>SUMIF(Prophix!$Q:$Q,'Fds Units'!$A46,Prophix!G:G)</f>
        <v>698256</v>
      </c>
      <c r="F46" s="9">
        <f>SUMIF(Prophix!$Q:$Q,'Fds Units'!$A46,Prophix!H:H)</f>
        <v>98064</v>
      </c>
      <c r="G46" s="9">
        <f>SUMIF(Prophix!$Q:$Q,'Fds Units'!$A46,Prophix!I:I)</f>
        <v>0</v>
      </c>
      <c r="H46" s="9">
        <f>SUMIF(Prophix!$Q:$Q,'Fds Units'!$A46,Prophix!J:J)</f>
        <v>316464</v>
      </c>
      <c r="I46" s="9">
        <f>SUMIF(Prophix!$Q:$Q,'Fds Units'!$A46,Prophix!K:K)</f>
        <v>0</v>
      </c>
      <c r="J46" s="9">
        <f>SUMIF(Prophix!$Q:$Q,'Fds Units'!$A46,Prophix!L:L)</f>
        <v>0</v>
      </c>
      <c r="K46" s="9">
        <f>SUMIF(Prophix!$Q:$Q,'Fds Units'!$A46,Prophix!M:M)</f>
        <v>0</v>
      </c>
      <c r="L46" s="92">
        <f>_xlfn.XLOOKUP(FO46,Schedule!Z:Z,Schedule!Y:Y,0)</f>
        <v>0</v>
      </c>
      <c r="M46" s="133"/>
      <c r="N46" s="92">
        <f>SUMIF(Schedule!$R:$R,$FP46,Schedule!P:P)</f>
        <v>0</v>
      </c>
      <c r="O46" s="92">
        <f t="shared" ref="O46:O51" si="465">L46-N46</f>
        <v>0</v>
      </c>
      <c r="P46" s="142"/>
      <c r="Q46" s="133">
        <f t="shared" ref="Q46:Q49" si="466">+P46-O46</f>
        <v>0</v>
      </c>
      <c r="R46" s="92">
        <v>150000</v>
      </c>
      <c r="S46" s="92"/>
      <c r="T46" s="186">
        <f t="shared" ref="T46:T51" si="467">S46-R46</f>
        <v>-150000</v>
      </c>
      <c r="U46" s="9">
        <v>450000</v>
      </c>
      <c r="V46" s="9"/>
      <c r="W46" s="9"/>
      <c r="X46" s="9"/>
      <c r="Y46" s="8"/>
      <c r="Z46" s="9"/>
      <c r="AA46" s="9"/>
      <c r="AB46" s="242">
        <f t="shared" si="446"/>
        <v>0</v>
      </c>
      <c r="AC46" s="241">
        <v>180000</v>
      </c>
      <c r="AD46" s="165">
        <v>180000</v>
      </c>
      <c r="AE46" s="242">
        <v>0</v>
      </c>
      <c r="AF46" s="9">
        <v>0</v>
      </c>
      <c r="AG46" s="9">
        <v>175000</v>
      </c>
      <c r="AH46" s="66"/>
      <c r="AI46" s="66"/>
      <c r="AJ46" s="66"/>
      <c r="AK46" s="66"/>
      <c r="AL46" s="66"/>
      <c r="AM46" s="66"/>
      <c r="AN46" s="66"/>
      <c r="AO46" s="59"/>
      <c r="AP46" s="8" t="s">
        <v>78</v>
      </c>
      <c r="AQ46" s="9">
        <v>115000</v>
      </c>
      <c r="AR46" s="10">
        <v>5</v>
      </c>
      <c r="AS46" s="8" t="s">
        <v>78</v>
      </c>
      <c r="AT46" s="9">
        <v>100000</v>
      </c>
      <c r="AU46" s="10">
        <v>4</v>
      </c>
      <c r="AV46" s="8" t="s">
        <v>78</v>
      </c>
      <c r="AW46" s="9">
        <v>110000</v>
      </c>
      <c r="AX46" s="10">
        <v>4</v>
      </c>
      <c r="AY46" s="8" t="s">
        <v>77</v>
      </c>
      <c r="AZ46" s="9">
        <v>200000</v>
      </c>
      <c r="BA46" s="10">
        <v>7</v>
      </c>
      <c r="BB46" s="8" t="s">
        <v>78</v>
      </c>
      <c r="BC46" s="9">
        <v>100008</v>
      </c>
      <c r="BD46" s="10">
        <v>4</v>
      </c>
      <c r="BE46" s="8" t="s">
        <v>78</v>
      </c>
      <c r="BF46" s="9">
        <v>100008</v>
      </c>
      <c r="BG46" s="10">
        <v>4</v>
      </c>
      <c r="BH46" s="8" t="s">
        <v>78</v>
      </c>
      <c r="BI46" s="9">
        <f>+H46/3</f>
        <v>105488</v>
      </c>
      <c r="BJ46" s="10">
        <v>4</v>
      </c>
      <c r="BK46" s="8" t="s">
        <v>77</v>
      </c>
      <c r="BL46" s="9">
        <v>200000</v>
      </c>
      <c r="BM46" s="10">
        <v>7</v>
      </c>
      <c r="BN46" s="8" t="s">
        <v>77</v>
      </c>
      <c r="BO46" s="9">
        <v>200000</v>
      </c>
      <c r="BP46" s="10">
        <v>7</v>
      </c>
      <c r="BQ46" s="8" t="s">
        <v>77</v>
      </c>
      <c r="BR46" s="9">
        <v>200000</v>
      </c>
      <c r="BS46" s="10">
        <v>7</v>
      </c>
      <c r="BT46" s="8" t="s">
        <v>77</v>
      </c>
      <c r="BU46" s="9">
        <v>200000</v>
      </c>
      <c r="BV46" s="10">
        <v>7</v>
      </c>
      <c r="BW46" s="8" t="s">
        <v>74</v>
      </c>
      <c r="BX46" s="9">
        <v>175000</v>
      </c>
      <c r="BY46" s="10">
        <v>7</v>
      </c>
      <c r="BZ46" s="8" t="s">
        <v>74</v>
      </c>
      <c r="CA46" s="9">
        <v>175000</v>
      </c>
      <c r="CB46" s="10">
        <f t="shared" si="295"/>
        <v>7</v>
      </c>
      <c r="CC46" s="8" t="str">
        <f t="shared" si="296"/>
        <v>W3</v>
      </c>
      <c r="CD46" s="9">
        <f t="shared" si="297"/>
        <v>175000</v>
      </c>
      <c r="CE46" s="10">
        <f t="shared" si="298"/>
        <v>7</v>
      </c>
      <c r="CF46" s="8" t="str">
        <f t="shared" si="299"/>
        <v>W3</v>
      </c>
      <c r="CG46" s="9">
        <f t="shared" si="300"/>
        <v>175000</v>
      </c>
      <c r="CH46" s="10">
        <f t="shared" si="301"/>
        <v>7</v>
      </c>
      <c r="CI46" s="8" t="str">
        <f t="shared" si="302"/>
        <v>W3</v>
      </c>
      <c r="CJ46" s="9">
        <f t="shared" si="303"/>
        <v>175000</v>
      </c>
      <c r="CK46" s="10">
        <f t="shared" si="304"/>
        <v>7</v>
      </c>
      <c r="CL46" s="8" t="str">
        <f t="shared" si="251"/>
        <v>W3</v>
      </c>
      <c r="CM46" s="9">
        <f t="shared" si="252"/>
        <v>175000</v>
      </c>
      <c r="CN46" s="10">
        <f t="shared" si="253"/>
        <v>7</v>
      </c>
      <c r="CO46" s="8" t="str">
        <f t="shared" si="254"/>
        <v>W3</v>
      </c>
      <c r="CP46" s="9">
        <f t="shared" si="442"/>
        <v>175000</v>
      </c>
      <c r="CQ46" s="10">
        <f t="shared" si="255"/>
        <v>7</v>
      </c>
      <c r="CR46" s="8" t="str">
        <f t="shared" si="256"/>
        <v>W3</v>
      </c>
      <c r="CS46" s="9">
        <f t="shared" si="257"/>
        <v>175000</v>
      </c>
      <c r="CT46" s="10">
        <f t="shared" si="258"/>
        <v>7</v>
      </c>
      <c r="CU46" s="8" t="str">
        <f t="shared" si="259"/>
        <v>W3</v>
      </c>
      <c r="CV46" s="9">
        <f t="shared" si="260"/>
        <v>175000</v>
      </c>
      <c r="CW46" s="10">
        <f t="shared" si="261"/>
        <v>7</v>
      </c>
      <c r="CX46" s="8" t="str">
        <f t="shared" si="262"/>
        <v>W3</v>
      </c>
      <c r="CY46" s="9">
        <f t="shared" si="263"/>
        <v>175000</v>
      </c>
      <c r="CZ46" s="10">
        <f t="shared" si="264"/>
        <v>7</v>
      </c>
      <c r="DA46" s="8" t="str">
        <f t="shared" si="265"/>
        <v>W3</v>
      </c>
      <c r="DB46" s="9">
        <f t="shared" si="266"/>
        <v>175000</v>
      </c>
      <c r="DC46" s="10">
        <f t="shared" si="267"/>
        <v>7</v>
      </c>
      <c r="DD46" s="8" t="str">
        <f t="shared" si="268"/>
        <v>W3</v>
      </c>
      <c r="DE46" s="9">
        <f t="shared" si="269"/>
        <v>175000</v>
      </c>
      <c r="DF46" s="10">
        <f t="shared" si="270"/>
        <v>7</v>
      </c>
      <c r="DG46" s="8" t="str">
        <f t="shared" si="271"/>
        <v>W3</v>
      </c>
      <c r="DH46" s="9">
        <f t="shared" si="272"/>
        <v>175000</v>
      </c>
      <c r="DI46" s="10">
        <f t="shared" si="273"/>
        <v>7</v>
      </c>
      <c r="DK46" s="72">
        <f t="shared" ref="DK46:DK51" si="468">IFERROR(ROUNDUP(+B46/$AQ46,0),0)</f>
        <v>2</v>
      </c>
      <c r="DL46" s="67">
        <f t="shared" ref="DL46:DL51" si="469">IFERROR(ROUNDUP(+C46/$AT46,0),0)</f>
        <v>0</v>
      </c>
      <c r="DM46" s="67">
        <f t="shared" ref="DM46:DM51" si="470">IFERROR(ROUNDUP(+D46/$AW46,0),0)</f>
        <v>2</v>
      </c>
      <c r="DN46" s="9">
        <v>3</v>
      </c>
      <c r="DO46" s="67">
        <f t="shared" ref="DO46:DO51" si="471">IFERROR(ROUNDUP(+F46/$BC46,0),0)</f>
        <v>1</v>
      </c>
      <c r="DP46" s="67">
        <f t="shared" ref="DP46:DP51" si="472">IFERROR(ROUNDUP(+G46/$BF46,0),0)</f>
        <v>0</v>
      </c>
      <c r="DQ46" s="9">
        <f t="shared" ref="DQ46:DQ51" si="473">IFERROR(ROUNDUP(+$H46/$BI46,0),0)</f>
        <v>3</v>
      </c>
      <c r="DR46" s="9">
        <f t="shared" ref="DR46:DR51" si="474">IFERROR(ROUNDUP(+I46/$BL46,0),0)</f>
        <v>0</v>
      </c>
      <c r="DS46" s="9">
        <f t="shared" ref="DS46:DS51" si="475">IFERROR(ROUNDUP(J46/BO46,0),0)</f>
        <v>0</v>
      </c>
      <c r="DT46" s="9">
        <f t="shared" ref="DT46:DT51" si="476">IFERROR(ROUNDUP(+K46/BR46,0),0)</f>
        <v>0</v>
      </c>
      <c r="DU46" s="9">
        <f t="shared" ref="DU46:DU51" si="477">IFERROR(ROUNDUP(+N46/BU46,0),0)</f>
        <v>0</v>
      </c>
      <c r="DV46" s="10">
        <f t="shared" ref="DV46:DV51" si="478">IFERROR(ROUNDUP(+R46/BX46,0),0)</f>
        <v>1</v>
      </c>
      <c r="DW46" s="9">
        <f t="shared" ref="DW46:DW51" si="479">IFERROR(ROUNDUP(+V46/CA46,0),0)</f>
        <v>0</v>
      </c>
      <c r="DX46" s="9">
        <f t="shared" ref="DX46:DX51" si="480">IFERROR(ROUNDUP(+Y46/CD46,0),0)</f>
        <v>0</v>
      </c>
      <c r="DY46" s="9">
        <f t="shared" ref="DY46:DY51" si="481">IFERROR(ROUNDUP(+AE46/CG46,0),0)</f>
        <v>0</v>
      </c>
      <c r="DZ46" s="9">
        <f t="shared" ref="DZ46:DZ51" si="482">IFERROR(ROUNDUP(+AF46/CJ46,0),0)</f>
        <v>0</v>
      </c>
      <c r="EA46" s="9">
        <f t="shared" ref="EA46:EA51" si="483">IFERROR(ROUNDUP(+AG46/CM46,0),0)</f>
        <v>1</v>
      </c>
      <c r="EB46" s="9">
        <f t="shared" ref="EB46:EB51" si="484">IFERROR(ROUNDUP(+AH46/CP46,0),0)</f>
        <v>0</v>
      </c>
      <c r="EC46" s="9">
        <f t="shared" ref="EC46:EC51" si="485">IFERROR(ROUNDUP(+AI46/CS46,0),0)</f>
        <v>0</v>
      </c>
      <c r="ED46" s="9">
        <f t="shared" ref="ED46:ED51" si="486">IFERROR(ROUNDUP(+AJ46/CV46,0),0)</f>
        <v>0</v>
      </c>
      <c r="EE46" s="9">
        <f t="shared" ref="EE46:EE51" si="487">IFERROR(ROUNDUP(+AK46/CY46,0),0)</f>
        <v>0</v>
      </c>
      <c r="EF46" s="9">
        <f t="shared" ref="EF46:EF51" si="488">IFERROR(ROUNDUP(+AL46/DB46,0),0)</f>
        <v>0</v>
      </c>
      <c r="EG46" s="9">
        <f t="shared" ref="EG46:EG51" si="489">IFERROR(ROUNDUP(+AM46/DE46,0),0)</f>
        <v>0</v>
      </c>
      <c r="EH46" s="9">
        <f t="shared" ref="EH46:EH51" si="490">IFERROR(ROUNDUP(+AN46/DH46,0),0)</f>
        <v>0</v>
      </c>
      <c r="EJ46" s="8">
        <f t="shared" si="305"/>
        <v>10</v>
      </c>
      <c r="EK46" s="9">
        <f t="shared" si="306"/>
        <v>0</v>
      </c>
      <c r="EL46" s="9">
        <f t="shared" si="307"/>
        <v>8</v>
      </c>
      <c r="EM46" s="9">
        <f t="shared" si="308"/>
        <v>21</v>
      </c>
      <c r="EN46" s="9">
        <f t="shared" si="309"/>
        <v>4</v>
      </c>
      <c r="EO46" s="9">
        <f t="shared" si="310"/>
        <v>0</v>
      </c>
      <c r="EP46" s="9">
        <f t="shared" si="275"/>
        <v>12</v>
      </c>
      <c r="EQ46" s="9">
        <f t="shared" si="276"/>
        <v>0</v>
      </c>
      <c r="ER46" s="9">
        <f t="shared" si="277"/>
        <v>0</v>
      </c>
      <c r="ES46" s="9">
        <f t="shared" si="278"/>
        <v>0</v>
      </c>
      <c r="ET46" s="9">
        <f t="shared" si="279"/>
        <v>0</v>
      </c>
      <c r="EU46" s="10">
        <f t="shared" si="280"/>
        <v>7</v>
      </c>
      <c r="EV46" s="9">
        <f t="shared" si="281"/>
        <v>0</v>
      </c>
      <c r="EW46" s="9">
        <f t="shared" si="282"/>
        <v>0</v>
      </c>
      <c r="EX46" s="9">
        <f t="shared" si="283"/>
        <v>0</v>
      </c>
      <c r="EY46" s="9">
        <f t="shared" si="284"/>
        <v>0</v>
      </c>
      <c r="EZ46" s="9">
        <f t="shared" si="285"/>
        <v>7</v>
      </c>
      <c r="FA46" s="9">
        <f t="shared" si="286"/>
        <v>0</v>
      </c>
      <c r="FB46" s="9">
        <f t="shared" si="287"/>
        <v>0</v>
      </c>
      <c r="FC46" s="9">
        <f t="shared" si="288"/>
        <v>0</v>
      </c>
      <c r="FD46" s="9">
        <f t="shared" si="289"/>
        <v>0</v>
      </c>
      <c r="FE46" s="9">
        <f t="shared" si="290"/>
        <v>0</v>
      </c>
      <c r="FF46" s="9">
        <f t="shared" si="291"/>
        <v>0</v>
      </c>
      <c r="FG46" s="9">
        <f t="shared" si="292"/>
        <v>0</v>
      </c>
      <c r="FO46" t="str">
        <f t="shared" si="396"/>
        <v xml:space="preserve">            (85211) FLB BEEF STEWW2</v>
      </c>
      <c r="FP46" t="str">
        <f t="shared" si="397"/>
        <v xml:space="preserve">            (85211) FLB BEEF STEWW2</v>
      </c>
      <c r="FQ46" t="str">
        <f t="shared" si="398"/>
        <v xml:space="preserve">            (85211) FLB BEEF STEWW3</v>
      </c>
      <c r="FR46" t="s">
        <v>862</v>
      </c>
    </row>
    <row r="47" spans="1:174" outlineLevel="2" x14ac:dyDescent="0.25">
      <c r="A47" s="43" t="s">
        <v>34</v>
      </c>
      <c r="B47" s="9">
        <f>SUMIF(Prophix!$Q:$Q,'Fds Units'!$A47,Prophix!D:D)</f>
        <v>0</v>
      </c>
      <c r="C47" s="9">
        <f>SUMIF(Prophix!$Q:$Q,'Fds Units'!$A47,Prophix!E:E)</f>
        <v>107208</v>
      </c>
      <c r="D47" s="9">
        <f>SUMIF(Prophix!$Q:$Q,'Fds Units'!$A47,Prophix!F:F)</f>
        <v>420216</v>
      </c>
      <c r="E47" s="9">
        <f>SUMIF(Prophix!$Q:$Q,'Fds Units'!$A47,Prophix!G:G)</f>
        <v>97896</v>
      </c>
      <c r="F47" s="9">
        <f>SUMIF(Prophix!$Q:$Q,'Fds Units'!$A47,Prophix!H:H)</f>
        <v>104040</v>
      </c>
      <c r="G47" s="9">
        <f>SUMIF(Prophix!$Q:$Q,'Fds Units'!$A47,Prophix!I:I)</f>
        <v>772584</v>
      </c>
      <c r="H47" s="9">
        <f>SUMIF(Prophix!$Q:$Q,'Fds Units'!$A47,Prophix!J:J)</f>
        <v>409944</v>
      </c>
      <c r="I47" s="9">
        <f>SUMIF(Prophix!$Q:$Q,'Fds Units'!$A47,Prophix!K:K)</f>
        <v>0</v>
      </c>
      <c r="J47" s="9">
        <f>SUMIF(Prophix!$Q:$Q,'Fds Units'!$A47,Prophix!L:L)</f>
        <v>0</v>
      </c>
      <c r="K47" s="9">
        <f>SUMIF(Prophix!$Q:$Q,'Fds Units'!$A47,Prophix!M:M)</f>
        <v>0</v>
      </c>
      <c r="L47" s="92">
        <f>_xlfn.XLOOKUP(FO47,Schedule!Z:Z,Schedule!Y:Y,0)</f>
        <v>0</v>
      </c>
      <c r="M47" s="133"/>
      <c r="N47" s="92">
        <f>SUMIF(Schedule!$R:$R,$FP47,Schedule!P:P)</f>
        <v>0</v>
      </c>
      <c r="O47" s="92">
        <f t="shared" si="465"/>
        <v>0</v>
      </c>
      <c r="P47" s="142"/>
      <c r="Q47" s="133">
        <f t="shared" si="466"/>
        <v>0</v>
      </c>
      <c r="R47" s="92"/>
      <c r="S47" s="92"/>
      <c r="T47" s="186">
        <f t="shared" si="467"/>
        <v>0</v>
      </c>
      <c r="U47" s="9"/>
      <c r="V47" s="9"/>
      <c r="W47" s="9"/>
      <c r="X47" s="9"/>
      <c r="Y47" s="8"/>
      <c r="Z47" s="9"/>
      <c r="AA47" s="9"/>
      <c r="AB47" s="242">
        <f t="shared" si="446"/>
        <v>0</v>
      </c>
      <c r="AC47" s="241">
        <v>180000</v>
      </c>
      <c r="AD47" s="165">
        <v>180000</v>
      </c>
      <c r="AE47" s="242">
        <v>350400</v>
      </c>
      <c r="AF47" s="9">
        <v>149100</v>
      </c>
      <c r="AG47" s="9">
        <f>175000*3</f>
        <v>525000</v>
      </c>
      <c r="AH47" s="66"/>
      <c r="AI47" s="66"/>
      <c r="AJ47" s="66"/>
      <c r="AK47" s="66"/>
      <c r="AL47" s="66"/>
      <c r="AM47" s="66"/>
      <c r="AN47" s="66"/>
      <c r="AO47" s="59"/>
      <c r="AP47" s="8" t="s">
        <v>78</v>
      </c>
      <c r="AQ47" s="9">
        <v>100000</v>
      </c>
      <c r="AR47" s="10">
        <v>4</v>
      </c>
      <c r="AS47" s="8" t="s">
        <v>78</v>
      </c>
      <c r="AT47" s="9">
        <v>110000</v>
      </c>
      <c r="AU47" s="10">
        <v>4</v>
      </c>
      <c r="AV47" s="8" t="s">
        <v>78</v>
      </c>
      <c r="AW47" s="9">
        <v>110000</v>
      </c>
      <c r="AX47" s="10">
        <v>4</v>
      </c>
      <c r="AY47" s="8" t="s">
        <v>78</v>
      </c>
      <c r="AZ47" s="9">
        <v>100000</v>
      </c>
      <c r="BA47" s="10">
        <v>4</v>
      </c>
      <c r="BB47" s="8" t="s">
        <v>78</v>
      </c>
      <c r="BC47" s="9">
        <v>105000</v>
      </c>
      <c r="BD47" s="10">
        <v>4</v>
      </c>
      <c r="BE47" s="8" t="s">
        <v>78</v>
      </c>
      <c r="BF47" s="9">
        <f>+G47/8</f>
        <v>96573</v>
      </c>
      <c r="BG47" s="10">
        <v>4</v>
      </c>
      <c r="BH47" s="8" t="s">
        <v>78</v>
      </c>
      <c r="BI47" s="9">
        <f>+H47/4</f>
        <v>102486</v>
      </c>
      <c r="BJ47" s="10">
        <v>4</v>
      </c>
      <c r="BK47" s="8" t="s">
        <v>77</v>
      </c>
      <c r="BL47" s="9">
        <v>200000</v>
      </c>
      <c r="BM47" s="10">
        <v>7</v>
      </c>
      <c r="BN47" s="8" t="s">
        <v>77</v>
      </c>
      <c r="BO47" s="9">
        <v>200000</v>
      </c>
      <c r="BP47" s="10">
        <v>7</v>
      </c>
      <c r="BQ47" s="8" t="s">
        <v>77</v>
      </c>
      <c r="BR47" s="9">
        <v>200000</v>
      </c>
      <c r="BS47" s="10">
        <v>7</v>
      </c>
      <c r="BT47" s="8" t="s">
        <v>77</v>
      </c>
      <c r="BU47" s="9">
        <v>200000</v>
      </c>
      <c r="BV47" s="10">
        <v>7</v>
      </c>
      <c r="BW47" s="8" t="s">
        <v>74</v>
      </c>
      <c r="BX47" s="9">
        <v>175000</v>
      </c>
      <c r="BY47" s="10">
        <v>7</v>
      </c>
      <c r="BZ47" s="8" t="s">
        <v>74</v>
      </c>
      <c r="CA47" s="9">
        <v>175000</v>
      </c>
      <c r="CB47" s="10">
        <f t="shared" si="295"/>
        <v>7</v>
      </c>
      <c r="CC47" s="8" t="str">
        <f t="shared" si="296"/>
        <v>W3</v>
      </c>
      <c r="CD47" s="9">
        <f t="shared" si="297"/>
        <v>175000</v>
      </c>
      <c r="CE47" s="10">
        <f t="shared" si="298"/>
        <v>7</v>
      </c>
      <c r="CF47" s="8" t="str">
        <f t="shared" si="299"/>
        <v>W3</v>
      </c>
      <c r="CG47" s="9">
        <f t="shared" si="300"/>
        <v>175000</v>
      </c>
      <c r="CH47" s="10">
        <f t="shared" si="301"/>
        <v>7</v>
      </c>
      <c r="CI47" s="8" t="str">
        <f t="shared" si="302"/>
        <v>W3</v>
      </c>
      <c r="CJ47" s="9">
        <f t="shared" si="303"/>
        <v>175000</v>
      </c>
      <c r="CK47" s="10">
        <f t="shared" si="304"/>
        <v>7</v>
      </c>
      <c r="CL47" s="8" t="str">
        <f t="shared" si="251"/>
        <v>W3</v>
      </c>
      <c r="CM47" s="9">
        <f t="shared" si="252"/>
        <v>175000</v>
      </c>
      <c r="CN47" s="10">
        <f t="shared" si="253"/>
        <v>7</v>
      </c>
      <c r="CO47" s="8" t="str">
        <f t="shared" si="254"/>
        <v>W3</v>
      </c>
      <c r="CP47" s="9">
        <f t="shared" si="442"/>
        <v>175000</v>
      </c>
      <c r="CQ47" s="10">
        <f t="shared" si="255"/>
        <v>7</v>
      </c>
      <c r="CR47" s="8" t="str">
        <f t="shared" si="256"/>
        <v>W3</v>
      </c>
      <c r="CS47" s="9">
        <f t="shared" si="257"/>
        <v>175000</v>
      </c>
      <c r="CT47" s="10">
        <f t="shared" si="258"/>
        <v>7</v>
      </c>
      <c r="CU47" s="8" t="str">
        <f t="shared" si="259"/>
        <v>W3</v>
      </c>
      <c r="CV47" s="9">
        <f t="shared" si="260"/>
        <v>175000</v>
      </c>
      <c r="CW47" s="10">
        <f t="shared" si="261"/>
        <v>7</v>
      </c>
      <c r="CX47" s="8" t="str">
        <f t="shared" si="262"/>
        <v>W3</v>
      </c>
      <c r="CY47" s="9">
        <f t="shared" si="263"/>
        <v>175000</v>
      </c>
      <c r="CZ47" s="10">
        <f t="shared" si="264"/>
        <v>7</v>
      </c>
      <c r="DA47" s="8" t="str">
        <f t="shared" si="265"/>
        <v>W3</v>
      </c>
      <c r="DB47" s="9">
        <f t="shared" si="266"/>
        <v>175000</v>
      </c>
      <c r="DC47" s="10">
        <f t="shared" si="267"/>
        <v>7</v>
      </c>
      <c r="DD47" s="8" t="str">
        <f t="shared" si="268"/>
        <v>W3</v>
      </c>
      <c r="DE47" s="9">
        <f t="shared" si="269"/>
        <v>175000</v>
      </c>
      <c r="DF47" s="10">
        <f t="shared" si="270"/>
        <v>7</v>
      </c>
      <c r="DG47" s="8" t="str">
        <f t="shared" si="271"/>
        <v>W3</v>
      </c>
      <c r="DH47" s="9">
        <f t="shared" si="272"/>
        <v>175000</v>
      </c>
      <c r="DI47" s="10">
        <f t="shared" si="273"/>
        <v>7</v>
      </c>
      <c r="DK47" s="8">
        <f t="shared" si="468"/>
        <v>0</v>
      </c>
      <c r="DL47" s="67">
        <f t="shared" si="469"/>
        <v>1</v>
      </c>
      <c r="DM47" s="67">
        <f t="shared" si="470"/>
        <v>4</v>
      </c>
      <c r="DN47" s="67">
        <f>IFERROR(ROUNDUP(+E47/$AZ47,0),0)</f>
        <v>1</v>
      </c>
      <c r="DO47" s="67">
        <f t="shared" si="471"/>
        <v>1</v>
      </c>
      <c r="DP47" s="67">
        <f t="shared" si="472"/>
        <v>8</v>
      </c>
      <c r="DQ47" s="9">
        <f t="shared" si="473"/>
        <v>4</v>
      </c>
      <c r="DR47" s="9">
        <f t="shared" si="474"/>
        <v>0</v>
      </c>
      <c r="DS47" s="9">
        <f t="shared" si="475"/>
        <v>0</v>
      </c>
      <c r="DT47" s="9">
        <f t="shared" si="476"/>
        <v>0</v>
      </c>
      <c r="DU47" s="9">
        <f t="shared" si="477"/>
        <v>0</v>
      </c>
      <c r="DV47" s="10">
        <f t="shared" si="478"/>
        <v>0</v>
      </c>
      <c r="DW47" s="9">
        <f t="shared" si="479"/>
        <v>0</v>
      </c>
      <c r="DX47" s="9">
        <f t="shared" si="480"/>
        <v>0</v>
      </c>
      <c r="DY47" s="9">
        <f t="shared" si="481"/>
        <v>3</v>
      </c>
      <c r="DZ47" s="9">
        <f t="shared" si="482"/>
        <v>1</v>
      </c>
      <c r="EA47" s="9">
        <f t="shared" si="483"/>
        <v>3</v>
      </c>
      <c r="EB47" s="9">
        <f t="shared" si="484"/>
        <v>0</v>
      </c>
      <c r="EC47" s="9">
        <f t="shared" si="485"/>
        <v>0</v>
      </c>
      <c r="ED47" s="9">
        <f t="shared" si="486"/>
        <v>0</v>
      </c>
      <c r="EE47" s="9">
        <f t="shared" si="487"/>
        <v>0</v>
      </c>
      <c r="EF47" s="9">
        <f t="shared" si="488"/>
        <v>0</v>
      </c>
      <c r="EG47" s="9">
        <f t="shared" si="489"/>
        <v>0</v>
      </c>
      <c r="EH47" s="9">
        <f t="shared" si="490"/>
        <v>0</v>
      </c>
      <c r="EJ47" s="8">
        <f t="shared" si="305"/>
        <v>0</v>
      </c>
      <c r="EK47" s="9">
        <f t="shared" si="306"/>
        <v>4</v>
      </c>
      <c r="EL47" s="9">
        <f t="shared" si="307"/>
        <v>16</v>
      </c>
      <c r="EM47" s="9">
        <f t="shared" si="308"/>
        <v>4</v>
      </c>
      <c r="EN47" s="9">
        <f t="shared" si="309"/>
        <v>4</v>
      </c>
      <c r="EO47" s="9">
        <f t="shared" si="310"/>
        <v>32</v>
      </c>
      <c r="EP47" s="9">
        <f t="shared" si="275"/>
        <v>16</v>
      </c>
      <c r="EQ47" s="9">
        <f t="shared" si="276"/>
        <v>0</v>
      </c>
      <c r="ER47" s="9">
        <f t="shared" si="277"/>
        <v>0</v>
      </c>
      <c r="ES47" s="9">
        <f t="shared" si="278"/>
        <v>0</v>
      </c>
      <c r="ET47" s="9">
        <f t="shared" si="279"/>
        <v>0</v>
      </c>
      <c r="EU47" s="10">
        <f t="shared" si="280"/>
        <v>0</v>
      </c>
      <c r="EV47" s="9">
        <f t="shared" si="281"/>
        <v>0</v>
      </c>
      <c r="EW47" s="9">
        <f t="shared" si="282"/>
        <v>0</v>
      </c>
      <c r="EX47" s="9">
        <f t="shared" si="283"/>
        <v>21</v>
      </c>
      <c r="EY47" s="9">
        <f t="shared" si="284"/>
        <v>7</v>
      </c>
      <c r="EZ47" s="9">
        <f t="shared" si="285"/>
        <v>21</v>
      </c>
      <c r="FA47" s="9">
        <f t="shared" si="286"/>
        <v>0</v>
      </c>
      <c r="FB47" s="9">
        <f t="shared" si="287"/>
        <v>0</v>
      </c>
      <c r="FC47" s="9">
        <f t="shared" si="288"/>
        <v>0</v>
      </c>
      <c r="FD47" s="9">
        <f t="shared" si="289"/>
        <v>0</v>
      </c>
      <c r="FE47" s="9">
        <f t="shared" si="290"/>
        <v>0</v>
      </c>
      <c r="FF47" s="9">
        <f t="shared" si="291"/>
        <v>0</v>
      </c>
      <c r="FG47" s="9">
        <f t="shared" si="292"/>
        <v>0</v>
      </c>
      <c r="FO47" t="str">
        <f t="shared" si="396"/>
        <v xml:space="preserve">            (85212) FLB SPAGHETTI IN TOMATO SAUCEW2</v>
      </c>
      <c r="FP47" t="str">
        <f t="shared" si="397"/>
        <v xml:space="preserve">            (85212) FLB SPAGHETTI IN TOMATO SAUCEW2</v>
      </c>
      <c r="FQ47" t="str">
        <f t="shared" si="398"/>
        <v xml:space="preserve">            (85212) FLB SPAGHETTI IN TOMATO SAUCEW3</v>
      </c>
      <c r="FR47" t="s">
        <v>863</v>
      </c>
    </row>
    <row r="48" spans="1:174" outlineLevel="2" x14ac:dyDescent="0.25">
      <c r="A48" s="43" t="s">
        <v>35</v>
      </c>
      <c r="B48" s="9">
        <f>SUMIF(Prophix!$Q:$Q,'Fds Units'!$A48,Prophix!D:D)</f>
        <v>95568</v>
      </c>
      <c r="C48" s="9">
        <f>SUMIF(Prophix!$Q:$Q,'Fds Units'!$A48,Prophix!E:E)</f>
        <v>172560</v>
      </c>
      <c r="D48" s="9">
        <f>SUMIF(Prophix!$Q:$Q,'Fds Units'!$A48,Prophix!F:F)</f>
        <v>101088</v>
      </c>
      <c r="E48" s="9">
        <f>SUMIF(Prophix!$Q:$Q,'Fds Units'!$A48,Prophix!G:G)</f>
        <v>408984</v>
      </c>
      <c r="F48" s="9">
        <f>SUMIF(Prophix!$Q:$Q,'Fds Units'!$A48,Prophix!H:H)</f>
        <v>190296</v>
      </c>
      <c r="G48" s="9">
        <f>SUMIF(Prophix!$Q:$Q,'Fds Units'!$A48,Prophix!I:I)</f>
        <v>467616</v>
      </c>
      <c r="H48" s="9">
        <f>SUMIF(Prophix!$Q:$Q,'Fds Units'!$A48,Prophix!J:J)</f>
        <v>103656</v>
      </c>
      <c r="I48" s="9">
        <f>SUMIF(Prophix!$Q:$Q,'Fds Units'!$A48,Prophix!K:K)</f>
        <v>0</v>
      </c>
      <c r="J48" s="9">
        <f>SUMIF(Prophix!$Q:$Q,'Fds Units'!$A48,Prophix!L:L)</f>
        <v>0</v>
      </c>
      <c r="K48" s="9">
        <f>SUMIF(Prophix!$Q:$Q,'Fds Units'!$A48,Prophix!M:M)</f>
        <v>0</v>
      </c>
      <c r="L48" s="92">
        <f>_xlfn.XLOOKUP(FO48,Schedule!Z:Z,Schedule!Y:Y,0)</f>
        <v>0</v>
      </c>
      <c r="M48" s="133"/>
      <c r="N48" s="92">
        <f>SUMIF(Schedule!$R:$R,$FP48,Schedule!P:P)</f>
        <v>0</v>
      </c>
      <c r="O48" s="92">
        <f t="shared" si="465"/>
        <v>0</v>
      </c>
      <c r="P48" s="142"/>
      <c r="Q48" s="133">
        <f t="shared" si="466"/>
        <v>0</v>
      </c>
      <c r="R48" s="92"/>
      <c r="S48" s="92"/>
      <c r="T48" s="186">
        <f t="shared" si="467"/>
        <v>0</v>
      </c>
      <c r="U48" s="9"/>
      <c r="V48" s="9"/>
      <c r="W48" s="9"/>
      <c r="X48" s="9"/>
      <c r="Y48" s="8"/>
      <c r="Z48" s="9"/>
      <c r="AA48" s="9"/>
      <c r="AB48" s="242">
        <f t="shared" si="446"/>
        <v>0</v>
      </c>
      <c r="AC48" s="241">
        <v>180000</v>
      </c>
      <c r="AD48" s="165">
        <v>180000</v>
      </c>
      <c r="AE48" s="242">
        <v>175200</v>
      </c>
      <c r="AF48" s="9">
        <v>149100</v>
      </c>
      <c r="AG48" s="9">
        <f>175000*2</f>
        <v>350000</v>
      </c>
      <c r="AH48" s="66"/>
      <c r="AI48" s="66"/>
      <c r="AJ48" s="66"/>
      <c r="AK48" s="66"/>
      <c r="AL48" s="66"/>
      <c r="AM48" s="66"/>
      <c r="AN48" s="66"/>
      <c r="AO48" s="59"/>
      <c r="AP48" s="8" t="s">
        <v>78</v>
      </c>
      <c r="AQ48" s="9">
        <v>100000</v>
      </c>
      <c r="AR48" s="10">
        <v>4</v>
      </c>
      <c r="AS48" s="8" t="s">
        <v>78</v>
      </c>
      <c r="AT48" s="9">
        <v>100000</v>
      </c>
      <c r="AU48" s="10">
        <v>4</v>
      </c>
      <c r="AV48" s="8" t="s">
        <v>78</v>
      </c>
      <c r="AW48" s="9">
        <v>102000</v>
      </c>
      <c r="AX48" s="10">
        <v>4</v>
      </c>
      <c r="AY48" s="8" t="s">
        <v>77</v>
      </c>
      <c r="AZ48" s="9">
        <v>200000</v>
      </c>
      <c r="BA48" s="10">
        <v>7</v>
      </c>
      <c r="BB48" s="8" t="s">
        <v>78</v>
      </c>
      <c r="BC48" s="9">
        <v>100008</v>
      </c>
      <c r="BD48" s="10">
        <v>4</v>
      </c>
      <c r="BE48" s="8" t="s">
        <v>78</v>
      </c>
      <c r="BF48" s="9">
        <f>+G48/5</f>
        <v>93523.199999999997</v>
      </c>
      <c r="BG48" s="10">
        <v>4</v>
      </c>
      <c r="BH48" s="8" t="s">
        <v>78</v>
      </c>
      <c r="BI48" s="9">
        <f>+H48/1</f>
        <v>103656</v>
      </c>
      <c r="BJ48" s="10">
        <v>4</v>
      </c>
      <c r="BK48" s="8" t="s">
        <v>77</v>
      </c>
      <c r="BL48" s="9">
        <v>200000</v>
      </c>
      <c r="BM48" s="10">
        <v>7</v>
      </c>
      <c r="BN48" s="8" t="s">
        <v>77</v>
      </c>
      <c r="BO48" s="9">
        <v>200000</v>
      </c>
      <c r="BP48" s="10">
        <v>7</v>
      </c>
      <c r="BQ48" s="8" t="s">
        <v>77</v>
      </c>
      <c r="BR48" s="9">
        <v>200000</v>
      </c>
      <c r="BS48" s="10">
        <v>7</v>
      </c>
      <c r="BT48" s="8" t="s">
        <v>77</v>
      </c>
      <c r="BU48" s="9">
        <v>200000</v>
      </c>
      <c r="BV48" s="10">
        <v>7</v>
      </c>
      <c r="BW48" s="8" t="s">
        <v>74</v>
      </c>
      <c r="BX48" s="9">
        <v>175000</v>
      </c>
      <c r="BY48" s="10">
        <v>7</v>
      </c>
      <c r="BZ48" s="8" t="s">
        <v>74</v>
      </c>
      <c r="CA48" s="9">
        <v>175000</v>
      </c>
      <c r="CB48" s="10">
        <f t="shared" si="295"/>
        <v>7</v>
      </c>
      <c r="CC48" s="8" t="str">
        <f t="shared" si="296"/>
        <v>W3</v>
      </c>
      <c r="CD48" s="9">
        <f t="shared" si="297"/>
        <v>175000</v>
      </c>
      <c r="CE48" s="10">
        <f t="shared" si="298"/>
        <v>7</v>
      </c>
      <c r="CF48" s="8" t="str">
        <f t="shared" si="299"/>
        <v>W3</v>
      </c>
      <c r="CG48" s="9">
        <f t="shared" si="300"/>
        <v>175000</v>
      </c>
      <c r="CH48" s="10">
        <f t="shared" si="301"/>
        <v>7</v>
      </c>
      <c r="CI48" s="8" t="str">
        <f t="shared" si="302"/>
        <v>W3</v>
      </c>
      <c r="CJ48" s="9">
        <f t="shared" si="303"/>
        <v>175000</v>
      </c>
      <c r="CK48" s="10">
        <f t="shared" si="304"/>
        <v>7</v>
      </c>
      <c r="CL48" s="8" t="str">
        <f t="shared" si="251"/>
        <v>W3</v>
      </c>
      <c r="CM48" s="9">
        <f t="shared" si="252"/>
        <v>175000</v>
      </c>
      <c r="CN48" s="10">
        <f t="shared" si="253"/>
        <v>7</v>
      </c>
      <c r="CO48" s="8" t="str">
        <f t="shared" si="254"/>
        <v>W3</v>
      </c>
      <c r="CP48" s="9">
        <f t="shared" si="442"/>
        <v>175000</v>
      </c>
      <c r="CQ48" s="10">
        <f t="shared" si="255"/>
        <v>7</v>
      </c>
      <c r="CR48" s="8" t="str">
        <f t="shared" si="256"/>
        <v>W3</v>
      </c>
      <c r="CS48" s="9">
        <f t="shared" si="257"/>
        <v>175000</v>
      </c>
      <c r="CT48" s="10">
        <f t="shared" si="258"/>
        <v>7</v>
      </c>
      <c r="CU48" s="8" t="str">
        <f t="shared" si="259"/>
        <v>W3</v>
      </c>
      <c r="CV48" s="9">
        <f t="shared" si="260"/>
        <v>175000</v>
      </c>
      <c r="CW48" s="10">
        <f t="shared" si="261"/>
        <v>7</v>
      </c>
      <c r="CX48" s="8" t="str">
        <f t="shared" si="262"/>
        <v>W3</v>
      </c>
      <c r="CY48" s="9">
        <f t="shared" si="263"/>
        <v>175000</v>
      </c>
      <c r="CZ48" s="10">
        <f t="shared" si="264"/>
        <v>7</v>
      </c>
      <c r="DA48" s="8" t="str">
        <f t="shared" si="265"/>
        <v>W3</v>
      </c>
      <c r="DB48" s="9">
        <f t="shared" si="266"/>
        <v>175000</v>
      </c>
      <c r="DC48" s="10">
        <f t="shared" si="267"/>
        <v>7</v>
      </c>
      <c r="DD48" s="8" t="str">
        <f t="shared" si="268"/>
        <v>W3</v>
      </c>
      <c r="DE48" s="9">
        <f t="shared" si="269"/>
        <v>175000</v>
      </c>
      <c r="DF48" s="10">
        <f t="shared" si="270"/>
        <v>7</v>
      </c>
      <c r="DG48" s="8" t="str">
        <f t="shared" si="271"/>
        <v>W3</v>
      </c>
      <c r="DH48" s="9">
        <f t="shared" si="272"/>
        <v>175000</v>
      </c>
      <c r="DI48" s="10">
        <f t="shared" si="273"/>
        <v>7</v>
      </c>
      <c r="DK48" s="72">
        <f t="shared" si="468"/>
        <v>1</v>
      </c>
      <c r="DL48" s="67">
        <f t="shared" si="469"/>
        <v>2</v>
      </c>
      <c r="DM48" s="67">
        <f t="shared" si="470"/>
        <v>1</v>
      </c>
      <c r="DN48" s="67">
        <v>1</v>
      </c>
      <c r="DO48" s="67">
        <f t="shared" si="471"/>
        <v>2</v>
      </c>
      <c r="DP48" s="67">
        <f t="shared" si="472"/>
        <v>5</v>
      </c>
      <c r="DQ48" s="9">
        <f t="shared" si="473"/>
        <v>1</v>
      </c>
      <c r="DR48" s="9">
        <f t="shared" si="474"/>
        <v>0</v>
      </c>
      <c r="DS48" s="9">
        <f t="shared" si="475"/>
        <v>0</v>
      </c>
      <c r="DT48" s="9">
        <f t="shared" si="476"/>
        <v>0</v>
      </c>
      <c r="DU48" s="9">
        <f t="shared" si="477"/>
        <v>0</v>
      </c>
      <c r="DV48" s="10">
        <f t="shared" si="478"/>
        <v>0</v>
      </c>
      <c r="DW48" s="9">
        <f t="shared" si="479"/>
        <v>0</v>
      </c>
      <c r="DX48" s="9">
        <f t="shared" si="480"/>
        <v>0</v>
      </c>
      <c r="DY48" s="9">
        <f t="shared" si="481"/>
        <v>2</v>
      </c>
      <c r="DZ48" s="9">
        <f t="shared" si="482"/>
        <v>1</v>
      </c>
      <c r="EA48" s="9">
        <f t="shared" si="483"/>
        <v>2</v>
      </c>
      <c r="EB48" s="9">
        <f t="shared" si="484"/>
        <v>0</v>
      </c>
      <c r="EC48" s="9">
        <f t="shared" si="485"/>
        <v>0</v>
      </c>
      <c r="ED48" s="9">
        <f t="shared" si="486"/>
        <v>0</v>
      </c>
      <c r="EE48" s="9">
        <f t="shared" si="487"/>
        <v>0</v>
      </c>
      <c r="EF48" s="9">
        <f t="shared" si="488"/>
        <v>0</v>
      </c>
      <c r="EG48" s="9">
        <f t="shared" si="489"/>
        <v>0</v>
      </c>
      <c r="EH48" s="9">
        <f t="shared" si="490"/>
        <v>0</v>
      </c>
      <c r="EJ48" s="8">
        <f t="shared" si="305"/>
        <v>4</v>
      </c>
      <c r="EK48" s="9">
        <f t="shared" si="306"/>
        <v>8</v>
      </c>
      <c r="EL48" s="9">
        <f t="shared" si="307"/>
        <v>4</v>
      </c>
      <c r="EM48" s="9">
        <f t="shared" si="308"/>
        <v>7</v>
      </c>
      <c r="EN48" s="9">
        <f t="shared" si="309"/>
        <v>8</v>
      </c>
      <c r="EO48" s="9">
        <f t="shared" si="310"/>
        <v>20</v>
      </c>
      <c r="EP48" s="9">
        <f t="shared" si="275"/>
        <v>4</v>
      </c>
      <c r="EQ48" s="9">
        <f t="shared" si="276"/>
        <v>0</v>
      </c>
      <c r="ER48" s="9">
        <f t="shared" si="277"/>
        <v>0</v>
      </c>
      <c r="ES48" s="9">
        <f t="shared" si="278"/>
        <v>0</v>
      </c>
      <c r="ET48" s="9">
        <f t="shared" si="279"/>
        <v>0</v>
      </c>
      <c r="EU48" s="10">
        <f t="shared" si="280"/>
        <v>0</v>
      </c>
      <c r="EV48" s="9">
        <f t="shared" si="281"/>
        <v>0</v>
      </c>
      <c r="EW48" s="9">
        <f t="shared" si="282"/>
        <v>0</v>
      </c>
      <c r="EX48" s="9">
        <f t="shared" si="283"/>
        <v>14</v>
      </c>
      <c r="EY48" s="9">
        <f t="shared" si="284"/>
        <v>7</v>
      </c>
      <c r="EZ48" s="9">
        <f t="shared" si="285"/>
        <v>14</v>
      </c>
      <c r="FA48" s="9">
        <f t="shared" si="286"/>
        <v>0</v>
      </c>
      <c r="FB48" s="9">
        <f t="shared" si="287"/>
        <v>0</v>
      </c>
      <c r="FC48" s="9">
        <f t="shared" si="288"/>
        <v>0</v>
      </c>
      <c r="FD48" s="9">
        <f t="shared" si="289"/>
        <v>0</v>
      </c>
      <c r="FE48" s="9">
        <f t="shared" si="290"/>
        <v>0</v>
      </c>
      <c r="FF48" s="9">
        <f t="shared" si="291"/>
        <v>0</v>
      </c>
      <c r="FG48" s="9">
        <f t="shared" si="292"/>
        <v>0</v>
      </c>
      <c r="FO48" t="str">
        <f t="shared" si="396"/>
        <v xml:space="preserve">            (85213) FLB CHEESY MACW2</v>
      </c>
      <c r="FP48" t="str">
        <f t="shared" si="397"/>
        <v xml:space="preserve">            (85213) FLB CHEESY MACW2</v>
      </c>
      <c r="FQ48" t="str">
        <f t="shared" si="398"/>
        <v xml:space="preserve">            (85213) FLB CHEESY MACW3</v>
      </c>
      <c r="FR48" t="s">
        <v>864</v>
      </c>
    </row>
    <row r="49" spans="1:174" outlineLevel="2" x14ac:dyDescent="0.25">
      <c r="A49" s="43" t="s">
        <v>36</v>
      </c>
      <c r="B49" s="9">
        <f>SUMIF(Prophix!$Q:$Q,'Fds Units'!$A49,Prophix!D:D)</f>
        <v>0</v>
      </c>
      <c r="C49" s="9">
        <f>SUMIF(Prophix!$Q:$Q,'Fds Units'!$A49,Prophix!E:E)</f>
        <v>0</v>
      </c>
      <c r="D49" s="9">
        <f>SUMIF(Prophix!$Q:$Q,'Fds Units'!$A49,Prophix!F:F)</f>
        <v>99096</v>
      </c>
      <c r="E49" s="9">
        <f>SUMIF(Prophix!$Q:$Q,'Fds Units'!$A49,Prophix!G:G)</f>
        <v>0</v>
      </c>
      <c r="F49" s="9">
        <f>SUMIF(Prophix!$Q:$Q,'Fds Units'!$A49,Prophix!H:H)</f>
        <v>101280</v>
      </c>
      <c r="G49" s="9">
        <f>SUMIF(Prophix!$Q:$Q,'Fds Units'!$A49,Prophix!I:I)</f>
        <v>0</v>
      </c>
      <c r="H49" s="9">
        <f>SUMIF(Prophix!$Q:$Q,'Fds Units'!$A49,Prophix!J:J)</f>
        <v>0</v>
      </c>
      <c r="I49" s="9">
        <f>SUMIF(Prophix!$Q:$Q,'Fds Units'!$A49,Prophix!K:K)</f>
        <v>0</v>
      </c>
      <c r="J49" s="9">
        <f>SUMIF(Prophix!$Q:$Q,'Fds Units'!$A49,Prophix!L:L)</f>
        <v>294816</v>
      </c>
      <c r="K49" s="9">
        <f>SUMIF(Prophix!$Q:$Q,'Fds Units'!$A49,Prophix!M:M)</f>
        <v>0</v>
      </c>
      <c r="L49" s="92">
        <f>_xlfn.XLOOKUP(FO49,Schedule!Z:Z,Schedule!Y:Y,0)</f>
        <v>0</v>
      </c>
      <c r="M49" s="133"/>
      <c r="N49" s="92">
        <f>SUMIF(Schedule!$R:$R,$FP49,Schedule!P:P)</f>
        <v>0</v>
      </c>
      <c r="O49" s="92">
        <f t="shared" si="465"/>
        <v>0</v>
      </c>
      <c r="P49" s="142">
        <f>-O49</f>
        <v>0</v>
      </c>
      <c r="Q49" s="133">
        <f t="shared" si="466"/>
        <v>0</v>
      </c>
      <c r="R49" s="92">
        <v>99984</v>
      </c>
      <c r="S49" s="92">
        <v>95064</v>
      </c>
      <c r="T49" s="186">
        <f t="shared" si="467"/>
        <v>-4920</v>
      </c>
      <c r="U49" s="9"/>
      <c r="V49" s="9"/>
      <c r="W49" s="9"/>
      <c r="X49" s="9"/>
      <c r="Y49" s="8"/>
      <c r="Z49" s="9"/>
      <c r="AA49" s="9"/>
      <c r="AB49" s="242">
        <f t="shared" si="446"/>
        <v>0</v>
      </c>
      <c r="AC49" s="241">
        <v>0</v>
      </c>
      <c r="AD49" s="165">
        <v>0</v>
      </c>
      <c r="AE49" s="242">
        <v>0</v>
      </c>
      <c r="AF49" s="9">
        <v>0</v>
      </c>
      <c r="AG49" s="9">
        <v>175000</v>
      </c>
      <c r="AH49" s="66"/>
      <c r="AI49" s="66"/>
      <c r="AJ49" s="66"/>
      <c r="AK49" s="66"/>
      <c r="AL49" s="66"/>
      <c r="AM49" s="66"/>
      <c r="AN49" s="66"/>
      <c r="AO49" s="59"/>
      <c r="AP49" s="8" t="s">
        <v>78</v>
      </c>
      <c r="AQ49" s="9">
        <v>100000</v>
      </c>
      <c r="AR49" s="10">
        <v>4</v>
      </c>
      <c r="AS49" s="8" t="s">
        <v>78</v>
      </c>
      <c r="AT49" s="9">
        <v>100000</v>
      </c>
      <c r="AU49" s="10">
        <v>4</v>
      </c>
      <c r="AV49" s="8" t="s">
        <v>78</v>
      </c>
      <c r="AW49" s="9">
        <v>100000</v>
      </c>
      <c r="AX49" s="10">
        <v>4</v>
      </c>
      <c r="AY49" s="8" t="s">
        <v>77</v>
      </c>
      <c r="AZ49" s="9">
        <v>200000</v>
      </c>
      <c r="BA49" s="10">
        <v>7</v>
      </c>
      <c r="BB49" s="8" t="s">
        <v>78</v>
      </c>
      <c r="BC49" s="9">
        <v>102000</v>
      </c>
      <c r="BD49" s="10">
        <v>4</v>
      </c>
      <c r="BE49" s="8" t="s">
        <v>78</v>
      </c>
      <c r="BF49" s="9">
        <v>100000</v>
      </c>
      <c r="BG49" s="10">
        <v>4</v>
      </c>
      <c r="BH49" s="8" t="s">
        <v>78</v>
      </c>
      <c r="BI49" s="9">
        <v>100000</v>
      </c>
      <c r="BJ49" s="10">
        <v>4</v>
      </c>
      <c r="BK49" s="8" t="s">
        <v>77</v>
      </c>
      <c r="BL49" s="9">
        <v>200000</v>
      </c>
      <c r="BM49" s="10">
        <v>7</v>
      </c>
      <c r="BN49" s="8" t="s">
        <v>77</v>
      </c>
      <c r="BO49" s="9">
        <v>200000</v>
      </c>
      <c r="BP49" s="10">
        <v>7</v>
      </c>
      <c r="BQ49" s="8" t="s">
        <v>77</v>
      </c>
      <c r="BR49" s="9">
        <f t="shared" ref="BR49:BR51" si="491">+BO49</f>
        <v>200000</v>
      </c>
      <c r="BS49" s="10">
        <v>7</v>
      </c>
      <c r="BT49" s="8" t="s">
        <v>77</v>
      </c>
      <c r="BU49" s="9">
        <v>200000</v>
      </c>
      <c r="BV49" s="10">
        <v>7</v>
      </c>
      <c r="BW49" s="8" t="s">
        <v>74</v>
      </c>
      <c r="BX49" s="9">
        <v>175000</v>
      </c>
      <c r="BY49" s="10">
        <v>7</v>
      </c>
      <c r="BZ49" s="8" t="s">
        <v>74</v>
      </c>
      <c r="CA49" s="9">
        <v>175000</v>
      </c>
      <c r="CB49" s="10">
        <f t="shared" si="295"/>
        <v>7</v>
      </c>
      <c r="CC49" s="8" t="str">
        <f t="shared" si="296"/>
        <v>W3</v>
      </c>
      <c r="CD49" s="9">
        <f t="shared" si="297"/>
        <v>175000</v>
      </c>
      <c r="CE49" s="10">
        <f t="shared" si="298"/>
        <v>7</v>
      </c>
      <c r="CF49" s="8" t="str">
        <f t="shared" si="299"/>
        <v>W3</v>
      </c>
      <c r="CG49" s="9">
        <f t="shared" si="300"/>
        <v>175000</v>
      </c>
      <c r="CH49" s="10">
        <f t="shared" si="301"/>
        <v>7</v>
      </c>
      <c r="CI49" s="8" t="str">
        <f t="shared" si="302"/>
        <v>W3</v>
      </c>
      <c r="CJ49" s="9">
        <f t="shared" si="303"/>
        <v>175000</v>
      </c>
      <c r="CK49" s="10">
        <f t="shared" si="304"/>
        <v>7</v>
      </c>
      <c r="CL49" s="8" t="str">
        <f t="shared" si="251"/>
        <v>W3</v>
      </c>
      <c r="CM49" s="9">
        <f t="shared" si="252"/>
        <v>175000</v>
      </c>
      <c r="CN49" s="10">
        <f t="shared" si="253"/>
        <v>7</v>
      </c>
      <c r="CO49" s="8" t="str">
        <f t="shared" si="254"/>
        <v>W3</v>
      </c>
      <c r="CP49" s="9">
        <f t="shared" si="442"/>
        <v>175000</v>
      </c>
      <c r="CQ49" s="10">
        <f t="shared" si="255"/>
        <v>7</v>
      </c>
      <c r="CR49" s="8" t="str">
        <f t="shared" si="256"/>
        <v>W3</v>
      </c>
      <c r="CS49" s="9">
        <f t="shared" si="257"/>
        <v>175000</v>
      </c>
      <c r="CT49" s="10">
        <f t="shared" si="258"/>
        <v>7</v>
      </c>
      <c r="CU49" s="8" t="str">
        <f t="shared" si="259"/>
        <v>W3</v>
      </c>
      <c r="CV49" s="9">
        <f t="shared" si="260"/>
        <v>175000</v>
      </c>
      <c r="CW49" s="10">
        <f t="shared" si="261"/>
        <v>7</v>
      </c>
      <c r="CX49" s="8" t="str">
        <f t="shared" si="262"/>
        <v>W3</v>
      </c>
      <c r="CY49" s="9">
        <f t="shared" si="263"/>
        <v>175000</v>
      </c>
      <c r="CZ49" s="10">
        <f t="shared" si="264"/>
        <v>7</v>
      </c>
      <c r="DA49" s="8" t="str">
        <f t="shared" si="265"/>
        <v>W3</v>
      </c>
      <c r="DB49" s="9">
        <f t="shared" si="266"/>
        <v>175000</v>
      </c>
      <c r="DC49" s="10">
        <f t="shared" si="267"/>
        <v>7</v>
      </c>
      <c r="DD49" s="8" t="str">
        <f t="shared" si="268"/>
        <v>W3</v>
      </c>
      <c r="DE49" s="9">
        <f t="shared" si="269"/>
        <v>175000</v>
      </c>
      <c r="DF49" s="10">
        <f t="shared" si="270"/>
        <v>7</v>
      </c>
      <c r="DG49" s="8" t="str">
        <f t="shared" si="271"/>
        <v>W3</v>
      </c>
      <c r="DH49" s="9">
        <f t="shared" si="272"/>
        <v>175000</v>
      </c>
      <c r="DI49" s="10">
        <f t="shared" si="273"/>
        <v>7</v>
      </c>
      <c r="DK49" s="8">
        <f t="shared" si="468"/>
        <v>0</v>
      </c>
      <c r="DL49" s="67">
        <f t="shared" si="469"/>
        <v>0</v>
      </c>
      <c r="DM49" s="67">
        <f t="shared" si="470"/>
        <v>1</v>
      </c>
      <c r="DN49" s="9">
        <f>IFERROR(ROUNDUP(+E49/$AZ49,0),0)</f>
        <v>0</v>
      </c>
      <c r="DO49" s="67">
        <f t="shared" si="471"/>
        <v>1</v>
      </c>
      <c r="DP49" s="67">
        <f t="shared" si="472"/>
        <v>0</v>
      </c>
      <c r="DQ49" s="9">
        <f t="shared" si="473"/>
        <v>0</v>
      </c>
      <c r="DR49" s="9">
        <f t="shared" si="474"/>
        <v>0</v>
      </c>
      <c r="DS49" s="9">
        <f t="shared" si="475"/>
        <v>2</v>
      </c>
      <c r="DT49" s="9">
        <f t="shared" si="476"/>
        <v>0</v>
      </c>
      <c r="DU49" s="9">
        <f t="shared" si="477"/>
        <v>0</v>
      </c>
      <c r="DV49" s="10">
        <f t="shared" si="478"/>
        <v>1</v>
      </c>
      <c r="DW49" s="9">
        <f t="shared" si="479"/>
        <v>0</v>
      </c>
      <c r="DX49" s="9">
        <f t="shared" si="480"/>
        <v>0</v>
      </c>
      <c r="DY49" s="9">
        <f t="shared" si="481"/>
        <v>0</v>
      </c>
      <c r="DZ49" s="9">
        <f t="shared" si="482"/>
        <v>0</v>
      </c>
      <c r="EA49" s="9">
        <f t="shared" si="483"/>
        <v>1</v>
      </c>
      <c r="EB49" s="9">
        <f t="shared" si="484"/>
        <v>0</v>
      </c>
      <c r="EC49" s="9">
        <f t="shared" si="485"/>
        <v>0</v>
      </c>
      <c r="ED49" s="9">
        <f t="shared" si="486"/>
        <v>0</v>
      </c>
      <c r="EE49" s="9">
        <f t="shared" si="487"/>
        <v>0</v>
      </c>
      <c r="EF49" s="9">
        <f t="shared" si="488"/>
        <v>0</v>
      </c>
      <c r="EG49" s="9">
        <f t="shared" si="489"/>
        <v>0</v>
      </c>
      <c r="EH49" s="9">
        <f t="shared" si="490"/>
        <v>0</v>
      </c>
      <c r="EJ49" s="8">
        <f t="shared" si="305"/>
        <v>0</v>
      </c>
      <c r="EK49" s="9">
        <f t="shared" si="306"/>
        <v>0</v>
      </c>
      <c r="EL49" s="9">
        <f t="shared" si="307"/>
        <v>4</v>
      </c>
      <c r="EM49" s="9">
        <f t="shared" si="308"/>
        <v>0</v>
      </c>
      <c r="EN49" s="9">
        <f t="shared" si="309"/>
        <v>4</v>
      </c>
      <c r="EO49" s="9">
        <f t="shared" si="310"/>
        <v>0</v>
      </c>
      <c r="EP49" s="9">
        <f t="shared" si="275"/>
        <v>0</v>
      </c>
      <c r="EQ49" s="9">
        <f t="shared" si="276"/>
        <v>0</v>
      </c>
      <c r="ER49" s="9">
        <f t="shared" si="277"/>
        <v>14</v>
      </c>
      <c r="ES49" s="9">
        <f t="shared" si="278"/>
        <v>0</v>
      </c>
      <c r="ET49" s="9">
        <f t="shared" si="279"/>
        <v>0</v>
      </c>
      <c r="EU49" s="10">
        <f t="shared" si="280"/>
        <v>7</v>
      </c>
      <c r="EV49" s="9">
        <f t="shared" si="281"/>
        <v>0</v>
      </c>
      <c r="EW49" s="9">
        <f t="shared" si="282"/>
        <v>0</v>
      </c>
      <c r="EX49" s="9">
        <f t="shared" si="283"/>
        <v>0</v>
      </c>
      <c r="EY49" s="9">
        <f t="shared" si="284"/>
        <v>0</v>
      </c>
      <c r="EZ49" s="9">
        <f t="shared" si="285"/>
        <v>7</v>
      </c>
      <c r="FA49" s="9">
        <f t="shared" si="286"/>
        <v>0</v>
      </c>
      <c r="FB49" s="9">
        <f t="shared" si="287"/>
        <v>0</v>
      </c>
      <c r="FC49" s="9">
        <f t="shared" si="288"/>
        <v>0</v>
      </c>
      <c r="FD49" s="9">
        <f t="shared" si="289"/>
        <v>0</v>
      </c>
      <c r="FE49" s="9">
        <f t="shared" si="290"/>
        <v>0</v>
      </c>
      <c r="FF49" s="9">
        <f t="shared" si="291"/>
        <v>0</v>
      </c>
      <c r="FG49" s="9">
        <f t="shared" si="292"/>
        <v>0</v>
      </c>
      <c r="FO49" t="str">
        <f t="shared" si="396"/>
        <v xml:space="preserve">            (85216) FLB PIZZA MACW2</v>
      </c>
      <c r="FP49" t="str">
        <f t="shared" si="397"/>
        <v xml:space="preserve">            (85216) FLB PIZZA MACW2</v>
      </c>
      <c r="FQ49" t="str">
        <f t="shared" si="398"/>
        <v xml:space="preserve">            (85216) FLB PIZZA MACW3</v>
      </c>
      <c r="FR49" t="s">
        <v>865</v>
      </c>
    </row>
    <row r="50" spans="1:174" outlineLevel="2" x14ac:dyDescent="0.25">
      <c r="A50" s="43" t="s">
        <v>42</v>
      </c>
      <c r="B50" s="9">
        <f>SUMIF(Prophix!$Q:$Q,'Fds Units'!$A50,Prophix!D:D)</f>
        <v>0</v>
      </c>
      <c r="C50" s="9">
        <f>SUMIF(Prophix!$Q:$Q,'Fds Units'!$A50,Prophix!E:E)</f>
        <v>0</v>
      </c>
      <c r="D50" s="9">
        <f>SUMIF(Prophix!$Q:$Q,'Fds Units'!$A50,Prophix!F:F)</f>
        <v>0</v>
      </c>
      <c r="E50" s="9">
        <f>SUMIF(Prophix!$Q:$Q,'Fds Units'!$A50,Prophix!G:G)</f>
        <v>0</v>
      </c>
      <c r="F50" s="9">
        <f>SUMIF(Prophix!$Q:$Q,'Fds Units'!$A50,Prophix!H:H)</f>
        <v>0</v>
      </c>
      <c r="G50" s="9">
        <f>SUMIF(Prophix!$Q:$Q,'Fds Units'!$A50,Prophix!I:I)</f>
        <v>0</v>
      </c>
      <c r="H50" s="9">
        <f>SUMIF(Prophix!$Q:$Q,'Fds Units'!$A50,Prophix!J:J)</f>
        <v>0</v>
      </c>
      <c r="I50" s="9">
        <f>SUMIF(Prophix!$Q:$Q,'Fds Units'!$A50,Prophix!K:K)</f>
        <v>0</v>
      </c>
      <c r="J50" s="9">
        <f>SUMIF(Prophix!$Q:$Q,'Fds Units'!$A50,Prophix!L:L)</f>
        <v>0</v>
      </c>
      <c r="K50" s="9">
        <f>SUMIF(Prophix!$Q:$Q,'Fds Units'!$A50,Prophix!M:M)</f>
        <v>0</v>
      </c>
      <c r="L50" s="92">
        <f>_xlfn.XLOOKUP(FO50,Schedule!Z:Z,Schedule!Y:Y,0)</f>
        <v>0</v>
      </c>
      <c r="M50" s="133"/>
      <c r="N50" s="92">
        <v>0</v>
      </c>
      <c r="O50" s="92">
        <f t="shared" si="465"/>
        <v>0</v>
      </c>
      <c r="P50" s="142"/>
      <c r="Q50" s="133">
        <f>+P50-O50</f>
        <v>0</v>
      </c>
      <c r="R50" s="92"/>
      <c r="S50" s="92"/>
      <c r="T50" s="186">
        <f t="shared" si="467"/>
        <v>0</v>
      </c>
      <c r="U50" s="9"/>
      <c r="V50" s="9">
        <v>450000</v>
      </c>
      <c r="W50" s="9"/>
      <c r="X50" s="9">
        <v>332961</v>
      </c>
      <c r="Y50" s="8"/>
      <c r="Z50" s="9"/>
      <c r="AA50" s="9"/>
      <c r="AB50" s="242">
        <f t="shared" si="446"/>
        <v>0</v>
      </c>
      <c r="AC50" s="241">
        <v>525600</v>
      </c>
      <c r="AD50" s="165">
        <v>700800</v>
      </c>
      <c r="AE50" s="242">
        <v>700800</v>
      </c>
      <c r="AF50" s="9">
        <v>149100</v>
      </c>
      <c r="AG50" s="9">
        <v>0</v>
      </c>
      <c r="AH50" s="66"/>
      <c r="AI50" s="66"/>
      <c r="AJ50" s="66"/>
      <c r="AK50" s="66"/>
      <c r="AL50" s="66"/>
      <c r="AM50" s="66"/>
      <c r="AN50" s="66"/>
      <c r="AO50" s="59"/>
      <c r="AP50" s="8" t="s">
        <v>78</v>
      </c>
      <c r="AQ50" s="9">
        <v>100000</v>
      </c>
      <c r="AR50" s="10">
        <v>12</v>
      </c>
      <c r="AS50" s="8" t="s">
        <v>78</v>
      </c>
      <c r="AT50" s="9">
        <v>100000</v>
      </c>
      <c r="AU50" s="10">
        <v>12</v>
      </c>
      <c r="AV50" s="8" t="s">
        <v>78</v>
      </c>
      <c r="AW50" s="9">
        <v>100000</v>
      </c>
      <c r="AX50" s="10">
        <v>12</v>
      </c>
      <c r="AY50" s="8" t="s">
        <v>78</v>
      </c>
      <c r="AZ50" s="9">
        <v>100000</v>
      </c>
      <c r="BA50" s="10">
        <v>12</v>
      </c>
      <c r="BB50" s="8" t="s">
        <v>78</v>
      </c>
      <c r="BC50" s="9">
        <v>100000</v>
      </c>
      <c r="BD50" s="10">
        <v>12</v>
      </c>
      <c r="BE50" s="8" t="s">
        <v>78</v>
      </c>
      <c r="BF50" s="9">
        <f>+G50/1</f>
        <v>0</v>
      </c>
      <c r="BG50" s="10">
        <v>12</v>
      </c>
      <c r="BH50" s="8" t="s">
        <v>78</v>
      </c>
      <c r="BI50" s="9">
        <v>100000</v>
      </c>
      <c r="BJ50" s="10">
        <v>12</v>
      </c>
      <c r="BK50" s="8" t="s">
        <v>78</v>
      </c>
      <c r="BL50" s="9">
        <v>100000</v>
      </c>
      <c r="BM50" s="10">
        <v>12</v>
      </c>
      <c r="BN50" s="8" t="s">
        <v>78</v>
      </c>
      <c r="BO50" s="9">
        <v>100000</v>
      </c>
      <c r="BP50" s="10">
        <v>12</v>
      </c>
      <c r="BQ50" s="8" t="s">
        <v>78</v>
      </c>
      <c r="BR50" s="9">
        <v>100000</v>
      </c>
      <c r="BS50" s="10">
        <v>12</v>
      </c>
      <c r="BT50" s="8" t="s">
        <v>74</v>
      </c>
      <c r="BU50" s="9">
        <v>168000</v>
      </c>
      <c r="BV50" s="10">
        <v>15</v>
      </c>
      <c r="BW50" s="8" t="s">
        <v>74</v>
      </c>
      <c r="BX50" s="9">
        <v>175000</v>
      </c>
      <c r="BY50" s="10">
        <v>15</v>
      </c>
      <c r="BZ50" s="8" t="s">
        <v>74</v>
      </c>
      <c r="CA50" s="9">
        <v>175000</v>
      </c>
      <c r="CB50" s="10">
        <v>7</v>
      </c>
      <c r="CC50" s="8" t="str">
        <f t="shared" ref="CC50:DI50" si="492">+BZ50</f>
        <v>W3</v>
      </c>
      <c r="CD50" s="9">
        <f t="shared" si="492"/>
        <v>175000</v>
      </c>
      <c r="CE50" s="10">
        <f t="shared" si="492"/>
        <v>7</v>
      </c>
      <c r="CF50" s="8" t="str">
        <f t="shared" si="492"/>
        <v>W3</v>
      </c>
      <c r="CG50" s="9">
        <f t="shared" si="492"/>
        <v>175000</v>
      </c>
      <c r="CH50" s="10">
        <f t="shared" si="492"/>
        <v>7</v>
      </c>
      <c r="CI50" s="8" t="str">
        <f t="shared" si="492"/>
        <v>W3</v>
      </c>
      <c r="CJ50" s="9">
        <f t="shared" si="492"/>
        <v>175000</v>
      </c>
      <c r="CK50" s="10">
        <f t="shared" si="492"/>
        <v>7</v>
      </c>
      <c r="CL50" s="8" t="str">
        <f t="shared" si="492"/>
        <v>W3</v>
      </c>
      <c r="CM50" s="9">
        <f t="shared" si="492"/>
        <v>175000</v>
      </c>
      <c r="CN50" s="10">
        <f t="shared" si="492"/>
        <v>7</v>
      </c>
      <c r="CO50" s="8" t="str">
        <f t="shared" si="492"/>
        <v>W3</v>
      </c>
      <c r="CP50" s="9">
        <f t="shared" si="492"/>
        <v>175000</v>
      </c>
      <c r="CQ50" s="10">
        <f t="shared" si="492"/>
        <v>7</v>
      </c>
      <c r="CR50" s="8" t="str">
        <f t="shared" si="492"/>
        <v>W3</v>
      </c>
      <c r="CS50" s="9">
        <f t="shared" si="492"/>
        <v>175000</v>
      </c>
      <c r="CT50" s="10">
        <f t="shared" si="492"/>
        <v>7</v>
      </c>
      <c r="CU50" s="8" t="str">
        <f t="shared" si="492"/>
        <v>W3</v>
      </c>
      <c r="CV50" s="9">
        <f t="shared" si="492"/>
        <v>175000</v>
      </c>
      <c r="CW50" s="10">
        <f t="shared" si="492"/>
        <v>7</v>
      </c>
      <c r="CX50" s="8" t="str">
        <f t="shared" si="492"/>
        <v>W3</v>
      </c>
      <c r="CY50" s="9">
        <f t="shared" si="492"/>
        <v>175000</v>
      </c>
      <c r="CZ50" s="10">
        <f t="shared" si="492"/>
        <v>7</v>
      </c>
      <c r="DA50" s="8" t="str">
        <f t="shared" si="492"/>
        <v>W3</v>
      </c>
      <c r="DB50" s="9">
        <f t="shared" si="492"/>
        <v>175000</v>
      </c>
      <c r="DC50" s="10">
        <f t="shared" si="492"/>
        <v>7</v>
      </c>
      <c r="DD50" s="8" t="str">
        <f t="shared" si="492"/>
        <v>W3</v>
      </c>
      <c r="DE50" s="9">
        <f t="shared" si="492"/>
        <v>175000</v>
      </c>
      <c r="DF50" s="10">
        <f t="shared" si="492"/>
        <v>7</v>
      </c>
      <c r="DG50" s="8" t="str">
        <f t="shared" si="492"/>
        <v>W3</v>
      </c>
      <c r="DH50" s="9">
        <f t="shared" si="492"/>
        <v>175000</v>
      </c>
      <c r="DI50" s="10">
        <f t="shared" si="492"/>
        <v>7</v>
      </c>
      <c r="DK50" s="8">
        <f t="shared" si="468"/>
        <v>0</v>
      </c>
      <c r="DL50" s="67">
        <f t="shared" si="469"/>
        <v>0</v>
      </c>
      <c r="DM50" s="67">
        <f t="shared" si="470"/>
        <v>0</v>
      </c>
      <c r="DN50" s="67">
        <f>7+8</f>
        <v>15</v>
      </c>
      <c r="DO50" s="67">
        <f t="shared" si="471"/>
        <v>0</v>
      </c>
      <c r="DP50" s="67">
        <f t="shared" si="472"/>
        <v>0</v>
      </c>
      <c r="DQ50" s="9">
        <f t="shared" si="473"/>
        <v>0</v>
      </c>
      <c r="DR50" s="9">
        <f t="shared" si="474"/>
        <v>0</v>
      </c>
      <c r="DS50" s="9">
        <f t="shared" si="475"/>
        <v>0</v>
      </c>
      <c r="DT50" s="9">
        <f t="shared" si="476"/>
        <v>0</v>
      </c>
      <c r="DU50" s="9">
        <f t="shared" si="477"/>
        <v>0</v>
      </c>
      <c r="DV50" s="10">
        <f t="shared" si="478"/>
        <v>0</v>
      </c>
      <c r="DW50" s="9">
        <f t="shared" si="479"/>
        <v>3</v>
      </c>
      <c r="DX50" s="9">
        <f t="shared" si="480"/>
        <v>0</v>
      </c>
      <c r="DY50" s="9">
        <f t="shared" si="481"/>
        <v>5</v>
      </c>
      <c r="DZ50" s="9">
        <f t="shared" si="482"/>
        <v>1</v>
      </c>
      <c r="EA50" s="9">
        <f t="shared" si="483"/>
        <v>0</v>
      </c>
      <c r="EB50" s="9">
        <f t="shared" si="484"/>
        <v>0</v>
      </c>
      <c r="EC50" s="9">
        <f t="shared" si="485"/>
        <v>0</v>
      </c>
      <c r="ED50" s="9">
        <f t="shared" si="486"/>
        <v>0</v>
      </c>
      <c r="EE50" s="9">
        <f t="shared" si="487"/>
        <v>0</v>
      </c>
      <c r="EF50" s="9">
        <f t="shared" si="488"/>
        <v>0</v>
      </c>
      <c r="EG50" s="9">
        <f t="shared" si="489"/>
        <v>0</v>
      </c>
      <c r="EH50" s="9">
        <f t="shared" si="490"/>
        <v>0</v>
      </c>
      <c r="EJ50" s="8">
        <f>$AR50*DK50</f>
        <v>0</v>
      </c>
      <c r="EK50" s="9">
        <f>$AU50*DL50</f>
        <v>0</v>
      </c>
      <c r="EL50" s="9">
        <f>$AX50*DM50</f>
        <v>0</v>
      </c>
      <c r="EM50" s="9">
        <f>$BA50*DN50</f>
        <v>180</v>
      </c>
      <c r="EN50" s="9">
        <f>$BD50*DO50</f>
        <v>0</v>
      </c>
      <c r="EO50" s="9">
        <f>$BG50*DP50</f>
        <v>0</v>
      </c>
      <c r="EP50" s="9">
        <f>BJ50*DQ50</f>
        <v>0</v>
      </c>
      <c r="EQ50" s="9">
        <f>+BM50*DR50</f>
        <v>0</v>
      </c>
      <c r="ER50" s="9">
        <f>BP50*DS50</f>
        <v>0</v>
      </c>
      <c r="ES50" s="9">
        <f>+BS50*DT50</f>
        <v>0</v>
      </c>
      <c r="ET50" s="9">
        <f>+BV50*DU50</f>
        <v>0</v>
      </c>
      <c r="EU50" s="10">
        <f>+BY50*DV50</f>
        <v>0</v>
      </c>
      <c r="EV50" s="9">
        <f>+CB50*DW50</f>
        <v>21</v>
      </c>
      <c r="EW50" s="9">
        <f>+CE50*DX50</f>
        <v>0</v>
      </c>
      <c r="EX50" s="9">
        <f>+CH50*DY50</f>
        <v>35</v>
      </c>
      <c r="EY50" s="9">
        <f>+CK50*DZ50</f>
        <v>7</v>
      </c>
      <c r="EZ50" s="9">
        <f>+CN50*EA50</f>
        <v>0</v>
      </c>
      <c r="FA50" s="9">
        <f>+CQ50*EB50</f>
        <v>0</v>
      </c>
      <c r="FB50" s="9">
        <f>+CT50*EC50</f>
        <v>0</v>
      </c>
      <c r="FC50" s="9">
        <f>+CW50*ED50</f>
        <v>0</v>
      </c>
      <c r="FD50" s="9">
        <f>+CZ50*EE50</f>
        <v>0</v>
      </c>
      <c r="FE50" s="9">
        <f>+DC50*EF50</f>
        <v>0</v>
      </c>
      <c r="FF50" s="9">
        <f>+DF50*EG50</f>
        <v>0</v>
      </c>
      <c r="FG50" s="9">
        <f>+DI50*EH50</f>
        <v>0</v>
      </c>
      <c r="FO50" t="str">
        <f t="shared" si="396"/>
        <v xml:space="preserve">            (85217) FLB BEEF STEWY4S/Y5</v>
      </c>
      <c r="FP50" t="str">
        <f t="shared" si="397"/>
        <v xml:space="preserve">            (85217) FLB BEEF STEWW3</v>
      </c>
      <c r="FQ50" t="str">
        <f t="shared" si="398"/>
        <v xml:space="preserve">            (85217) FLB BEEF STEWW3</v>
      </c>
      <c r="FR50" t="s">
        <v>868</v>
      </c>
    </row>
    <row r="51" spans="1:174" outlineLevel="2" x14ac:dyDescent="0.25">
      <c r="A51" s="43" t="s">
        <v>1082</v>
      </c>
      <c r="B51" s="9">
        <f>SUMIF(Prophix!$Q:$Q,'Fds Units'!$A51,Prophix!D:D)</f>
        <v>0</v>
      </c>
      <c r="C51" s="9">
        <f>SUMIF(Prophix!$Q:$Q,'Fds Units'!$A51,Prophix!E:E)</f>
        <v>0</v>
      </c>
      <c r="D51" s="9">
        <f>SUMIF(Prophix!$Q:$Q,'Fds Units'!$A51,Prophix!F:F)</f>
        <v>0</v>
      </c>
      <c r="E51" s="9">
        <f>SUMIF(Prophix!$Q:$Q,'Fds Units'!$A51,Prophix!G:G)</f>
        <v>0</v>
      </c>
      <c r="F51" s="9">
        <f>SUMIF(Prophix!$Q:$Q,'Fds Units'!$A51,Prophix!H:H)</f>
        <v>0</v>
      </c>
      <c r="G51" s="9">
        <f>SUMIF(Prophix!$Q:$Q,'Fds Units'!$A51,Prophix!I:I)</f>
        <v>0</v>
      </c>
      <c r="H51" s="9">
        <f>SUMIF(Prophix!$Q:$Q,'Fds Units'!$A51,Prophix!J:J)</f>
        <v>0</v>
      </c>
      <c r="I51" s="9">
        <f>SUMIF(Prophix!$Q:$Q,'Fds Units'!$A51,Prophix!K:K)</f>
        <v>0</v>
      </c>
      <c r="J51" s="9">
        <f>SUMIF(Prophix!$Q:$Q,'Fds Units'!$A51,Prophix!L:L)</f>
        <v>131568</v>
      </c>
      <c r="K51" s="9">
        <f>SUMIF(Prophix!$Q:$Q,'Fds Units'!$A51,Prophix!M:M)</f>
        <v>0</v>
      </c>
      <c r="L51" s="92">
        <v>43464</v>
      </c>
      <c r="M51" s="133"/>
      <c r="N51" s="92">
        <v>0</v>
      </c>
      <c r="O51" s="92">
        <f t="shared" si="465"/>
        <v>43464</v>
      </c>
      <c r="P51" s="142"/>
      <c r="Q51" s="133">
        <v>0</v>
      </c>
      <c r="R51" s="92"/>
      <c r="S51" s="92"/>
      <c r="T51" s="186">
        <f t="shared" si="467"/>
        <v>0</v>
      </c>
      <c r="U51" s="9">
        <v>300000</v>
      </c>
      <c r="V51" s="9">
        <v>274800</v>
      </c>
      <c r="W51" s="9"/>
      <c r="X51" s="9">
        <v>290194</v>
      </c>
      <c r="Y51" s="8">
        <v>525600</v>
      </c>
      <c r="Z51" s="9">
        <v>700800</v>
      </c>
      <c r="AA51" s="9">
        <v>411528</v>
      </c>
      <c r="AB51" s="242">
        <f t="shared" si="446"/>
        <v>-289272</v>
      </c>
      <c r="AC51" s="241">
        <v>0</v>
      </c>
      <c r="AD51" s="165">
        <v>350400</v>
      </c>
      <c r="AE51" s="242">
        <v>350400</v>
      </c>
      <c r="AF51" s="9">
        <v>0</v>
      </c>
      <c r="AG51" s="9">
        <v>0</v>
      </c>
      <c r="AH51" s="66"/>
      <c r="AI51" s="66"/>
      <c r="AJ51" s="66"/>
      <c r="AK51" s="66"/>
      <c r="AL51" s="66"/>
      <c r="AM51" s="66"/>
      <c r="AN51" s="66"/>
      <c r="AO51" s="59"/>
      <c r="AP51" s="8" t="s">
        <v>78</v>
      </c>
      <c r="AQ51" s="9">
        <v>100000</v>
      </c>
      <c r="AR51" s="10">
        <v>4</v>
      </c>
      <c r="AS51" s="8" t="s">
        <v>78</v>
      </c>
      <c r="AT51" s="9">
        <v>100000</v>
      </c>
      <c r="AU51" s="10">
        <v>4</v>
      </c>
      <c r="AV51" s="8" t="s">
        <v>78</v>
      </c>
      <c r="AW51" s="9">
        <v>100000</v>
      </c>
      <c r="AX51" s="10">
        <v>4</v>
      </c>
      <c r="AY51" s="8" t="s">
        <v>77</v>
      </c>
      <c r="AZ51" s="9">
        <v>200000</v>
      </c>
      <c r="BA51" s="10">
        <v>7</v>
      </c>
      <c r="BB51" s="8" t="s">
        <v>78</v>
      </c>
      <c r="BC51" s="9">
        <v>102000</v>
      </c>
      <c r="BD51" s="10">
        <v>4</v>
      </c>
      <c r="BE51" s="8" t="s">
        <v>78</v>
      </c>
      <c r="BF51" s="9">
        <v>100000</v>
      </c>
      <c r="BG51" s="10">
        <v>4</v>
      </c>
      <c r="BH51" s="8" t="s">
        <v>78</v>
      </c>
      <c r="BI51" s="9">
        <v>100000</v>
      </c>
      <c r="BJ51" s="10">
        <v>4</v>
      </c>
      <c r="BK51" s="8" t="s">
        <v>77</v>
      </c>
      <c r="BL51" s="9">
        <v>200000</v>
      </c>
      <c r="BM51" s="10">
        <v>7</v>
      </c>
      <c r="BN51" s="8" t="s">
        <v>77</v>
      </c>
      <c r="BO51" s="9">
        <v>200000</v>
      </c>
      <c r="BP51" s="10">
        <v>7</v>
      </c>
      <c r="BQ51" s="8" t="s">
        <v>77</v>
      </c>
      <c r="BR51" s="9">
        <f t="shared" si="491"/>
        <v>200000</v>
      </c>
      <c r="BS51" s="10">
        <v>7</v>
      </c>
      <c r="BT51" s="8" t="s">
        <v>1413</v>
      </c>
      <c r="BU51" s="9">
        <v>200000</v>
      </c>
      <c r="BV51" s="10">
        <v>7</v>
      </c>
      <c r="BW51" s="8" t="s">
        <v>74</v>
      </c>
      <c r="BX51" s="9">
        <v>175000</v>
      </c>
      <c r="BY51" s="10">
        <v>7</v>
      </c>
      <c r="BZ51" s="8" t="s">
        <v>74</v>
      </c>
      <c r="CA51" s="9">
        <v>175000</v>
      </c>
      <c r="CB51" s="10">
        <f t="shared" si="295"/>
        <v>7</v>
      </c>
      <c r="CC51" s="8" t="str">
        <f t="shared" si="296"/>
        <v>W3</v>
      </c>
      <c r="CD51" s="9">
        <f t="shared" si="297"/>
        <v>175000</v>
      </c>
      <c r="CE51" s="10">
        <f t="shared" si="298"/>
        <v>7</v>
      </c>
      <c r="CF51" s="8" t="str">
        <f t="shared" si="299"/>
        <v>W3</v>
      </c>
      <c r="CG51" s="9">
        <f t="shared" si="300"/>
        <v>175000</v>
      </c>
      <c r="CH51" s="10">
        <f t="shared" si="301"/>
        <v>7</v>
      </c>
      <c r="CI51" s="8" t="str">
        <f t="shared" si="302"/>
        <v>W3</v>
      </c>
      <c r="CJ51" s="9">
        <f t="shared" si="303"/>
        <v>175000</v>
      </c>
      <c r="CK51" s="10">
        <f t="shared" si="304"/>
        <v>7</v>
      </c>
      <c r="CL51" s="8" t="str">
        <f t="shared" si="251"/>
        <v>W3</v>
      </c>
      <c r="CM51" s="9">
        <f t="shared" si="252"/>
        <v>175000</v>
      </c>
      <c r="CN51" s="10">
        <f t="shared" si="253"/>
        <v>7</v>
      </c>
      <c r="CO51" s="8" t="str">
        <f t="shared" si="254"/>
        <v>W3</v>
      </c>
      <c r="CP51" s="9">
        <f t="shared" si="442"/>
        <v>175000</v>
      </c>
      <c r="CQ51" s="10">
        <f t="shared" si="255"/>
        <v>7</v>
      </c>
      <c r="CR51" s="8" t="str">
        <f t="shared" si="256"/>
        <v>W3</v>
      </c>
      <c r="CS51" s="9">
        <f t="shared" si="257"/>
        <v>175000</v>
      </c>
      <c r="CT51" s="10">
        <f t="shared" si="258"/>
        <v>7</v>
      </c>
      <c r="CU51" s="8" t="str">
        <f t="shared" si="259"/>
        <v>W3</v>
      </c>
      <c r="CV51" s="9">
        <f t="shared" si="260"/>
        <v>175000</v>
      </c>
      <c r="CW51" s="10">
        <f t="shared" si="261"/>
        <v>7</v>
      </c>
      <c r="CX51" s="8" t="str">
        <f t="shared" si="262"/>
        <v>W3</v>
      </c>
      <c r="CY51" s="9">
        <f t="shared" si="263"/>
        <v>175000</v>
      </c>
      <c r="CZ51" s="10">
        <f t="shared" si="264"/>
        <v>7</v>
      </c>
      <c r="DA51" s="8" t="str">
        <f t="shared" si="265"/>
        <v>W3</v>
      </c>
      <c r="DB51" s="9">
        <f t="shared" si="266"/>
        <v>175000</v>
      </c>
      <c r="DC51" s="10">
        <f t="shared" si="267"/>
        <v>7</v>
      </c>
      <c r="DD51" s="8" t="str">
        <f t="shared" si="268"/>
        <v>W3</v>
      </c>
      <c r="DE51" s="9">
        <f t="shared" si="269"/>
        <v>175000</v>
      </c>
      <c r="DF51" s="10">
        <f t="shared" si="270"/>
        <v>7</v>
      </c>
      <c r="DG51" s="8" t="str">
        <f t="shared" si="271"/>
        <v>W3</v>
      </c>
      <c r="DH51" s="9">
        <f t="shared" si="272"/>
        <v>175000</v>
      </c>
      <c r="DI51" s="10">
        <f t="shared" si="273"/>
        <v>7</v>
      </c>
      <c r="DK51" s="8">
        <f t="shared" si="468"/>
        <v>0</v>
      </c>
      <c r="DL51" s="67">
        <f t="shared" si="469"/>
        <v>0</v>
      </c>
      <c r="DM51" s="67">
        <f t="shared" si="470"/>
        <v>0</v>
      </c>
      <c r="DN51" s="9">
        <f>IFERROR(ROUNDUP(+E51/$AZ51,0),0)</f>
        <v>0</v>
      </c>
      <c r="DO51" s="67">
        <f t="shared" si="471"/>
        <v>0</v>
      </c>
      <c r="DP51" s="67">
        <f t="shared" si="472"/>
        <v>0</v>
      </c>
      <c r="DQ51" s="9">
        <f t="shared" si="473"/>
        <v>0</v>
      </c>
      <c r="DR51" s="9">
        <f t="shared" si="474"/>
        <v>0</v>
      </c>
      <c r="DS51" s="9">
        <f t="shared" si="475"/>
        <v>1</v>
      </c>
      <c r="DT51" s="9">
        <f t="shared" si="476"/>
        <v>0</v>
      </c>
      <c r="DU51" s="9">
        <f t="shared" si="477"/>
        <v>0</v>
      </c>
      <c r="DV51" s="10">
        <f t="shared" si="478"/>
        <v>0</v>
      </c>
      <c r="DW51" s="9">
        <f t="shared" si="479"/>
        <v>2</v>
      </c>
      <c r="DX51" s="9">
        <f t="shared" si="480"/>
        <v>4</v>
      </c>
      <c r="DY51" s="9">
        <f t="shared" si="481"/>
        <v>3</v>
      </c>
      <c r="DZ51" s="9">
        <f t="shared" si="482"/>
        <v>0</v>
      </c>
      <c r="EA51" s="9">
        <f t="shared" si="483"/>
        <v>0</v>
      </c>
      <c r="EB51" s="9">
        <f t="shared" si="484"/>
        <v>0</v>
      </c>
      <c r="EC51" s="9">
        <f t="shared" si="485"/>
        <v>0</v>
      </c>
      <c r="ED51" s="9">
        <f t="shared" si="486"/>
        <v>0</v>
      </c>
      <c r="EE51" s="9">
        <f t="shared" si="487"/>
        <v>0</v>
      </c>
      <c r="EF51" s="9">
        <f t="shared" si="488"/>
        <v>0</v>
      </c>
      <c r="EG51" s="9">
        <f t="shared" si="489"/>
        <v>0</v>
      </c>
      <c r="EH51" s="9">
        <f t="shared" si="490"/>
        <v>0</v>
      </c>
      <c r="EJ51" s="8">
        <f t="shared" si="305"/>
        <v>0</v>
      </c>
      <c r="EK51" s="9">
        <f t="shared" si="306"/>
        <v>0</v>
      </c>
      <c r="EL51" s="9">
        <f t="shared" si="307"/>
        <v>0</v>
      </c>
      <c r="EM51" s="9">
        <f t="shared" si="308"/>
        <v>0</v>
      </c>
      <c r="EN51" s="9">
        <f t="shared" si="309"/>
        <v>0</v>
      </c>
      <c r="EO51" s="9">
        <f t="shared" si="310"/>
        <v>0</v>
      </c>
      <c r="EP51" s="9">
        <f t="shared" si="275"/>
        <v>0</v>
      </c>
      <c r="EQ51" s="9">
        <f t="shared" si="276"/>
        <v>0</v>
      </c>
      <c r="ER51" s="9">
        <f t="shared" si="277"/>
        <v>7</v>
      </c>
      <c r="ES51" s="9">
        <f t="shared" si="278"/>
        <v>0</v>
      </c>
      <c r="ET51" s="9">
        <f t="shared" si="279"/>
        <v>0</v>
      </c>
      <c r="EU51" s="10">
        <f t="shared" si="280"/>
        <v>0</v>
      </c>
      <c r="EV51" s="9">
        <f t="shared" si="281"/>
        <v>14</v>
      </c>
      <c r="EW51" s="9">
        <f t="shared" si="282"/>
        <v>28</v>
      </c>
      <c r="EX51" s="9">
        <f t="shared" si="283"/>
        <v>21</v>
      </c>
      <c r="EY51" s="9">
        <f t="shared" si="284"/>
        <v>0</v>
      </c>
      <c r="EZ51" s="9">
        <f t="shared" si="285"/>
        <v>0</v>
      </c>
      <c r="FA51" s="9">
        <f t="shared" si="286"/>
        <v>0</v>
      </c>
      <c r="FB51" s="9">
        <f t="shared" si="287"/>
        <v>0</v>
      </c>
      <c r="FC51" s="9">
        <f t="shared" si="288"/>
        <v>0</v>
      </c>
      <c r="FD51" s="9">
        <f t="shared" si="289"/>
        <v>0</v>
      </c>
      <c r="FE51" s="9">
        <f t="shared" si="290"/>
        <v>0</v>
      </c>
      <c r="FF51" s="9">
        <f t="shared" si="291"/>
        <v>0</v>
      </c>
      <c r="FG51" s="9">
        <f t="shared" si="292"/>
        <v>0</v>
      </c>
      <c r="FO51" t="str">
        <f t="shared" si="396"/>
        <v xml:space="preserve">            (85220) FLB CHILI W/BEANSW2</v>
      </c>
      <c r="FP51" t="str">
        <f t="shared" si="397"/>
        <v xml:space="preserve">            (85220) FLB CHILI W/BEANSw3</v>
      </c>
      <c r="FQ51" t="str">
        <f t="shared" si="398"/>
        <v xml:space="preserve">            (85220) FLB CHILI W/BEANSW3</v>
      </c>
      <c r="FR51" t="s">
        <v>865</v>
      </c>
    </row>
    <row r="52" spans="1:174" s="48" customFormat="1" outlineLevel="1" x14ac:dyDescent="0.25">
      <c r="A52" s="217" t="s">
        <v>37</v>
      </c>
      <c r="B52" s="223">
        <f t="shared" ref="B52:E52" si="493">SUM(B53:B54)</f>
        <v>578988</v>
      </c>
      <c r="C52" s="223">
        <f t="shared" si="493"/>
        <v>654732</v>
      </c>
      <c r="D52" s="223">
        <f t="shared" si="493"/>
        <v>263412</v>
      </c>
      <c r="E52" s="223">
        <f t="shared" si="493"/>
        <v>0</v>
      </c>
      <c r="F52" s="223">
        <f t="shared" ref="F52:G52" si="494">SUM(F53:F54)</f>
        <v>1741320</v>
      </c>
      <c r="G52" s="223">
        <f t="shared" si="494"/>
        <v>0</v>
      </c>
      <c r="H52" s="223">
        <f t="shared" ref="H52:I52" si="495">SUM(H53:H54)</f>
        <v>414468</v>
      </c>
      <c r="I52" s="223">
        <f t="shared" si="495"/>
        <v>134244</v>
      </c>
      <c r="J52" s="223">
        <f t="shared" ref="J52:L52" si="496">SUM(J53:J54)</f>
        <v>0</v>
      </c>
      <c r="K52" s="223">
        <f t="shared" ref="K52" si="497">SUM(K53:K54)</f>
        <v>0</v>
      </c>
      <c r="L52" s="223">
        <f t="shared" si="496"/>
        <v>24984</v>
      </c>
      <c r="M52" s="225">
        <f t="shared" ref="M52:V52" si="498">SUM(M53:M54)</f>
        <v>0</v>
      </c>
      <c r="N52" s="175">
        <f t="shared" ref="N52" si="499">SUM(N53:N54)</f>
        <v>0</v>
      </c>
      <c r="O52" s="223">
        <f t="shared" ref="O52" si="500">SUM(O53:O54)</f>
        <v>24984</v>
      </c>
      <c r="P52" s="226"/>
      <c r="Q52" s="225">
        <f t="shared" ref="Q52" si="501">SUM(Q53:Q54)</f>
        <v>0</v>
      </c>
      <c r="R52" s="175">
        <f t="shared" ref="R52:S52" si="502">SUM(R53:R54)</f>
        <v>1012500</v>
      </c>
      <c r="S52" s="175">
        <f t="shared" si="502"/>
        <v>721116</v>
      </c>
      <c r="T52" s="227">
        <f t="shared" si="498"/>
        <v>-291384</v>
      </c>
      <c r="U52" s="175">
        <f t="shared" si="498"/>
        <v>300000</v>
      </c>
      <c r="V52" s="220">
        <f t="shared" si="498"/>
        <v>299952</v>
      </c>
      <c r="W52" s="220">
        <v>2100000</v>
      </c>
      <c r="X52" s="220">
        <f t="shared" ref="X52:AG52" si="503">SUM(X53:X54)</f>
        <v>210120</v>
      </c>
      <c r="Y52" s="243">
        <f t="shared" ref="Y52:Z52" si="504">SUM(Y53:Y54)</f>
        <v>1349784</v>
      </c>
      <c r="Z52" s="220">
        <f t="shared" si="504"/>
        <v>749880</v>
      </c>
      <c r="AA52" s="220">
        <f t="shared" ref="AA52" si="505">SUM(AA53:AA54)</f>
        <v>231948</v>
      </c>
      <c r="AB52" s="244">
        <f>SUM(AB53:AB54)</f>
        <v>-517932</v>
      </c>
      <c r="AC52" s="243">
        <f t="shared" si="503"/>
        <v>500000</v>
      </c>
      <c r="AD52" s="220">
        <f>SUM(AD54:AD54)</f>
        <v>500000</v>
      </c>
      <c r="AE52" s="244">
        <f t="shared" si="503"/>
        <v>749880</v>
      </c>
      <c r="AF52" s="220">
        <f t="shared" si="503"/>
        <v>620568</v>
      </c>
      <c r="AG52" s="220">
        <f t="shared" si="503"/>
        <v>153000</v>
      </c>
      <c r="AH52" s="220">
        <f t="shared" ref="AH52:AN52" si="506">333333*$AO$26</f>
        <v>249999.75</v>
      </c>
      <c r="AI52" s="220">
        <f t="shared" si="506"/>
        <v>249999.75</v>
      </c>
      <c r="AJ52" s="220">
        <f t="shared" si="506"/>
        <v>249999.75</v>
      </c>
      <c r="AK52" s="220">
        <f t="shared" si="506"/>
        <v>249999.75</v>
      </c>
      <c r="AL52" s="220">
        <f t="shared" si="506"/>
        <v>249999.75</v>
      </c>
      <c r="AM52" s="220">
        <f t="shared" si="506"/>
        <v>249999.75</v>
      </c>
      <c r="AN52" s="220">
        <f t="shared" si="506"/>
        <v>249999.75</v>
      </c>
      <c r="AO52" s="179"/>
      <c r="AP52" s="221"/>
      <c r="AQ52" s="175"/>
      <c r="AR52" s="222"/>
      <c r="AS52" s="221"/>
      <c r="AT52" s="175"/>
      <c r="AU52" s="222"/>
      <c r="AV52" s="221"/>
      <c r="AW52" s="175"/>
      <c r="AX52" s="222"/>
      <c r="AY52" s="221"/>
      <c r="AZ52" s="175"/>
      <c r="BA52" s="222"/>
      <c r="BB52" s="221"/>
      <c r="BC52" s="175"/>
      <c r="BD52" s="222"/>
      <c r="BE52" s="221"/>
      <c r="BF52" s="175"/>
      <c r="BG52" s="222"/>
      <c r="BH52" s="221"/>
      <c r="BI52" s="175"/>
      <c r="BJ52" s="222"/>
      <c r="BK52" s="221"/>
      <c r="BL52" s="175"/>
      <c r="BM52" s="222"/>
      <c r="BN52" s="221"/>
      <c r="BO52" s="175"/>
      <c r="BP52" s="222"/>
      <c r="BQ52" s="221"/>
      <c r="BR52" s="175"/>
      <c r="BS52" s="222"/>
      <c r="BT52" s="221"/>
      <c r="BU52" s="175"/>
      <c r="BV52" s="222"/>
      <c r="BW52" s="221"/>
      <c r="BX52" s="175"/>
      <c r="BY52" s="222"/>
      <c r="BZ52" s="221"/>
      <c r="CA52" s="175"/>
      <c r="CB52" s="222"/>
      <c r="CC52" s="221"/>
      <c r="CD52" s="175"/>
      <c r="CE52" s="222"/>
      <c r="CF52" s="221"/>
      <c r="CG52" s="175"/>
      <c r="CH52" s="222"/>
      <c r="CI52" s="221" t="str">
        <f>+CI53</f>
        <v>W3</v>
      </c>
      <c r="CJ52" s="175">
        <f t="shared" ref="CJ52" si="507">+CJ53</f>
        <v>153000</v>
      </c>
      <c r="CK52" s="222">
        <f t="shared" ref="CK52" si="508">+CK53</f>
        <v>9</v>
      </c>
      <c r="CL52" s="221" t="str">
        <f t="shared" si="251"/>
        <v>W3</v>
      </c>
      <c r="CM52" s="175">
        <f t="shared" si="252"/>
        <v>153000</v>
      </c>
      <c r="CN52" s="222">
        <f t="shared" si="253"/>
        <v>9</v>
      </c>
      <c r="CO52" s="221" t="str">
        <f t="shared" si="254"/>
        <v>W3</v>
      </c>
      <c r="CP52" s="175">
        <f t="shared" si="442"/>
        <v>153000</v>
      </c>
      <c r="CQ52" s="222">
        <f t="shared" si="255"/>
        <v>9</v>
      </c>
      <c r="CR52" s="221" t="str">
        <f t="shared" si="256"/>
        <v>W3</v>
      </c>
      <c r="CS52" s="175">
        <f t="shared" si="257"/>
        <v>153000</v>
      </c>
      <c r="CT52" s="222">
        <f t="shared" si="258"/>
        <v>9</v>
      </c>
      <c r="CU52" s="221" t="str">
        <f t="shared" si="259"/>
        <v>W3</v>
      </c>
      <c r="CV52" s="175">
        <f t="shared" si="260"/>
        <v>153000</v>
      </c>
      <c r="CW52" s="222">
        <f t="shared" si="261"/>
        <v>9</v>
      </c>
      <c r="CX52" s="221" t="str">
        <f t="shared" si="262"/>
        <v>W3</v>
      </c>
      <c r="CY52" s="175">
        <f t="shared" si="263"/>
        <v>153000</v>
      </c>
      <c r="CZ52" s="222">
        <f t="shared" si="264"/>
        <v>9</v>
      </c>
      <c r="DA52" s="221" t="str">
        <f t="shared" si="265"/>
        <v>W3</v>
      </c>
      <c r="DB52" s="175">
        <f t="shared" si="266"/>
        <v>153000</v>
      </c>
      <c r="DC52" s="222">
        <f t="shared" si="267"/>
        <v>9</v>
      </c>
      <c r="DD52" s="221" t="str">
        <f t="shared" si="268"/>
        <v>W3</v>
      </c>
      <c r="DE52" s="175">
        <f t="shared" si="269"/>
        <v>153000</v>
      </c>
      <c r="DF52" s="222">
        <f t="shared" si="270"/>
        <v>9</v>
      </c>
      <c r="DG52" s="221" t="str">
        <f t="shared" si="271"/>
        <v>W3</v>
      </c>
      <c r="DH52" s="175">
        <f t="shared" si="272"/>
        <v>153000</v>
      </c>
      <c r="DI52" s="222">
        <f t="shared" si="273"/>
        <v>9</v>
      </c>
      <c r="DK52" s="221"/>
      <c r="DL52" s="175"/>
      <c r="DM52" s="175"/>
      <c r="DN52" s="175"/>
      <c r="DO52" s="175"/>
      <c r="DP52" s="175"/>
      <c r="DQ52" s="175"/>
      <c r="DR52" s="175"/>
      <c r="DS52" s="175"/>
      <c r="DT52" s="175"/>
      <c r="DU52" s="175"/>
      <c r="DV52" s="222"/>
      <c r="DW52" s="175">
        <f>IFERROR(ROUNDUP(+Y52/CA52,0),0)</f>
        <v>0</v>
      </c>
      <c r="DX52" s="175">
        <f>IFERROR(ROUNDUP(+AE52/CD52,0),0)</f>
        <v>0</v>
      </c>
      <c r="DY52" s="175">
        <f>IFERROR(ROUNDUP(+AF52/CG52,0),0)</f>
        <v>0</v>
      </c>
      <c r="DZ52" s="175">
        <f>IFERROR(ROUNDUP(+AG52/CJ52,0),0)</f>
        <v>1</v>
      </c>
      <c r="EA52" s="175">
        <f>IFERROR(ROUNDUP(+AH52/CM52,0),0)</f>
        <v>2</v>
      </c>
      <c r="EB52" s="175">
        <f>IFERROR(ROUNDUP(+AI52/CP52,0),0)</f>
        <v>2</v>
      </c>
      <c r="EC52" s="175">
        <f>IFERROR(ROUNDUP(+AJ52/CS52,0),0)</f>
        <v>2</v>
      </c>
      <c r="ED52" s="175">
        <f>IFERROR(ROUNDUP(+AK52/CV52,0),0)</f>
        <v>2</v>
      </c>
      <c r="EE52" s="175">
        <f>IFERROR(ROUNDUP(+AL52/CY52,0),0)</f>
        <v>2</v>
      </c>
      <c r="EF52" s="175">
        <f>IFERROR(ROUNDUP(+AM52/DB52,0),0)</f>
        <v>2</v>
      </c>
      <c r="EG52" s="175">
        <f>IFERROR(ROUNDUP(+AN52/DE52,0),0)</f>
        <v>2</v>
      </c>
      <c r="EH52" s="175">
        <f>IFERROR(ROUNDUP(+#REF!/DH52,0),0)</f>
        <v>0</v>
      </c>
      <c r="EJ52" s="221">
        <f t="shared" si="305"/>
        <v>0</v>
      </c>
      <c r="EK52" s="175">
        <f t="shared" si="306"/>
        <v>0</v>
      </c>
      <c r="EL52" s="175">
        <f t="shared" si="307"/>
        <v>0</v>
      </c>
      <c r="EM52" s="175">
        <f t="shared" si="308"/>
        <v>0</v>
      </c>
      <c r="EN52" s="175">
        <f t="shared" si="309"/>
        <v>0</v>
      </c>
      <c r="EO52" s="175">
        <f t="shared" si="310"/>
        <v>0</v>
      </c>
      <c r="EP52" s="175">
        <f t="shared" si="275"/>
        <v>0</v>
      </c>
      <c r="EQ52" s="175">
        <f t="shared" si="276"/>
        <v>0</v>
      </c>
      <c r="ER52" s="175">
        <f t="shared" si="277"/>
        <v>0</v>
      </c>
      <c r="ES52" s="175">
        <f t="shared" si="278"/>
        <v>0</v>
      </c>
      <c r="ET52" s="175">
        <f t="shared" si="279"/>
        <v>0</v>
      </c>
      <c r="EU52" s="222">
        <f t="shared" si="280"/>
        <v>0</v>
      </c>
      <c r="EV52" s="175">
        <f t="shared" si="281"/>
        <v>0</v>
      </c>
      <c r="EW52" s="175">
        <f t="shared" si="282"/>
        <v>0</v>
      </c>
      <c r="EX52" s="175">
        <f t="shared" si="283"/>
        <v>0</v>
      </c>
      <c r="EY52" s="175">
        <f t="shared" si="284"/>
        <v>9</v>
      </c>
      <c r="EZ52" s="175">
        <f t="shared" si="285"/>
        <v>18</v>
      </c>
      <c r="FA52" s="175">
        <f t="shared" si="286"/>
        <v>18</v>
      </c>
      <c r="FB52" s="175">
        <f t="shared" si="287"/>
        <v>18</v>
      </c>
      <c r="FC52" s="175">
        <f t="shared" si="288"/>
        <v>18</v>
      </c>
      <c r="FD52" s="175">
        <f t="shared" si="289"/>
        <v>18</v>
      </c>
      <c r="FE52" s="175">
        <f t="shared" si="290"/>
        <v>18</v>
      </c>
      <c r="FF52" s="175">
        <f t="shared" si="291"/>
        <v>18</v>
      </c>
      <c r="FG52" s="175">
        <f t="shared" si="292"/>
        <v>0</v>
      </c>
      <c r="FO52" s="48" t="str">
        <f t="shared" si="396"/>
        <v>10 OZ</v>
      </c>
      <c r="FP52" s="48" t="str">
        <f t="shared" si="397"/>
        <v>10 OZ</v>
      </c>
      <c r="FQ52" s="48" t="str">
        <f t="shared" si="398"/>
        <v>10 OZ</v>
      </c>
      <c r="FR52" s="48">
        <v>0</v>
      </c>
    </row>
    <row r="53" spans="1:174" outlineLevel="2" x14ac:dyDescent="0.25">
      <c r="A53" s="43" t="s">
        <v>38</v>
      </c>
      <c r="B53" s="9">
        <f>SUMIF(Prophix!$Q:$Q,'Fds Units'!$A53,Prophix!D:D)</f>
        <v>0</v>
      </c>
      <c r="C53" s="9">
        <f>SUMIF(Prophix!$Q:$Q,'Fds Units'!$A53,Prophix!E:E)</f>
        <v>0</v>
      </c>
      <c r="D53" s="9">
        <f>SUMIF(Prophix!$Q:$Q,'Fds Units'!$A53,Prophix!F:F)</f>
        <v>0</v>
      </c>
      <c r="E53" s="9">
        <f>SUMIF(Prophix!$Q:$Q,'Fds Units'!$A53,Prophix!G:G)</f>
        <v>0</v>
      </c>
      <c r="F53" s="9">
        <f>SUMIF(Prophix!$Q:$Q,'Fds Units'!$A53,Prophix!H:H)</f>
        <v>0</v>
      </c>
      <c r="G53" s="9">
        <f>SUMIF(Prophix!$Q:$Q,'Fds Units'!$A53,Prophix!I:I)</f>
        <v>0</v>
      </c>
      <c r="H53" s="9">
        <f>SUMIF(Prophix!$Q:$Q,'Fds Units'!$A53,Prophix!J:J)</f>
        <v>0</v>
      </c>
      <c r="I53" s="9">
        <f>SUMIF(Prophix!$Q:$Q,'Fds Units'!$A53,Prophix!K:K)</f>
        <v>0</v>
      </c>
      <c r="J53" s="9">
        <f>SUMIF(Prophix!$Q:$Q,'Fds Units'!$A53,Prophix!L:L)</f>
        <v>0</v>
      </c>
      <c r="K53" s="9">
        <f>SUMIF(Prophix!$Q:$Q,'Fds Units'!$A53,Prophix!M:M)</f>
        <v>0</v>
      </c>
      <c r="L53" s="92">
        <f>_xlfn.XLOOKUP(FO53,Schedule!Z:Z,Schedule!Y:Y,0)</f>
        <v>0</v>
      </c>
      <c r="M53" s="133"/>
      <c r="N53" s="92">
        <f>SUMIF(Schedule!$R:$R,$FP53,Schedule!P:P)</f>
        <v>0</v>
      </c>
      <c r="O53" s="92">
        <f t="shared" ref="O53:O54" si="509">L53-N53</f>
        <v>0</v>
      </c>
      <c r="P53" s="142"/>
      <c r="Q53" s="133">
        <f t="shared" ref="Q53" si="510">+P53-O53</f>
        <v>0</v>
      </c>
      <c r="R53" s="92"/>
      <c r="S53" s="92"/>
      <c r="T53" s="186">
        <f t="shared" ref="T53" si="511">+R53-Q53</f>
        <v>0</v>
      </c>
      <c r="U53" s="9"/>
      <c r="V53" s="9"/>
      <c r="W53" s="9"/>
      <c r="X53" s="9"/>
      <c r="Y53" s="8"/>
      <c r="Z53" s="9"/>
      <c r="AA53" s="9"/>
      <c r="AB53" s="242">
        <f t="shared" si="446"/>
        <v>0</v>
      </c>
      <c r="AC53" s="241">
        <v>0</v>
      </c>
      <c r="AD53" s="165">
        <v>0</v>
      </c>
      <c r="AE53" s="242">
        <v>0</v>
      </c>
      <c r="AF53" s="9">
        <v>0</v>
      </c>
      <c r="AG53" s="9">
        <v>0</v>
      </c>
      <c r="AH53" s="66"/>
      <c r="AI53" s="66"/>
      <c r="AJ53" s="66"/>
      <c r="AK53" s="66"/>
      <c r="AL53" s="66"/>
      <c r="AM53" s="66"/>
      <c r="AN53" s="66"/>
      <c r="AO53" s="59"/>
      <c r="AP53" s="8" t="s">
        <v>78</v>
      </c>
      <c r="AQ53" s="9">
        <v>100000</v>
      </c>
      <c r="AR53" s="10">
        <v>12</v>
      </c>
      <c r="AS53" s="8" t="s">
        <v>78</v>
      </c>
      <c r="AT53" s="9">
        <v>100000</v>
      </c>
      <c r="AU53" s="10">
        <v>12</v>
      </c>
      <c r="AV53" s="8" t="s">
        <v>78</v>
      </c>
      <c r="AW53" s="9">
        <v>100000</v>
      </c>
      <c r="AX53" s="10">
        <v>12</v>
      </c>
      <c r="AY53" s="8" t="s">
        <v>78</v>
      </c>
      <c r="AZ53" s="9">
        <v>100000</v>
      </c>
      <c r="BA53" s="10">
        <v>12</v>
      </c>
      <c r="BB53" s="8" t="s">
        <v>78</v>
      </c>
      <c r="BC53" s="9">
        <v>100000</v>
      </c>
      <c r="BD53" s="10">
        <v>12</v>
      </c>
      <c r="BE53" s="8" t="s">
        <v>78</v>
      </c>
      <c r="BF53" s="9">
        <v>100000</v>
      </c>
      <c r="BG53" s="10">
        <v>12</v>
      </c>
      <c r="BH53" s="8" t="s">
        <v>78</v>
      </c>
      <c r="BI53" s="9">
        <v>100000</v>
      </c>
      <c r="BJ53" s="10">
        <v>12</v>
      </c>
      <c r="BK53" s="8" t="s">
        <v>78</v>
      </c>
      <c r="BL53" s="9">
        <v>100000</v>
      </c>
      <c r="BM53" s="10">
        <v>12</v>
      </c>
      <c r="BN53" s="8" t="s">
        <v>78</v>
      </c>
      <c r="BO53" s="9">
        <v>100000</v>
      </c>
      <c r="BP53" s="10">
        <v>12</v>
      </c>
      <c r="BQ53" s="8" t="s">
        <v>78</v>
      </c>
      <c r="BR53" s="9">
        <v>100000</v>
      </c>
      <c r="BS53" s="10">
        <v>12</v>
      </c>
      <c r="BT53" s="8" t="s">
        <v>74</v>
      </c>
      <c r="BU53" s="9">
        <v>168000</v>
      </c>
      <c r="BV53" s="10">
        <v>9</v>
      </c>
      <c r="BW53" s="8" t="s">
        <v>74</v>
      </c>
      <c r="BX53" s="9">
        <v>153000</v>
      </c>
      <c r="BY53" s="10">
        <v>9</v>
      </c>
      <c r="BZ53" s="8" t="s">
        <v>74</v>
      </c>
      <c r="CA53" s="9">
        <v>153000</v>
      </c>
      <c r="CB53" s="10">
        <f t="shared" si="295"/>
        <v>9</v>
      </c>
      <c r="CC53" s="8" t="str">
        <f t="shared" si="296"/>
        <v>W3</v>
      </c>
      <c r="CD53" s="9">
        <f t="shared" si="297"/>
        <v>153000</v>
      </c>
      <c r="CE53" s="10">
        <f t="shared" si="298"/>
        <v>9</v>
      </c>
      <c r="CF53" s="8" t="str">
        <f t="shared" si="299"/>
        <v>W3</v>
      </c>
      <c r="CG53" s="9">
        <f t="shared" si="300"/>
        <v>153000</v>
      </c>
      <c r="CH53" s="10">
        <f t="shared" si="301"/>
        <v>9</v>
      </c>
      <c r="CI53" s="8" t="str">
        <f t="shared" si="302"/>
        <v>W3</v>
      </c>
      <c r="CJ53" s="9">
        <f t="shared" si="303"/>
        <v>153000</v>
      </c>
      <c r="CK53" s="10">
        <f t="shared" si="304"/>
        <v>9</v>
      </c>
      <c r="CL53" s="8" t="str">
        <f t="shared" si="251"/>
        <v>W3</v>
      </c>
      <c r="CM53" s="9">
        <f t="shared" si="252"/>
        <v>153000</v>
      </c>
      <c r="CN53" s="10">
        <f t="shared" si="253"/>
        <v>9</v>
      </c>
      <c r="CO53" s="8" t="str">
        <f t="shared" si="254"/>
        <v>W3</v>
      </c>
      <c r="CP53" s="9">
        <f t="shared" si="442"/>
        <v>153000</v>
      </c>
      <c r="CQ53" s="10">
        <f t="shared" si="255"/>
        <v>9</v>
      </c>
      <c r="CR53" s="8" t="str">
        <f t="shared" si="256"/>
        <v>W3</v>
      </c>
      <c r="CS53" s="9">
        <f t="shared" si="257"/>
        <v>153000</v>
      </c>
      <c r="CT53" s="10">
        <f t="shared" si="258"/>
        <v>9</v>
      </c>
      <c r="CU53" s="8" t="str">
        <f t="shared" si="259"/>
        <v>W3</v>
      </c>
      <c r="CV53" s="9">
        <f t="shared" si="260"/>
        <v>153000</v>
      </c>
      <c r="CW53" s="10">
        <f t="shared" si="261"/>
        <v>9</v>
      </c>
      <c r="CX53" s="8" t="str">
        <f t="shared" si="262"/>
        <v>W3</v>
      </c>
      <c r="CY53" s="9">
        <f t="shared" si="263"/>
        <v>153000</v>
      </c>
      <c r="CZ53" s="10">
        <f t="shared" si="264"/>
        <v>9</v>
      </c>
      <c r="DA53" s="8" t="str">
        <f t="shared" si="265"/>
        <v>W3</v>
      </c>
      <c r="DB53" s="9">
        <f t="shared" si="266"/>
        <v>153000</v>
      </c>
      <c r="DC53" s="10">
        <f t="shared" si="267"/>
        <v>9</v>
      </c>
      <c r="DD53" s="8" t="str">
        <f t="shared" si="268"/>
        <v>W3</v>
      </c>
      <c r="DE53" s="9">
        <f t="shared" si="269"/>
        <v>153000</v>
      </c>
      <c r="DF53" s="10">
        <f t="shared" si="270"/>
        <v>9</v>
      </c>
      <c r="DG53" s="8" t="str">
        <f t="shared" si="271"/>
        <v>W3</v>
      </c>
      <c r="DH53" s="9">
        <f t="shared" si="272"/>
        <v>153000</v>
      </c>
      <c r="DI53" s="10">
        <f t="shared" si="273"/>
        <v>9</v>
      </c>
      <c r="DK53" s="8">
        <f>IFERROR(ROUNDUP(+B53/$AQ53,0),0)</f>
        <v>0</v>
      </c>
      <c r="DL53" s="67">
        <f>IFERROR(ROUNDUP(+C53/$AT53,0),0)</f>
        <v>0</v>
      </c>
      <c r="DM53" s="67">
        <f>IFERROR(ROUNDUP(+D53/$AW53,0),0)</f>
        <v>0</v>
      </c>
      <c r="DN53" s="67">
        <f>IFERROR(ROUNDUP(+E53/$AZ53,0),0)</f>
        <v>0</v>
      </c>
      <c r="DO53" s="67">
        <f>IFERROR(ROUNDUP(+F53/$BC53,0),0)</f>
        <v>0</v>
      </c>
      <c r="DP53" s="67">
        <f>IFERROR(ROUNDUP(+G53/$BF53,0),0)</f>
        <v>0</v>
      </c>
      <c r="DQ53" s="9">
        <f>IFERROR(ROUNDUP(+$H53/$BI53,0),0)</f>
        <v>0</v>
      </c>
      <c r="DR53" s="9">
        <f>IFERROR(ROUNDUP(+I53/$BL53,0),0)</f>
        <v>0</v>
      </c>
      <c r="DS53" s="9">
        <f>IFERROR(ROUNDUP(J53/BO53,0),0)</f>
        <v>0</v>
      </c>
      <c r="DT53" s="9">
        <f>IFERROR(ROUNDUP(+K53/BR53,0),0)</f>
        <v>0</v>
      </c>
      <c r="DU53" s="9">
        <f>IFERROR(ROUNDUP(+N53/BU53,0),0)</f>
        <v>0</v>
      </c>
      <c r="DV53" s="10">
        <f>IFERROR(ROUNDUP(+R53/BX53,0),0)</f>
        <v>0</v>
      </c>
      <c r="DW53" s="9">
        <f>IFERROR(ROUNDUP(+V53/CA53,0),0)</f>
        <v>0</v>
      </c>
      <c r="DX53" s="9">
        <f>IFERROR(ROUNDUP(+Y53/CD53,0),0)</f>
        <v>0</v>
      </c>
      <c r="DY53" s="9">
        <f>IFERROR(ROUNDUP(+AE53/CG53,0),0)</f>
        <v>0</v>
      </c>
      <c r="DZ53" s="9">
        <f>IFERROR(ROUNDUP(+AF53/CJ53,0),0)</f>
        <v>0</v>
      </c>
      <c r="EA53" s="9">
        <f>IFERROR(ROUNDUP(+AG53/CM53,0),0)</f>
        <v>0</v>
      </c>
      <c r="EB53" s="9">
        <f>IFERROR(ROUNDUP(+AH53/CP53,0),0)</f>
        <v>0</v>
      </c>
      <c r="EC53" s="9">
        <f>IFERROR(ROUNDUP(+AI53/CS53,0),0)</f>
        <v>0</v>
      </c>
      <c r="ED53" s="9">
        <f>IFERROR(ROUNDUP(+AJ53/CV53,0),0)</f>
        <v>0</v>
      </c>
      <c r="EE53" s="9">
        <f>IFERROR(ROUNDUP(+AK53/CY53,0),0)</f>
        <v>0</v>
      </c>
      <c r="EF53" s="9">
        <f>IFERROR(ROUNDUP(+AL53/DB53,0),0)</f>
        <v>0</v>
      </c>
      <c r="EG53" s="9">
        <f>IFERROR(ROUNDUP(+AM53/DE53,0),0)</f>
        <v>0</v>
      </c>
      <c r="EH53" s="9">
        <f>IFERROR(ROUNDUP(+AN53/DH53,0),0)</f>
        <v>0</v>
      </c>
      <c r="EJ53" s="8">
        <f t="shared" si="305"/>
        <v>0</v>
      </c>
      <c r="EK53" s="9">
        <f t="shared" si="306"/>
        <v>0</v>
      </c>
      <c r="EL53" s="9">
        <f t="shared" si="307"/>
        <v>0</v>
      </c>
      <c r="EM53" s="9">
        <f t="shared" si="308"/>
        <v>0</v>
      </c>
      <c r="EN53" s="9">
        <f t="shared" si="309"/>
        <v>0</v>
      </c>
      <c r="EO53" s="9">
        <f t="shared" si="310"/>
        <v>0</v>
      </c>
      <c r="EP53" s="9">
        <f t="shared" si="275"/>
        <v>0</v>
      </c>
      <c r="EQ53" s="9">
        <f t="shared" si="276"/>
        <v>0</v>
      </c>
      <c r="ER53" s="9">
        <f t="shared" si="277"/>
        <v>0</v>
      </c>
      <c r="ES53" s="9">
        <f t="shared" si="278"/>
        <v>0</v>
      </c>
      <c r="ET53" s="9">
        <f t="shared" si="279"/>
        <v>0</v>
      </c>
      <c r="EU53" s="10">
        <f t="shared" si="280"/>
        <v>0</v>
      </c>
      <c r="EV53" s="9">
        <f t="shared" si="281"/>
        <v>0</v>
      </c>
      <c r="EW53" s="9">
        <f t="shared" si="282"/>
        <v>0</v>
      </c>
      <c r="EX53" s="9">
        <f t="shared" si="283"/>
        <v>0</v>
      </c>
      <c r="EY53" s="9">
        <f t="shared" si="284"/>
        <v>0</v>
      </c>
      <c r="EZ53" s="9">
        <f t="shared" si="285"/>
        <v>0</v>
      </c>
      <c r="FA53" s="9">
        <f t="shared" si="286"/>
        <v>0</v>
      </c>
      <c r="FB53" s="9">
        <f t="shared" si="287"/>
        <v>0</v>
      </c>
      <c r="FC53" s="9">
        <f t="shared" si="288"/>
        <v>0</v>
      </c>
      <c r="FD53" s="9">
        <f t="shared" si="289"/>
        <v>0</v>
      </c>
      <c r="FE53" s="9">
        <f t="shared" si="290"/>
        <v>0</v>
      </c>
      <c r="FF53" s="9">
        <f t="shared" si="291"/>
        <v>0</v>
      </c>
      <c r="FG53" s="9">
        <f t="shared" si="292"/>
        <v>0</v>
      </c>
      <c r="FO53" t="str">
        <f t="shared" si="396"/>
        <v xml:space="preserve">            (85126H) HALAL CHICKENY4S/Y5</v>
      </c>
      <c r="FP53" t="str">
        <f t="shared" si="397"/>
        <v xml:space="preserve">            (85126H) HALAL CHICKENW3</v>
      </c>
      <c r="FQ53" t="str">
        <f t="shared" si="398"/>
        <v xml:space="preserve">            (85126H) HALAL CHICKENW3</v>
      </c>
      <c r="FR53">
        <v>0</v>
      </c>
    </row>
    <row r="54" spans="1:174" outlineLevel="2" x14ac:dyDescent="0.25">
      <c r="A54" s="43" t="s">
        <v>39</v>
      </c>
      <c r="B54" s="9">
        <f>SUMIF(Prophix!$Q:$Q,'Fds Units'!$A54,Prophix!D:D)</f>
        <v>578988</v>
      </c>
      <c r="C54" s="9">
        <f>SUMIF(Prophix!$Q:$Q,'Fds Units'!$A54,Prophix!E:E)</f>
        <v>654732</v>
      </c>
      <c r="D54" s="9">
        <f>SUMIF(Prophix!$Q:$Q,'Fds Units'!$A54,Prophix!F:F)</f>
        <v>263412</v>
      </c>
      <c r="E54" s="9">
        <f>SUMIF(Prophix!$Q:$Q,'Fds Units'!$A54,Prophix!G:G)</f>
        <v>0</v>
      </c>
      <c r="F54" s="9">
        <f>SUMIF(Prophix!$Q:$Q,'Fds Units'!$A54,Prophix!H:H)</f>
        <v>1741320</v>
      </c>
      <c r="G54" s="9">
        <f>SUMIF(Prophix!$Q:$Q,'Fds Units'!$A54,Prophix!I:I)</f>
        <v>0</v>
      </c>
      <c r="H54" s="9">
        <f>SUMIF(Prophix!$Q:$Q,'Fds Units'!$A54,Prophix!J:J)</f>
        <v>414468</v>
      </c>
      <c r="I54" s="9">
        <f>SUMIF(Prophix!$Q:$Q,'Fds Units'!$A54,Prophix!K:K)</f>
        <v>134244</v>
      </c>
      <c r="J54" s="9">
        <f>SUMIF(Prophix!$Q:$Q,'Fds Units'!$A54,Prophix!L:L)</f>
        <v>0</v>
      </c>
      <c r="K54" s="9">
        <f>SUMIF(Prophix!$Q:$Q,'Fds Units'!$A54,Prophix!M:M)</f>
        <v>0</v>
      </c>
      <c r="L54" s="92">
        <v>24984</v>
      </c>
      <c r="M54" s="133"/>
      <c r="N54" s="92">
        <v>0</v>
      </c>
      <c r="O54" s="92">
        <f t="shared" si="509"/>
        <v>24984</v>
      </c>
      <c r="P54" s="142"/>
      <c r="Q54" s="133">
        <v>0</v>
      </c>
      <c r="R54" s="92">
        <v>1012500</v>
      </c>
      <c r="S54" s="92">
        <v>721116</v>
      </c>
      <c r="T54" s="186">
        <f>S54-R54</f>
        <v>-291384</v>
      </c>
      <c r="U54" s="9">
        <v>300000</v>
      </c>
      <c r="V54" s="9">
        <v>299952</v>
      </c>
      <c r="W54" s="9">
        <v>2100000</v>
      </c>
      <c r="X54" s="9">
        <v>210120</v>
      </c>
      <c r="Y54" s="8">
        <v>1349784</v>
      </c>
      <c r="Z54" s="9">
        <v>749880</v>
      </c>
      <c r="AA54" s="9">
        <v>231948</v>
      </c>
      <c r="AB54" s="242">
        <f t="shared" si="446"/>
        <v>-517932</v>
      </c>
      <c r="AC54" s="241">
        <v>500000</v>
      </c>
      <c r="AD54" s="165">
        <v>500000</v>
      </c>
      <c r="AE54" s="242">
        <v>749880</v>
      </c>
      <c r="AF54" s="9">
        <v>620568</v>
      </c>
      <c r="AG54" s="9">
        <v>153000</v>
      </c>
      <c r="AH54" s="66"/>
      <c r="AI54" s="66"/>
      <c r="AJ54" s="66"/>
      <c r="AK54" s="66"/>
      <c r="AL54" s="66"/>
      <c r="AM54" s="66"/>
      <c r="AN54" s="66"/>
      <c r="AO54" s="59"/>
      <c r="AP54" s="8" t="s">
        <v>607</v>
      </c>
      <c r="AQ54" s="9">
        <v>120000</v>
      </c>
      <c r="AR54" s="10">
        <v>14</v>
      </c>
      <c r="AS54" s="8" t="s">
        <v>607</v>
      </c>
      <c r="AT54" s="9">
        <v>115000</v>
      </c>
      <c r="AU54" s="10">
        <v>13</v>
      </c>
      <c r="AV54" s="8" t="s">
        <v>77</v>
      </c>
      <c r="AW54" s="9">
        <v>135000</v>
      </c>
      <c r="AX54" s="10">
        <v>15</v>
      </c>
      <c r="AY54" s="8" t="s">
        <v>78</v>
      </c>
      <c r="AZ54" s="9">
        <v>100000</v>
      </c>
      <c r="BA54" s="10">
        <v>12</v>
      </c>
      <c r="BB54" s="8" t="s">
        <v>607</v>
      </c>
      <c r="BC54" s="9">
        <v>100000</v>
      </c>
      <c r="BD54" s="10">
        <v>13</v>
      </c>
      <c r="BE54" s="8" t="s">
        <v>78</v>
      </c>
      <c r="BF54" s="9" t="e">
        <f>+G54/0</f>
        <v>#DIV/0!</v>
      </c>
      <c r="BG54" s="10">
        <v>12</v>
      </c>
      <c r="BH54" s="8" t="s">
        <v>77</v>
      </c>
      <c r="BI54" s="9">
        <f>+H54/4</f>
        <v>103617</v>
      </c>
      <c r="BJ54" s="10">
        <v>7</v>
      </c>
      <c r="BK54" s="8" t="s">
        <v>77</v>
      </c>
      <c r="BL54" s="9">
        <v>200000</v>
      </c>
      <c r="BM54" s="10">
        <v>7</v>
      </c>
      <c r="BN54" s="8" t="s">
        <v>77</v>
      </c>
      <c r="BO54" s="9">
        <v>200000</v>
      </c>
      <c r="BP54" s="10">
        <v>7</v>
      </c>
      <c r="BQ54" s="8" t="s">
        <v>77</v>
      </c>
      <c r="BR54" s="9">
        <v>200000</v>
      </c>
      <c r="BS54" s="10">
        <v>7</v>
      </c>
      <c r="BT54" s="8" t="s">
        <v>74</v>
      </c>
      <c r="BU54" s="9">
        <v>168000</v>
      </c>
      <c r="BV54" s="10">
        <v>9</v>
      </c>
      <c r="BW54" s="8" t="s">
        <v>74</v>
      </c>
      <c r="BX54" s="9">
        <v>153000</v>
      </c>
      <c r="BY54" s="10">
        <v>9</v>
      </c>
      <c r="BZ54" s="8" t="s">
        <v>74</v>
      </c>
      <c r="CA54" s="9">
        <v>153000</v>
      </c>
      <c r="CB54" s="10">
        <f t="shared" si="295"/>
        <v>9</v>
      </c>
      <c r="CC54" s="8" t="str">
        <f t="shared" si="296"/>
        <v>W3</v>
      </c>
      <c r="CD54" s="9">
        <f t="shared" si="297"/>
        <v>153000</v>
      </c>
      <c r="CE54" s="10">
        <f t="shared" si="298"/>
        <v>9</v>
      </c>
      <c r="CF54" s="8" t="str">
        <f t="shared" si="299"/>
        <v>W3</v>
      </c>
      <c r="CG54" s="9">
        <f t="shared" si="300"/>
        <v>153000</v>
      </c>
      <c r="CH54" s="10">
        <f t="shared" si="301"/>
        <v>9</v>
      </c>
      <c r="CI54" s="8" t="str">
        <f t="shared" si="302"/>
        <v>W3</v>
      </c>
      <c r="CJ54" s="9">
        <f t="shared" si="303"/>
        <v>153000</v>
      </c>
      <c r="CK54" s="10">
        <f t="shared" si="304"/>
        <v>9</v>
      </c>
      <c r="CL54" s="8" t="str">
        <f t="shared" si="251"/>
        <v>W3</v>
      </c>
      <c r="CM54" s="9">
        <f t="shared" si="252"/>
        <v>153000</v>
      </c>
      <c r="CN54" s="10">
        <f t="shared" si="253"/>
        <v>9</v>
      </c>
      <c r="CO54" s="8" t="str">
        <f t="shared" si="254"/>
        <v>W3</v>
      </c>
      <c r="CP54" s="9">
        <f t="shared" si="442"/>
        <v>153000</v>
      </c>
      <c r="CQ54" s="10">
        <f t="shared" si="255"/>
        <v>9</v>
      </c>
      <c r="CR54" s="8" t="str">
        <f t="shared" si="256"/>
        <v>W3</v>
      </c>
      <c r="CS54" s="9">
        <f t="shared" si="257"/>
        <v>153000</v>
      </c>
      <c r="CT54" s="10">
        <f t="shared" si="258"/>
        <v>9</v>
      </c>
      <c r="CU54" s="8" t="str">
        <f t="shared" si="259"/>
        <v>W3</v>
      </c>
      <c r="CV54" s="9">
        <f t="shared" si="260"/>
        <v>153000</v>
      </c>
      <c r="CW54" s="10">
        <f t="shared" si="261"/>
        <v>9</v>
      </c>
      <c r="CX54" s="8" t="str">
        <f t="shared" si="262"/>
        <v>W3</v>
      </c>
      <c r="CY54" s="9">
        <f t="shared" si="263"/>
        <v>153000</v>
      </c>
      <c r="CZ54" s="10">
        <f t="shared" si="264"/>
        <v>9</v>
      </c>
      <c r="DA54" s="8" t="str">
        <f t="shared" si="265"/>
        <v>W3</v>
      </c>
      <c r="DB54" s="9">
        <f t="shared" si="266"/>
        <v>153000</v>
      </c>
      <c r="DC54" s="10">
        <f t="shared" si="267"/>
        <v>9</v>
      </c>
      <c r="DD54" s="8" t="str">
        <f t="shared" si="268"/>
        <v>W3</v>
      </c>
      <c r="DE54" s="9">
        <f t="shared" si="269"/>
        <v>153000</v>
      </c>
      <c r="DF54" s="10">
        <f t="shared" si="270"/>
        <v>9</v>
      </c>
      <c r="DG54" s="8" t="str">
        <f t="shared" si="271"/>
        <v>W3</v>
      </c>
      <c r="DH54" s="9">
        <f t="shared" si="272"/>
        <v>153000</v>
      </c>
      <c r="DI54" s="10">
        <f t="shared" si="273"/>
        <v>9</v>
      </c>
      <c r="DK54" s="8">
        <f>IFERROR(ROUNDUP(+B54/$AQ54,0),0)</f>
        <v>5</v>
      </c>
      <c r="DL54" s="67">
        <f>IFERROR(ROUNDUP(+C54/$AT54,0),0)</f>
        <v>6</v>
      </c>
      <c r="DM54" s="67">
        <f>IFERROR(ROUNDUP(+D54/$AW54,0),0)</f>
        <v>2</v>
      </c>
      <c r="DN54" s="67">
        <f>IFERROR(ROUNDUP(+E54/$AZ54,0),0)</f>
        <v>0</v>
      </c>
      <c r="DO54" s="67">
        <f>IFERROR(ROUNDUP(+F54/$BC54,0),0)</f>
        <v>18</v>
      </c>
      <c r="DP54" s="67">
        <f>IFERROR(ROUNDUP(+G54/$BF54,0),0)</f>
        <v>0</v>
      </c>
      <c r="DQ54" s="9">
        <f>IFERROR(ROUNDUP(+$H54/$BI54,0),0)</f>
        <v>4</v>
      </c>
      <c r="DR54" s="116">
        <f>IFERROR(ROUNDUP(+I54/$BL54,0),0)</f>
        <v>1</v>
      </c>
      <c r="DS54" s="9">
        <f>IFERROR(ROUNDUP(J54/BO54,0),0)</f>
        <v>0</v>
      </c>
      <c r="DT54" s="9">
        <f>IFERROR(ROUNDUP(+K54/BR54,0),0)</f>
        <v>0</v>
      </c>
      <c r="DU54" s="9">
        <f>IFERROR(ROUNDUP(+N54/BU54,0),0)</f>
        <v>0</v>
      </c>
      <c r="DV54" s="10">
        <f>IFERROR(ROUNDUP(+R54/BX54,0),0)</f>
        <v>7</v>
      </c>
      <c r="DW54" s="9">
        <f>IFERROR(ROUNDUP(+V54/CA54,0),0)</f>
        <v>2</v>
      </c>
      <c r="DX54" s="9">
        <f>IFERROR(ROUNDUP(+Y54/CD54,0),0)</f>
        <v>9</v>
      </c>
      <c r="DY54" s="9">
        <f>IFERROR(ROUNDUP(+AE54/CG54,0),0)</f>
        <v>5</v>
      </c>
      <c r="DZ54" s="9">
        <f>IFERROR(ROUNDUP(+AF54/CJ54,0),0)</f>
        <v>5</v>
      </c>
      <c r="EA54" s="9">
        <f>IFERROR(ROUNDUP(+AG54/CM54,0),0)</f>
        <v>1</v>
      </c>
      <c r="EB54" s="9">
        <f>IFERROR(ROUNDUP(+AH54/CP54,0),0)</f>
        <v>0</v>
      </c>
      <c r="EC54" s="9">
        <f>IFERROR(ROUNDUP(+AI54/CS54,0),0)</f>
        <v>0</v>
      </c>
      <c r="ED54" s="9">
        <f>IFERROR(ROUNDUP(+AJ54/CV54,0),0)</f>
        <v>0</v>
      </c>
      <c r="EE54" s="9">
        <f>IFERROR(ROUNDUP(+AK54/CY54,0),0)</f>
        <v>0</v>
      </c>
      <c r="EF54" s="9">
        <f>IFERROR(ROUNDUP(+AL54/DB54,0),0)</f>
        <v>0</v>
      </c>
      <c r="EG54" s="9">
        <f>IFERROR(ROUNDUP(+AM54/DE54,0),0)</f>
        <v>0</v>
      </c>
      <c r="EH54" s="9">
        <f>IFERROR(ROUNDUP(+AN54/DH54,0),0)</f>
        <v>0</v>
      </c>
      <c r="EJ54" s="8">
        <f t="shared" si="305"/>
        <v>70</v>
      </c>
      <c r="EK54" s="9">
        <f t="shared" si="306"/>
        <v>78</v>
      </c>
      <c r="EL54" s="9">
        <f t="shared" si="307"/>
        <v>30</v>
      </c>
      <c r="EM54" s="9">
        <f t="shared" si="308"/>
        <v>0</v>
      </c>
      <c r="EN54" s="9">
        <f t="shared" si="309"/>
        <v>234</v>
      </c>
      <c r="EO54" s="9">
        <f t="shared" si="310"/>
        <v>0</v>
      </c>
      <c r="EP54" s="9">
        <f t="shared" si="275"/>
        <v>28</v>
      </c>
      <c r="EQ54" s="9">
        <f t="shared" si="276"/>
        <v>7</v>
      </c>
      <c r="ER54" s="9">
        <f t="shared" si="277"/>
        <v>0</v>
      </c>
      <c r="ES54" s="9">
        <f t="shared" si="278"/>
        <v>0</v>
      </c>
      <c r="ET54" s="9">
        <f t="shared" si="279"/>
        <v>0</v>
      </c>
      <c r="EU54" s="10">
        <f t="shared" si="280"/>
        <v>63</v>
      </c>
      <c r="EV54" s="9">
        <f t="shared" si="281"/>
        <v>18</v>
      </c>
      <c r="EW54" s="9">
        <f t="shared" si="282"/>
        <v>81</v>
      </c>
      <c r="EX54" s="9">
        <f t="shared" si="283"/>
        <v>45</v>
      </c>
      <c r="EY54" s="9">
        <f t="shared" si="284"/>
        <v>45</v>
      </c>
      <c r="EZ54" s="9">
        <f t="shared" si="285"/>
        <v>9</v>
      </c>
      <c r="FA54" s="9">
        <f t="shared" si="286"/>
        <v>0</v>
      </c>
      <c r="FB54" s="9">
        <f t="shared" si="287"/>
        <v>0</v>
      </c>
      <c r="FC54" s="9">
        <f t="shared" si="288"/>
        <v>0</v>
      </c>
      <c r="FD54" s="9">
        <f t="shared" si="289"/>
        <v>0</v>
      </c>
      <c r="FE54" s="9">
        <f t="shared" si="290"/>
        <v>0</v>
      </c>
      <c r="FF54" s="9">
        <f t="shared" si="291"/>
        <v>0</v>
      </c>
      <c r="FG54" s="9">
        <f t="shared" si="292"/>
        <v>0</v>
      </c>
      <c r="FO54" t="str">
        <f t="shared" si="396"/>
        <v xml:space="preserve">            (85204) FLB CHICKENW2</v>
      </c>
      <c r="FP54" t="str">
        <f t="shared" si="397"/>
        <v xml:space="preserve">            (85204) FLB CHICKENW3</v>
      </c>
      <c r="FQ54" t="str">
        <f t="shared" si="398"/>
        <v xml:space="preserve">            (85204) FLB CHICKENW3</v>
      </c>
      <c r="FR54" t="s">
        <v>866</v>
      </c>
    </row>
    <row r="55" spans="1:174" s="48" customFormat="1" outlineLevel="1" x14ac:dyDescent="0.25">
      <c r="A55" s="217" t="s">
        <v>1083</v>
      </c>
      <c r="B55" s="223">
        <f t="shared" ref="B55:O55" si="512">SUM(B56:B56)</f>
        <v>206052</v>
      </c>
      <c r="C55" s="223">
        <f t="shared" si="512"/>
        <v>0</v>
      </c>
      <c r="D55" s="223">
        <f t="shared" si="512"/>
        <v>0</v>
      </c>
      <c r="E55" s="223">
        <f t="shared" si="512"/>
        <v>101424</v>
      </c>
      <c r="F55" s="223">
        <f t="shared" si="512"/>
        <v>266832</v>
      </c>
      <c r="G55" s="223">
        <f t="shared" si="512"/>
        <v>0</v>
      </c>
      <c r="H55" s="223">
        <f t="shared" si="512"/>
        <v>0</v>
      </c>
      <c r="I55" s="223">
        <f t="shared" si="512"/>
        <v>0</v>
      </c>
      <c r="J55" s="223">
        <f t="shared" si="512"/>
        <v>0</v>
      </c>
      <c r="K55" s="223">
        <f t="shared" si="512"/>
        <v>0</v>
      </c>
      <c r="L55" s="223">
        <f t="shared" si="512"/>
        <v>0</v>
      </c>
      <c r="M55" s="225">
        <f t="shared" si="512"/>
        <v>0</v>
      </c>
      <c r="N55" s="175">
        <f t="shared" si="512"/>
        <v>0</v>
      </c>
      <c r="O55" s="223">
        <f t="shared" si="512"/>
        <v>0</v>
      </c>
      <c r="P55" s="226"/>
      <c r="Q55" s="225">
        <f>SUM(Q56:Q56)</f>
        <v>0</v>
      </c>
      <c r="R55" s="175">
        <f>SUM(R56:R56)</f>
        <v>199992</v>
      </c>
      <c r="S55" s="175">
        <f>SUM(S56:S56)</f>
        <v>114960</v>
      </c>
      <c r="T55" s="227">
        <f>SUM(T56:T56)</f>
        <v>-85032</v>
      </c>
      <c r="U55" s="175">
        <f>SUM(U56)</f>
        <v>199991.99999999997</v>
      </c>
      <c r="V55" s="220">
        <f>SUM(V56)</f>
        <v>399984</v>
      </c>
      <c r="W55" s="220">
        <v>0</v>
      </c>
      <c r="X55" s="220">
        <f>SUM(X56:X56)</f>
        <v>190400</v>
      </c>
      <c r="Y55" s="243"/>
      <c r="Z55" s="220"/>
      <c r="AA55" s="220">
        <f>SUM(AA56)</f>
        <v>0</v>
      </c>
      <c r="AB55" s="244">
        <f t="shared" ref="AB55:AG55" si="513">SUM(AB56:AB64)</f>
        <v>0</v>
      </c>
      <c r="AC55" s="243">
        <f t="shared" si="513"/>
        <v>0</v>
      </c>
      <c r="AD55" s="220">
        <f t="shared" si="513"/>
        <v>0</v>
      </c>
      <c r="AE55" s="244">
        <f t="shared" si="513"/>
        <v>0</v>
      </c>
      <c r="AF55" s="220">
        <f t="shared" si="513"/>
        <v>0</v>
      </c>
      <c r="AG55" s="220">
        <f t="shared" si="513"/>
        <v>1650000</v>
      </c>
      <c r="AH55" s="220">
        <f t="shared" ref="AH55:AN55" si="514">1200000+133333</f>
        <v>1333333</v>
      </c>
      <c r="AI55" s="220">
        <f t="shared" si="514"/>
        <v>1333333</v>
      </c>
      <c r="AJ55" s="220">
        <f t="shared" si="514"/>
        <v>1333333</v>
      </c>
      <c r="AK55" s="220">
        <f t="shared" si="514"/>
        <v>1333333</v>
      </c>
      <c r="AL55" s="220">
        <f t="shared" si="514"/>
        <v>1333333</v>
      </c>
      <c r="AM55" s="220">
        <f t="shared" si="514"/>
        <v>1333333</v>
      </c>
      <c r="AN55" s="220">
        <f t="shared" si="514"/>
        <v>1333333</v>
      </c>
      <c r="AO55" s="179"/>
      <c r="AP55" s="221"/>
      <c r="AQ55" s="175"/>
      <c r="AR55" s="222"/>
      <c r="AS55" s="221"/>
      <c r="AT55" s="175"/>
      <c r="AU55" s="222"/>
      <c r="AV55" s="221"/>
      <c r="AW55" s="175"/>
      <c r="AX55" s="222"/>
      <c r="AY55" s="221"/>
      <c r="AZ55" s="175"/>
      <c r="BA55" s="222"/>
      <c r="BB55" s="221"/>
      <c r="BC55" s="175"/>
      <c r="BD55" s="222"/>
      <c r="BE55" s="221"/>
      <c r="BF55" s="175"/>
      <c r="BG55" s="222"/>
      <c r="BH55" s="221"/>
      <c r="BI55" s="175"/>
      <c r="BJ55" s="222"/>
      <c r="BK55" s="221"/>
      <c r="BL55" s="175"/>
      <c r="BM55" s="222"/>
      <c r="BN55" s="221"/>
      <c r="BO55" s="175"/>
      <c r="BP55" s="222"/>
      <c r="BQ55" s="221"/>
      <c r="BR55" s="175"/>
      <c r="BS55" s="222"/>
      <c r="BT55" s="221"/>
      <c r="BU55" s="175"/>
      <c r="BV55" s="222"/>
      <c r="BW55" s="221"/>
      <c r="BX55" s="175"/>
      <c r="BY55" s="175"/>
      <c r="BZ55" s="175"/>
      <c r="CA55" s="175"/>
      <c r="CB55" s="175"/>
      <c r="CC55" s="175"/>
      <c r="CD55" s="175"/>
      <c r="CE55" s="222"/>
      <c r="CF55" s="221"/>
      <c r="CG55" s="175"/>
      <c r="CH55" s="222"/>
      <c r="CI55" s="221" t="str">
        <f>+CI56</f>
        <v>W3</v>
      </c>
      <c r="CJ55" s="175">
        <f t="shared" ref="CJ55" si="515">+CJ56</f>
        <v>150000</v>
      </c>
      <c r="CK55" s="222">
        <f t="shared" ref="CK55" si="516">+CK56</f>
        <v>16</v>
      </c>
      <c r="CL55" s="221" t="str">
        <f t="shared" si="251"/>
        <v>W3</v>
      </c>
      <c r="CM55" s="175">
        <f t="shared" si="252"/>
        <v>150000</v>
      </c>
      <c r="CN55" s="222">
        <f t="shared" si="253"/>
        <v>16</v>
      </c>
      <c r="CO55" s="221" t="str">
        <f t="shared" si="254"/>
        <v>W3</v>
      </c>
      <c r="CP55" s="175">
        <f t="shared" si="442"/>
        <v>150000</v>
      </c>
      <c r="CQ55" s="222">
        <f t="shared" si="255"/>
        <v>16</v>
      </c>
      <c r="CR55" s="221" t="str">
        <f t="shared" si="256"/>
        <v>W3</v>
      </c>
      <c r="CS55" s="175">
        <f t="shared" si="257"/>
        <v>150000</v>
      </c>
      <c r="CT55" s="222">
        <f t="shared" si="258"/>
        <v>16</v>
      </c>
      <c r="CU55" s="221" t="str">
        <f t="shared" si="259"/>
        <v>W3</v>
      </c>
      <c r="CV55" s="175">
        <f t="shared" si="260"/>
        <v>150000</v>
      </c>
      <c r="CW55" s="222">
        <f t="shared" si="261"/>
        <v>16</v>
      </c>
      <c r="CX55" s="221" t="str">
        <f t="shared" si="262"/>
        <v>W3</v>
      </c>
      <c r="CY55" s="175">
        <f t="shared" si="263"/>
        <v>150000</v>
      </c>
      <c r="CZ55" s="222">
        <f t="shared" si="264"/>
        <v>16</v>
      </c>
      <c r="DA55" s="221" t="str">
        <f t="shared" si="265"/>
        <v>W3</v>
      </c>
      <c r="DB55" s="175">
        <f t="shared" si="266"/>
        <v>150000</v>
      </c>
      <c r="DC55" s="222">
        <f t="shared" si="267"/>
        <v>16</v>
      </c>
      <c r="DD55" s="221" t="str">
        <f t="shared" si="268"/>
        <v>W3</v>
      </c>
      <c r="DE55" s="175">
        <f t="shared" si="269"/>
        <v>150000</v>
      </c>
      <c r="DF55" s="222">
        <f t="shared" si="270"/>
        <v>16</v>
      </c>
      <c r="DG55" s="221" t="str">
        <f t="shared" si="271"/>
        <v>W3</v>
      </c>
      <c r="DH55" s="175">
        <f t="shared" si="272"/>
        <v>150000</v>
      </c>
      <c r="DI55" s="222">
        <f t="shared" si="273"/>
        <v>16</v>
      </c>
      <c r="DK55" s="221"/>
      <c r="DL55" s="175"/>
      <c r="DM55" s="175"/>
      <c r="DN55" s="175"/>
      <c r="DO55" s="175"/>
      <c r="DP55" s="175"/>
      <c r="DQ55" s="175"/>
      <c r="DR55" s="175"/>
      <c r="DS55" s="175"/>
      <c r="DT55" s="175"/>
      <c r="DU55" s="175"/>
      <c r="DV55" s="222"/>
      <c r="DW55" s="175">
        <f>IFERROR(ROUNDUP(+Y55/#REF!,0),0)</f>
        <v>0</v>
      </c>
      <c r="DX55" s="175">
        <f>IFERROR(ROUNDUP(+AE55/CD55,0),0)</f>
        <v>0</v>
      </c>
      <c r="DY55" s="175">
        <f>IFERROR(ROUNDUP(+AF55/CG55,0),0)</f>
        <v>0</v>
      </c>
      <c r="DZ55" s="175">
        <f>IFERROR(ROUNDUP(+AG55/CJ55,0),0)</f>
        <v>11</v>
      </c>
      <c r="EA55" s="175">
        <f>IFERROR(ROUNDUP(+AH55/CM55,0),0)</f>
        <v>9</v>
      </c>
      <c r="EB55" s="175">
        <f>IFERROR(ROUNDUP(+AI55/CP55,0),0)</f>
        <v>9</v>
      </c>
      <c r="EC55" s="175">
        <f>IFERROR(ROUNDUP(+AJ55/CS55,0),0)</f>
        <v>9</v>
      </c>
      <c r="ED55" s="175">
        <f>IFERROR(ROUNDUP(+AK55/CV55,0),0)</f>
        <v>9</v>
      </c>
      <c r="EE55" s="175">
        <f>IFERROR(ROUNDUP(+AL55/CY55,0),0)</f>
        <v>9</v>
      </c>
      <c r="EF55" s="175">
        <f>IFERROR(ROUNDUP(+AM55/DB55,0),0)</f>
        <v>9</v>
      </c>
      <c r="EG55" s="175">
        <f>IFERROR(ROUNDUP(+AN55/DE55,0),0)</f>
        <v>9</v>
      </c>
      <c r="EH55" s="175">
        <f>IFERROR(ROUNDUP(+#REF!/DH55,0),0)</f>
        <v>0</v>
      </c>
      <c r="EJ55" s="221">
        <f t="shared" si="305"/>
        <v>0</v>
      </c>
      <c r="EK55" s="175">
        <f t="shared" si="306"/>
        <v>0</v>
      </c>
      <c r="EL55" s="175">
        <f t="shared" si="307"/>
        <v>0</v>
      </c>
      <c r="EM55" s="175">
        <f t="shared" si="308"/>
        <v>0</v>
      </c>
      <c r="EN55" s="175">
        <f t="shared" si="309"/>
        <v>0</v>
      </c>
      <c r="EO55" s="175">
        <f t="shared" si="310"/>
        <v>0</v>
      </c>
      <c r="EP55" s="175">
        <f t="shared" si="275"/>
        <v>0</v>
      </c>
      <c r="EQ55" s="175">
        <f t="shared" si="276"/>
        <v>0</v>
      </c>
      <c r="ER55" s="175">
        <f t="shared" si="277"/>
        <v>0</v>
      </c>
      <c r="ES55" s="175">
        <f t="shared" si="278"/>
        <v>0</v>
      </c>
      <c r="ET55" s="175">
        <f t="shared" si="279"/>
        <v>0</v>
      </c>
      <c r="EU55" s="222">
        <f t="shared" si="280"/>
        <v>0</v>
      </c>
      <c r="EV55" s="175">
        <f t="shared" si="281"/>
        <v>0</v>
      </c>
      <c r="EW55" s="175">
        <f t="shared" si="282"/>
        <v>0</v>
      </c>
      <c r="EX55" s="175">
        <f t="shared" si="283"/>
        <v>0</v>
      </c>
      <c r="EY55" s="175">
        <f t="shared" si="284"/>
        <v>176</v>
      </c>
      <c r="EZ55" s="175">
        <f t="shared" si="285"/>
        <v>144</v>
      </c>
      <c r="FA55" s="175">
        <f t="shared" si="286"/>
        <v>144</v>
      </c>
      <c r="FB55" s="175">
        <f t="shared" si="287"/>
        <v>144</v>
      </c>
      <c r="FC55" s="175">
        <f t="shared" si="288"/>
        <v>144</v>
      </c>
      <c r="FD55" s="175">
        <f t="shared" si="289"/>
        <v>144</v>
      </c>
      <c r="FE55" s="175">
        <f t="shared" si="290"/>
        <v>144</v>
      </c>
      <c r="FF55" s="175">
        <f t="shared" si="291"/>
        <v>144</v>
      </c>
      <c r="FG55" s="175">
        <f t="shared" si="292"/>
        <v>0</v>
      </c>
      <c r="FO55" s="48" t="str">
        <f t="shared" si="396"/>
        <v>15 OZ</v>
      </c>
      <c r="FP55" s="48" t="str">
        <f t="shared" si="397"/>
        <v>15 OZ</v>
      </c>
      <c r="FQ55" s="48" t="str">
        <f t="shared" si="398"/>
        <v>15 OZ</v>
      </c>
      <c r="FR55" s="48">
        <v>0</v>
      </c>
    </row>
    <row r="56" spans="1:174" s="108" customFormat="1" outlineLevel="2" x14ac:dyDescent="0.25">
      <c r="A56" s="43" t="s">
        <v>41</v>
      </c>
      <c r="B56" s="9">
        <f>SUMIF(Prophix!$Q:$Q,'Fds Units'!$A56,Prophix!D:D)</f>
        <v>206052</v>
      </c>
      <c r="C56" s="9">
        <f>SUMIF(Prophix!$Q:$Q,'Fds Units'!$A56,Prophix!E:E)</f>
        <v>0</v>
      </c>
      <c r="D56" s="9">
        <f>SUMIF(Prophix!$Q:$Q,'Fds Units'!$A56,Prophix!F:F)</f>
        <v>0</v>
      </c>
      <c r="E56" s="9">
        <f>SUMIF(Prophix!$Q:$Q,'Fds Units'!$A56,Prophix!G:G)</f>
        <v>101424</v>
      </c>
      <c r="F56" s="9">
        <f>SUMIF(Prophix!$Q:$Q,'Fds Units'!$A56,Prophix!H:H)</f>
        <v>266832</v>
      </c>
      <c r="G56" s="9">
        <f>SUMIF(Prophix!$Q:$Q,'Fds Units'!$A56,Prophix!I:I)</f>
        <v>0</v>
      </c>
      <c r="H56" s="9">
        <f>SUMIF(Prophix!$Q:$Q,'Fds Units'!$A56,Prophix!J:J)</f>
        <v>0</v>
      </c>
      <c r="I56" s="9">
        <f>SUMIF(Prophix!$Q:$Q,'Fds Units'!$A56,Prophix!K:K)</f>
        <v>0</v>
      </c>
      <c r="J56" s="9">
        <f>SUMIF(Prophix!$Q:$Q,'Fds Units'!$A56,Prophix!L:L)</f>
        <v>0</v>
      </c>
      <c r="K56" s="9">
        <f>SUMIF(Prophix!$Q:$Q,'Fds Units'!$A56,Prophix!M:M)</f>
        <v>0</v>
      </c>
      <c r="L56" s="92"/>
      <c r="M56" s="133"/>
      <c r="N56" s="92">
        <v>0</v>
      </c>
      <c r="O56" s="92">
        <f>L56-N56</f>
        <v>0</v>
      </c>
      <c r="P56" s="142"/>
      <c r="Q56" s="133">
        <f t="shared" ref="Q56" si="517">+P56-O56</f>
        <v>0</v>
      </c>
      <c r="R56" s="92">
        <v>199992</v>
      </c>
      <c r="S56" s="92">
        <v>114960</v>
      </c>
      <c r="T56" s="186">
        <f>S56-R56</f>
        <v>-85032</v>
      </c>
      <c r="U56" s="117">
        <v>199991.99999999997</v>
      </c>
      <c r="V56" s="117">
        <v>399984</v>
      </c>
      <c r="W56" s="117"/>
      <c r="X56" s="9">
        <v>190400</v>
      </c>
      <c r="Y56" s="8"/>
      <c r="Z56" s="9"/>
      <c r="AA56" s="9"/>
      <c r="AB56" s="242">
        <f t="shared" si="446"/>
        <v>0</v>
      </c>
      <c r="AC56" s="241">
        <v>0</v>
      </c>
      <c r="AD56" s="165">
        <v>0</v>
      </c>
      <c r="AE56" s="242">
        <v>0</v>
      </c>
      <c r="AF56" s="9">
        <v>0</v>
      </c>
      <c r="AG56" s="9">
        <v>150000</v>
      </c>
      <c r="AH56" s="66"/>
      <c r="AI56" s="66"/>
      <c r="AJ56" s="66"/>
      <c r="AK56" s="66"/>
      <c r="AL56" s="66"/>
      <c r="AM56" s="66"/>
      <c r="AN56" s="66"/>
      <c r="AO56" s="59"/>
      <c r="AP56" s="8" t="s">
        <v>607</v>
      </c>
      <c r="AQ56" s="9">
        <v>120000</v>
      </c>
      <c r="AR56" s="10">
        <v>14</v>
      </c>
      <c r="AS56" s="8" t="s">
        <v>78</v>
      </c>
      <c r="AT56" s="9">
        <v>100000</v>
      </c>
      <c r="AU56" s="10">
        <v>12</v>
      </c>
      <c r="AV56" s="8" t="s">
        <v>78</v>
      </c>
      <c r="AW56" s="9">
        <v>100000</v>
      </c>
      <c r="AX56" s="10">
        <v>12</v>
      </c>
      <c r="AY56" s="8" t="s">
        <v>78</v>
      </c>
      <c r="AZ56" s="9">
        <v>102000</v>
      </c>
      <c r="BA56" s="10">
        <v>12</v>
      </c>
      <c r="BB56" s="8" t="s">
        <v>607</v>
      </c>
      <c r="BC56" s="9">
        <v>117600</v>
      </c>
      <c r="BD56" s="10">
        <v>13</v>
      </c>
      <c r="BE56" s="8" t="s">
        <v>78</v>
      </c>
      <c r="BF56" s="9">
        <v>100008</v>
      </c>
      <c r="BG56" s="10">
        <v>12</v>
      </c>
      <c r="BH56" s="8" t="s">
        <v>78</v>
      </c>
      <c r="BI56" s="9">
        <v>100008</v>
      </c>
      <c r="BJ56" s="10">
        <v>12</v>
      </c>
      <c r="BK56" s="8" t="s">
        <v>78</v>
      </c>
      <c r="BL56" s="9">
        <v>100008</v>
      </c>
      <c r="BM56" s="10">
        <v>12</v>
      </c>
      <c r="BN56" s="8" t="s">
        <v>78</v>
      </c>
      <c r="BO56" s="9">
        <v>100008</v>
      </c>
      <c r="BP56" s="10">
        <v>12</v>
      </c>
      <c r="BQ56" s="8" t="s">
        <v>78</v>
      </c>
      <c r="BR56" s="9">
        <v>100008</v>
      </c>
      <c r="BS56" s="10">
        <v>12</v>
      </c>
      <c r="BT56" s="8" t="s">
        <v>74</v>
      </c>
      <c r="BU56" s="9">
        <v>168000</v>
      </c>
      <c r="BV56" s="10">
        <v>16</v>
      </c>
      <c r="BW56" s="8" t="s">
        <v>74</v>
      </c>
      <c r="BX56" s="9">
        <v>150000</v>
      </c>
      <c r="BY56" s="10">
        <v>16</v>
      </c>
      <c r="BZ56" s="8" t="s">
        <v>74</v>
      </c>
      <c r="CA56" s="9">
        <v>150000</v>
      </c>
      <c r="CB56" s="10">
        <f t="shared" si="295"/>
        <v>16</v>
      </c>
      <c r="CC56" s="8" t="str">
        <f t="shared" si="296"/>
        <v>W3</v>
      </c>
      <c r="CD56" s="9">
        <f t="shared" si="297"/>
        <v>150000</v>
      </c>
      <c r="CE56" s="10">
        <f t="shared" si="298"/>
        <v>16</v>
      </c>
      <c r="CF56" s="8" t="str">
        <f t="shared" si="299"/>
        <v>W3</v>
      </c>
      <c r="CG56" s="9">
        <f t="shared" si="300"/>
        <v>150000</v>
      </c>
      <c r="CH56" s="10">
        <f t="shared" si="301"/>
        <v>16</v>
      </c>
      <c r="CI56" s="8" t="str">
        <f t="shared" si="302"/>
        <v>W3</v>
      </c>
      <c r="CJ56" s="9">
        <f t="shared" si="303"/>
        <v>150000</v>
      </c>
      <c r="CK56" s="10">
        <f t="shared" si="304"/>
        <v>16</v>
      </c>
      <c r="CL56" s="8" t="str">
        <f t="shared" si="251"/>
        <v>W3</v>
      </c>
      <c r="CM56" s="9">
        <f t="shared" si="252"/>
        <v>150000</v>
      </c>
      <c r="CN56" s="10">
        <f t="shared" si="253"/>
        <v>16</v>
      </c>
      <c r="CO56" s="8" t="str">
        <f t="shared" si="254"/>
        <v>W3</v>
      </c>
      <c r="CP56" s="9">
        <f t="shared" si="442"/>
        <v>150000</v>
      </c>
      <c r="CQ56" s="10">
        <f t="shared" si="255"/>
        <v>16</v>
      </c>
      <c r="CR56" s="8" t="str">
        <f t="shared" si="256"/>
        <v>W3</v>
      </c>
      <c r="CS56" s="9">
        <f t="shared" si="257"/>
        <v>150000</v>
      </c>
      <c r="CT56" s="10">
        <f t="shared" si="258"/>
        <v>16</v>
      </c>
      <c r="CU56" s="8" t="str">
        <f t="shared" si="259"/>
        <v>W3</v>
      </c>
      <c r="CV56" s="9">
        <f t="shared" si="260"/>
        <v>150000</v>
      </c>
      <c r="CW56" s="10">
        <f t="shared" si="261"/>
        <v>16</v>
      </c>
      <c r="CX56" s="8" t="str">
        <f t="shared" si="262"/>
        <v>W3</v>
      </c>
      <c r="CY56" s="9">
        <f t="shared" si="263"/>
        <v>150000</v>
      </c>
      <c r="CZ56" s="10">
        <f t="shared" si="264"/>
        <v>16</v>
      </c>
      <c r="DA56" s="8" t="str">
        <f t="shared" si="265"/>
        <v>W3</v>
      </c>
      <c r="DB56" s="9">
        <f t="shared" si="266"/>
        <v>150000</v>
      </c>
      <c r="DC56" s="10">
        <f t="shared" si="267"/>
        <v>16</v>
      </c>
      <c r="DD56" s="8" t="str">
        <f t="shared" si="268"/>
        <v>W3</v>
      </c>
      <c r="DE56" s="9">
        <f t="shared" si="269"/>
        <v>150000</v>
      </c>
      <c r="DF56" s="10">
        <f t="shared" si="270"/>
        <v>16</v>
      </c>
      <c r="DG56" s="8" t="str">
        <f t="shared" si="271"/>
        <v>W3</v>
      </c>
      <c r="DH56" s="9">
        <f t="shared" si="272"/>
        <v>150000</v>
      </c>
      <c r="DI56" s="10">
        <f t="shared" si="273"/>
        <v>16</v>
      </c>
      <c r="DK56" s="109">
        <f t="shared" ref="DK56:DK64" si="518">IFERROR(ROUNDUP(+B56/$AQ56,0),0)</f>
        <v>2</v>
      </c>
      <c r="DL56" s="67">
        <f t="shared" ref="DL56:DL64" si="519">IFERROR(ROUNDUP(+C56/$AT56,0),0)</f>
        <v>0</v>
      </c>
      <c r="DM56" s="67">
        <f t="shared" ref="DM56:DM64" si="520">IFERROR(ROUNDUP(+D56/$AW56,0),0)</f>
        <v>0</v>
      </c>
      <c r="DN56" s="67">
        <f t="shared" ref="DN56:DN64" si="521">IFERROR(ROUNDUP(+E56/$AZ56,0),0)</f>
        <v>1</v>
      </c>
      <c r="DO56" s="67">
        <f t="shared" ref="DO56:DO64" si="522">IFERROR(ROUNDUP(+F56/$BC56,0),0)</f>
        <v>3</v>
      </c>
      <c r="DP56" s="67">
        <f t="shared" ref="DP56:DP64" si="523">IFERROR(ROUNDUP(+G56/$BF56,0),0)</f>
        <v>0</v>
      </c>
      <c r="DQ56" s="9">
        <f t="shared" ref="DQ56:DQ64" si="524">IFERROR(ROUNDUP(+$H56/$BI56,0),0)</f>
        <v>0</v>
      </c>
      <c r="DR56" s="66">
        <f t="shared" ref="DR56:DR64" si="525">IFERROR(ROUNDUP(+I56/$BL56,0),0)</f>
        <v>0</v>
      </c>
      <c r="DS56" s="9">
        <f t="shared" ref="DS56:DS64" si="526">IFERROR(ROUNDUP(J56/BO56,0),0)</f>
        <v>0</v>
      </c>
      <c r="DT56" s="9">
        <f t="shared" ref="DT56:DT64" si="527">IFERROR(ROUNDUP(+K56/BR56,0),0)</f>
        <v>0</v>
      </c>
      <c r="DU56" s="9">
        <f t="shared" ref="DU56:DU64" si="528">IFERROR(ROUNDUP(+N56/BU56,0),0)</f>
        <v>0</v>
      </c>
      <c r="DV56" s="10">
        <f t="shared" ref="DV56:DV64" si="529">IFERROR(ROUNDUP(+R56/BX56,0),0)</f>
        <v>2</v>
      </c>
      <c r="DW56" s="9">
        <f t="shared" ref="DW56:DW64" si="530">IFERROR(ROUNDUP(+V56/CA56,0),0)</f>
        <v>3</v>
      </c>
      <c r="DX56" s="9">
        <f>IFERROR(ROUNDUP(+Y56/CD56,0),0)</f>
        <v>0</v>
      </c>
      <c r="DY56" s="9">
        <f>IFERROR(ROUNDUP(+AE56/CG56,0),0)</f>
        <v>0</v>
      </c>
      <c r="DZ56" s="9">
        <f>IFERROR(ROUNDUP(+AF56/CJ56,0),0)</f>
        <v>0</v>
      </c>
      <c r="EA56" s="9">
        <f>IFERROR(ROUNDUP(+AG56/CM56,0),0)</f>
        <v>1</v>
      </c>
      <c r="EB56" s="9">
        <f>IFERROR(ROUNDUP(+AH56/CP56,0),0)</f>
        <v>0</v>
      </c>
      <c r="EC56" s="9">
        <f>IFERROR(ROUNDUP(+AI56/CS56,0),0)</f>
        <v>0</v>
      </c>
      <c r="ED56" s="9">
        <f>IFERROR(ROUNDUP(+AJ56/CV56,0),0)</f>
        <v>0</v>
      </c>
      <c r="EE56" s="9">
        <f>IFERROR(ROUNDUP(+AK56/CY56,0),0)</f>
        <v>0</v>
      </c>
      <c r="EF56" s="9">
        <f>IFERROR(ROUNDUP(+AL56/DB56,0),0)</f>
        <v>0</v>
      </c>
      <c r="EG56" s="9">
        <f>IFERROR(ROUNDUP(+AM56/DE56,0),0)</f>
        <v>0</v>
      </c>
      <c r="EH56" s="9">
        <f>IFERROR(ROUNDUP(+AN56/DH56,0),0)</f>
        <v>0</v>
      </c>
      <c r="EJ56" s="109">
        <f t="shared" si="305"/>
        <v>28</v>
      </c>
      <c r="EK56" s="66">
        <f t="shared" si="306"/>
        <v>0</v>
      </c>
      <c r="EL56" s="66">
        <f t="shared" si="307"/>
        <v>0</v>
      </c>
      <c r="EM56" s="66">
        <f t="shared" si="308"/>
        <v>12</v>
      </c>
      <c r="EN56" s="66">
        <f t="shared" si="309"/>
        <v>39</v>
      </c>
      <c r="EO56" s="66">
        <f t="shared" si="310"/>
        <v>0</v>
      </c>
      <c r="EP56" s="66">
        <f t="shared" si="275"/>
        <v>0</v>
      </c>
      <c r="EQ56" s="66">
        <f t="shared" si="276"/>
        <v>0</v>
      </c>
      <c r="ER56" s="66">
        <f t="shared" si="277"/>
        <v>0</v>
      </c>
      <c r="ES56" s="66">
        <f t="shared" si="278"/>
        <v>0</v>
      </c>
      <c r="ET56" s="66">
        <f t="shared" si="279"/>
        <v>0</v>
      </c>
      <c r="EU56" s="110">
        <f t="shared" si="280"/>
        <v>32</v>
      </c>
      <c r="EV56" s="66">
        <f t="shared" si="281"/>
        <v>48</v>
      </c>
      <c r="EW56" s="66">
        <f t="shared" si="282"/>
        <v>0</v>
      </c>
      <c r="EX56" s="66">
        <f t="shared" si="283"/>
        <v>0</v>
      </c>
      <c r="EY56" s="66">
        <f t="shared" si="284"/>
        <v>0</v>
      </c>
      <c r="EZ56" s="66">
        <f t="shared" si="285"/>
        <v>16</v>
      </c>
      <c r="FA56" s="66">
        <f t="shared" si="286"/>
        <v>0</v>
      </c>
      <c r="FB56" s="66">
        <f t="shared" si="287"/>
        <v>0</v>
      </c>
      <c r="FC56" s="66">
        <f t="shared" si="288"/>
        <v>0</v>
      </c>
      <c r="FD56" s="66">
        <f t="shared" si="289"/>
        <v>0</v>
      </c>
      <c r="FE56" s="66">
        <f t="shared" si="290"/>
        <v>0</v>
      </c>
      <c r="FF56" s="66">
        <f t="shared" si="291"/>
        <v>0</v>
      </c>
      <c r="FG56" s="66">
        <f t="shared" si="292"/>
        <v>0</v>
      </c>
      <c r="FO56" t="str">
        <f t="shared" si="396"/>
        <v xml:space="preserve">            (85210) FLB CHILI W/BEANSY4S/Y5</v>
      </c>
      <c r="FP56" t="str">
        <f t="shared" si="397"/>
        <v xml:space="preserve">            (85210) FLB CHILI W/BEANSW3</v>
      </c>
      <c r="FQ56" t="str">
        <f t="shared" si="398"/>
        <v xml:space="preserve">            (85210) FLB CHILI W/BEANSW3</v>
      </c>
      <c r="FR56" s="108" t="s">
        <v>867</v>
      </c>
    </row>
    <row r="57" spans="1:174" s="108" customFormat="1" outlineLevel="2" x14ac:dyDescent="0.25">
      <c r="A57" s="43" t="s">
        <v>2592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2"/>
      <c r="M57" s="133"/>
      <c r="N57" s="92"/>
      <c r="O57" s="92"/>
      <c r="P57" s="133"/>
      <c r="Q57" s="133"/>
      <c r="R57" s="92"/>
      <c r="S57" s="92"/>
      <c r="T57" s="186"/>
      <c r="U57" s="117"/>
      <c r="V57" s="117"/>
      <c r="W57" s="117"/>
      <c r="X57" s="9"/>
      <c r="Y57" s="8"/>
      <c r="Z57" s="9"/>
      <c r="AA57" s="9"/>
      <c r="AB57" s="242">
        <f t="shared" si="446"/>
        <v>0</v>
      </c>
      <c r="AC57" s="241">
        <v>0</v>
      </c>
      <c r="AD57" s="165">
        <v>0</v>
      </c>
      <c r="AE57" s="242">
        <v>0</v>
      </c>
      <c r="AF57" s="9">
        <v>0</v>
      </c>
      <c r="AG57" s="9">
        <v>300000</v>
      </c>
      <c r="AH57" s="66"/>
      <c r="AI57" s="66"/>
      <c r="AJ57" s="66"/>
      <c r="AK57" s="66"/>
      <c r="AL57" s="66"/>
      <c r="AM57" s="66"/>
      <c r="AN57" s="66"/>
      <c r="AO57" s="59"/>
      <c r="AP57" s="8" t="s">
        <v>607</v>
      </c>
      <c r="AQ57" s="9">
        <v>120000</v>
      </c>
      <c r="AR57" s="10">
        <v>14</v>
      </c>
      <c r="AS57" s="8" t="s">
        <v>78</v>
      </c>
      <c r="AT57" s="9">
        <v>100000</v>
      </c>
      <c r="AU57" s="10">
        <v>12</v>
      </c>
      <c r="AV57" s="8" t="s">
        <v>78</v>
      </c>
      <c r="AW57" s="9">
        <v>100000</v>
      </c>
      <c r="AX57" s="10">
        <v>12</v>
      </c>
      <c r="AY57" s="8" t="s">
        <v>78</v>
      </c>
      <c r="AZ57" s="9">
        <v>102000</v>
      </c>
      <c r="BA57" s="10">
        <v>12</v>
      </c>
      <c r="BB57" s="8" t="s">
        <v>607</v>
      </c>
      <c r="BC57" s="9">
        <v>117600</v>
      </c>
      <c r="BD57" s="10">
        <v>13</v>
      </c>
      <c r="BE57" s="8" t="s">
        <v>78</v>
      </c>
      <c r="BF57" s="9">
        <v>100008</v>
      </c>
      <c r="BG57" s="10">
        <v>12</v>
      </c>
      <c r="BH57" s="8" t="s">
        <v>78</v>
      </c>
      <c r="BI57" s="9">
        <v>100008</v>
      </c>
      <c r="BJ57" s="10">
        <v>12</v>
      </c>
      <c r="BK57" s="8" t="s">
        <v>78</v>
      </c>
      <c r="BL57" s="9">
        <v>100008</v>
      </c>
      <c r="BM57" s="10">
        <v>12</v>
      </c>
      <c r="BN57" s="8" t="s">
        <v>78</v>
      </c>
      <c r="BO57" s="9">
        <v>100008</v>
      </c>
      <c r="BP57" s="10">
        <v>12</v>
      </c>
      <c r="BQ57" s="8" t="s">
        <v>78</v>
      </c>
      <c r="BR57" s="9">
        <v>100008</v>
      </c>
      <c r="BS57" s="10">
        <v>12</v>
      </c>
      <c r="BT57" s="8" t="s">
        <v>74</v>
      </c>
      <c r="BU57" s="9">
        <v>168000</v>
      </c>
      <c r="BV57" s="10">
        <v>16</v>
      </c>
      <c r="BW57" s="8" t="s">
        <v>74</v>
      </c>
      <c r="BX57" s="9">
        <v>150000</v>
      </c>
      <c r="BY57" s="10">
        <v>16</v>
      </c>
      <c r="BZ57" s="8" t="s">
        <v>74</v>
      </c>
      <c r="CA57" s="9">
        <v>150000</v>
      </c>
      <c r="CB57" s="10">
        <f t="shared" ref="CB57:CB64" si="531">+BY57</f>
        <v>16</v>
      </c>
      <c r="CC57" s="8" t="str">
        <f t="shared" ref="CC57:CC64" si="532">+BZ57</f>
        <v>W3</v>
      </c>
      <c r="CD57" s="9">
        <f t="shared" ref="CD57:CD64" si="533">+CA57</f>
        <v>150000</v>
      </c>
      <c r="CE57" s="10">
        <f t="shared" ref="CE57:CE64" si="534">+CB57</f>
        <v>16</v>
      </c>
      <c r="CF57" s="8" t="str">
        <f t="shared" ref="CF57:CF64" si="535">+CC57</f>
        <v>W3</v>
      </c>
      <c r="CG57" s="9">
        <f t="shared" ref="CG57:CG64" si="536">+CD57</f>
        <v>150000</v>
      </c>
      <c r="CH57" s="10">
        <f t="shared" ref="CH57:CH64" si="537">+CE57</f>
        <v>16</v>
      </c>
      <c r="CI57" s="8" t="str">
        <f t="shared" ref="CI57:CI64" si="538">+CF57</f>
        <v>W3</v>
      </c>
      <c r="CJ57" s="9">
        <f t="shared" ref="CJ57:CJ64" si="539">+CG57</f>
        <v>150000</v>
      </c>
      <c r="CK57" s="10">
        <f t="shared" ref="CK57:CK64" si="540">+CH57</f>
        <v>16</v>
      </c>
      <c r="CL57" s="8" t="str">
        <f t="shared" ref="CL57:CL64" si="541">+CI57</f>
        <v>W3</v>
      </c>
      <c r="CM57" s="9">
        <f t="shared" ref="CM57:CM64" si="542">+CJ57</f>
        <v>150000</v>
      </c>
      <c r="CN57" s="10">
        <f t="shared" ref="CN57:CN64" si="543">+CK57</f>
        <v>16</v>
      </c>
      <c r="CO57" s="8" t="str">
        <f t="shared" ref="CO57:CO64" si="544">+CL57</f>
        <v>W3</v>
      </c>
      <c r="CP57" s="9">
        <f t="shared" ref="CP57:CP64" si="545">+CM57</f>
        <v>150000</v>
      </c>
      <c r="CQ57" s="10">
        <f t="shared" ref="CQ57:CQ64" si="546">+CN57</f>
        <v>16</v>
      </c>
      <c r="CR57" s="8" t="str">
        <f t="shared" ref="CR57:CR64" si="547">+CO57</f>
        <v>W3</v>
      </c>
      <c r="CS57" s="9">
        <f t="shared" ref="CS57:CS64" si="548">+CP57</f>
        <v>150000</v>
      </c>
      <c r="CT57" s="10">
        <f t="shared" ref="CT57:CT64" si="549">+CQ57</f>
        <v>16</v>
      </c>
      <c r="CU57" s="8" t="str">
        <f t="shared" ref="CU57:CU64" si="550">+CR57</f>
        <v>W3</v>
      </c>
      <c r="CV57" s="9">
        <f t="shared" ref="CV57:CV64" si="551">+CS57</f>
        <v>150000</v>
      </c>
      <c r="CW57" s="10">
        <f t="shared" ref="CW57:CW64" si="552">+CT57</f>
        <v>16</v>
      </c>
      <c r="CX57" s="8" t="str">
        <f t="shared" ref="CX57:CX64" si="553">+CU57</f>
        <v>W3</v>
      </c>
      <c r="CY57" s="9">
        <f t="shared" ref="CY57:CY64" si="554">+CV57</f>
        <v>150000</v>
      </c>
      <c r="CZ57" s="10">
        <f t="shared" ref="CZ57:CZ64" si="555">+CW57</f>
        <v>16</v>
      </c>
      <c r="DA57" s="8" t="str">
        <f t="shared" ref="DA57:DA64" si="556">+CX57</f>
        <v>W3</v>
      </c>
      <c r="DB57" s="9">
        <f t="shared" ref="DB57:DB64" si="557">+CY57</f>
        <v>150000</v>
      </c>
      <c r="DC57" s="10">
        <f t="shared" ref="DC57:DC64" si="558">+CZ57</f>
        <v>16</v>
      </c>
      <c r="DD57" s="8" t="str">
        <f t="shared" ref="DD57:DD64" si="559">+DA57</f>
        <v>W3</v>
      </c>
      <c r="DE57" s="9">
        <f t="shared" ref="DE57:DE64" si="560">+DB57</f>
        <v>150000</v>
      </c>
      <c r="DF57" s="10">
        <f t="shared" ref="DF57:DF64" si="561">+DC57</f>
        <v>16</v>
      </c>
      <c r="DG57" s="8" t="str">
        <f t="shared" ref="DG57:DG64" si="562">+DD57</f>
        <v>W3</v>
      </c>
      <c r="DH57" s="9">
        <f t="shared" ref="DH57:DH64" si="563">+DE57</f>
        <v>150000</v>
      </c>
      <c r="DI57" s="10">
        <f t="shared" ref="DI57:DI64" si="564">+DF57</f>
        <v>16</v>
      </c>
      <c r="DK57" s="109">
        <f t="shared" si="518"/>
        <v>0</v>
      </c>
      <c r="DL57" s="67">
        <f t="shared" si="519"/>
        <v>0</v>
      </c>
      <c r="DM57" s="67">
        <f t="shared" si="520"/>
        <v>0</v>
      </c>
      <c r="DN57" s="67">
        <f t="shared" si="521"/>
        <v>0</v>
      </c>
      <c r="DO57" s="67">
        <f t="shared" si="522"/>
        <v>0</v>
      </c>
      <c r="DP57" s="67">
        <f t="shared" si="523"/>
        <v>0</v>
      </c>
      <c r="DQ57" s="9">
        <f t="shared" si="524"/>
        <v>0</v>
      </c>
      <c r="DR57" s="66">
        <f t="shared" si="525"/>
        <v>0</v>
      </c>
      <c r="DS57" s="9">
        <f t="shared" si="526"/>
        <v>0</v>
      </c>
      <c r="DT57" s="9">
        <f t="shared" si="527"/>
        <v>0</v>
      </c>
      <c r="DU57" s="9">
        <f t="shared" si="528"/>
        <v>0</v>
      </c>
      <c r="DV57" s="10">
        <f t="shared" si="529"/>
        <v>0</v>
      </c>
      <c r="DW57" s="9">
        <f t="shared" si="530"/>
        <v>0</v>
      </c>
      <c r="DX57" s="9">
        <f t="shared" ref="DX57:DX64" si="565">IFERROR(ROUNDUP(+Y57/CD57,0),0)</f>
        <v>0</v>
      </c>
      <c r="DY57" s="9">
        <f t="shared" ref="DY57:DY64" si="566">IFERROR(ROUNDUP(+AE57/CG57,0),0)</f>
        <v>0</v>
      </c>
      <c r="DZ57" s="9">
        <f t="shared" ref="DZ57:DZ64" si="567">IFERROR(ROUNDUP(+AF57/CJ57,0),0)</f>
        <v>0</v>
      </c>
      <c r="EA57" s="9">
        <f t="shared" ref="EA57:EA64" si="568">IFERROR(ROUNDUP(+AG57/CM57,0),0)</f>
        <v>2</v>
      </c>
      <c r="EB57" s="9">
        <f t="shared" ref="EB57:EB64" si="569">IFERROR(ROUNDUP(+AH57/CP57,0),0)</f>
        <v>0</v>
      </c>
      <c r="EC57" s="9">
        <f t="shared" ref="EC57:EC64" si="570">IFERROR(ROUNDUP(+AI57/CS57,0),0)</f>
        <v>0</v>
      </c>
      <c r="ED57" s="9">
        <f t="shared" ref="ED57:ED64" si="571">IFERROR(ROUNDUP(+AJ57/CV57,0),0)</f>
        <v>0</v>
      </c>
      <c r="EE57" s="9">
        <f t="shared" ref="EE57:EE64" si="572">IFERROR(ROUNDUP(+AK57/CY57,0),0)</f>
        <v>0</v>
      </c>
      <c r="EF57" s="9">
        <f t="shared" ref="EF57:EF64" si="573">IFERROR(ROUNDUP(+AL57/DB57,0),0)</f>
        <v>0</v>
      </c>
      <c r="EG57" s="9">
        <f t="shared" ref="EG57:EG64" si="574">IFERROR(ROUNDUP(+AM57/DE57,0),0)</f>
        <v>0</v>
      </c>
      <c r="EH57" s="9">
        <f t="shared" ref="EH57:EH64" si="575">IFERROR(ROUNDUP(+AN57/DH57,0),0)</f>
        <v>0</v>
      </c>
      <c r="EJ57" s="109">
        <f t="shared" ref="EJ57:EJ64" si="576">$AR57*DK57</f>
        <v>0</v>
      </c>
      <c r="EK57" s="66">
        <f t="shared" ref="EK57:EK64" si="577">$AU57*DL57</f>
        <v>0</v>
      </c>
      <c r="EL57" s="66">
        <f t="shared" ref="EL57:EL64" si="578">$AX57*DM57</f>
        <v>0</v>
      </c>
      <c r="EM57" s="66">
        <f t="shared" ref="EM57:EM64" si="579">$BA57*DN57</f>
        <v>0</v>
      </c>
      <c r="EN57" s="66">
        <f t="shared" ref="EN57:EN64" si="580">$BD57*DO57</f>
        <v>0</v>
      </c>
      <c r="EO57" s="66">
        <f t="shared" ref="EO57:EO64" si="581">$BG57*DP57</f>
        <v>0</v>
      </c>
      <c r="EP57" s="66">
        <f t="shared" ref="EP57:EP64" si="582">BJ57*DQ57</f>
        <v>0</v>
      </c>
      <c r="EQ57" s="66">
        <f t="shared" ref="EQ57:EQ64" si="583">+BM57*DR57</f>
        <v>0</v>
      </c>
      <c r="ER57" s="66">
        <f t="shared" ref="ER57:ER64" si="584">BP57*DS57</f>
        <v>0</v>
      </c>
      <c r="ES57" s="66">
        <f t="shared" ref="ES57:ES64" si="585">+BS57*DT57</f>
        <v>0</v>
      </c>
      <c r="ET57" s="66">
        <f t="shared" ref="ET57:ET64" si="586">+BV57*DU57</f>
        <v>0</v>
      </c>
      <c r="EU57" s="110">
        <f t="shared" ref="EU57:EU64" si="587">+BY57*DV57</f>
        <v>0</v>
      </c>
      <c r="EV57" s="66">
        <f t="shared" ref="EV57:EV64" si="588">+CB57*DW57</f>
        <v>0</v>
      </c>
      <c r="EW57" s="66">
        <f t="shared" ref="EW57:EW64" si="589">+CE57*DX57</f>
        <v>0</v>
      </c>
      <c r="EX57" s="66">
        <f t="shared" ref="EX57:EX64" si="590">+CH57*DY57</f>
        <v>0</v>
      </c>
      <c r="EY57" s="66">
        <f t="shared" ref="EY57:EY64" si="591">+CK57*DZ57</f>
        <v>0</v>
      </c>
      <c r="EZ57" s="66">
        <f t="shared" ref="EZ57:EZ64" si="592">+CN57*EA57</f>
        <v>32</v>
      </c>
      <c r="FA57" s="66">
        <f t="shared" ref="FA57:FA64" si="593">+CQ57*EB57</f>
        <v>0</v>
      </c>
      <c r="FB57" s="66">
        <f t="shared" ref="FB57:FB64" si="594">+CT57*EC57</f>
        <v>0</v>
      </c>
      <c r="FC57" s="66">
        <f t="shared" ref="FC57:FC64" si="595">+CW57*ED57</f>
        <v>0</v>
      </c>
      <c r="FD57" s="66">
        <f t="shared" ref="FD57:FD64" si="596">+CZ57*EE57</f>
        <v>0</v>
      </c>
      <c r="FE57" s="66">
        <f t="shared" ref="FE57:FE64" si="597">+DC57*EF57</f>
        <v>0</v>
      </c>
      <c r="FF57" s="66">
        <f t="shared" ref="FF57:FF64" si="598">+DF57*EG57</f>
        <v>0</v>
      </c>
      <c r="FG57" s="66">
        <f t="shared" ref="FG57:FG64" si="599">+DI57*EH57</f>
        <v>0</v>
      </c>
      <c r="FO57"/>
      <c r="FP57"/>
      <c r="FQ57"/>
    </row>
    <row r="58" spans="1:174" s="108" customFormat="1" outlineLevel="2" x14ac:dyDescent="0.25">
      <c r="A58" s="43" t="s">
        <v>2593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2"/>
      <c r="M58" s="133"/>
      <c r="N58" s="92"/>
      <c r="O58" s="92"/>
      <c r="P58" s="133"/>
      <c r="Q58" s="133"/>
      <c r="R58" s="92"/>
      <c r="S58" s="92"/>
      <c r="T58" s="186"/>
      <c r="U58" s="117"/>
      <c r="V58" s="117"/>
      <c r="W58" s="117"/>
      <c r="X58" s="9"/>
      <c r="Y58" s="8"/>
      <c r="Z58" s="9"/>
      <c r="AA58" s="9"/>
      <c r="AB58" s="242">
        <f t="shared" si="446"/>
        <v>0</v>
      </c>
      <c r="AC58" s="241">
        <v>0</v>
      </c>
      <c r="AD58" s="165">
        <v>0</v>
      </c>
      <c r="AE58" s="242">
        <v>0</v>
      </c>
      <c r="AF58" s="9">
        <v>0</v>
      </c>
      <c r="AG58" s="9">
        <v>300000</v>
      </c>
      <c r="AH58" s="66"/>
      <c r="AI58" s="66"/>
      <c r="AJ58" s="66"/>
      <c r="AK58" s="66"/>
      <c r="AL58" s="66"/>
      <c r="AM58" s="66"/>
      <c r="AN58" s="66"/>
      <c r="AO58" s="59"/>
      <c r="AP58" s="8" t="s">
        <v>607</v>
      </c>
      <c r="AQ58" s="9">
        <v>120000</v>
      </c>
      <c r="AR58" s="10">
        <v>14</v>
      </c>
      <c r="AS58" s="8" t="s">
        <v>78</v>
      </c>
      <c r="AT58" s="9">
        <v>100000</v>
      </c>
      <c r="AU58" s="10">
        <v>12</v>
      </c>
      <c r="AV58" s="8" t="s">
        <v>78</v>
      </c>
      <c r="AW58" s="9">
        <v>100000</v>
      </c>
      <c r="AX58" s="10">
        <v>12</v>
      </c>
      <c r="AY58" s="8" t="s">
        <v>78</v>
      </c>
      <c r="AZ58" s="9">
        <v>102000</v>
      </c>
      <c r="BA58" s="10">
        <v>12</v>
      </c>
      <c r="BB58" s="8" t="s">
        <v>607</v>
      </c>
      <c r="BC58" s="9">
        <v>117600</v>
      </c>
      <c r="BD58" s="10">
        <v>13</v>
      </c>
      <c r="BE58" s="8" t="s">
        <v>78</v>
      </c>
      <c r="BF58" s="9">
        <v>100008</v>
      </c>
      <c r="BG58" s="10">
        <v>12</v>
      </c>
      <c r="BH58" s="8" t="s">
        <v>78</v>
      </c>
      <c r="BI58" s="9">
        <v>100008</v>
      </c>
      <c r="BJ58" s="10">
        <v>12</v>
      </c>
      <c r="BK58" s="8" t="s">
        <v>78</v>
      </c>
      <c r="BL58" s="9">
        <v>100008</v>
      </c>
      <c r="BM58" s="10">
        <v>12</v>
      </c>
      <c r="BN58" s="8" t="s">
        <v>78</v>
      </c>
      <c r="BO58" s="9">
        <v>100008</v>
      </c>
      <c r="BP58" s="10">
        <v>12</v>
      </c>
      <c r="BQ58" s="8" t="s">
        <v>78</v>
      </c>
      <c r="BR58" s="9">
        <v>100008</v>
      </c>
      <c r="BS58" s="10">
        <v>12</v>
      </c>
      <c r="BT58" s="8" t="s">
        <v>74</v>
      </c>
      <c r="BU58" s="9">
        <v>168000</v>
      </c>
      <c r="BV58" s="10">
        <v>16</v>
      </c>
      <c r="BW58" s="8" t="s">
        <v>74</v>
      </c>
      <c r="BX58" s="9">
        <v>150000</v>
      </c>
      <c r="BY58" s="10">
        <v>16</v>
      </c>
      <c r="BZ58" s="8" t="s">
        <v>74</v>
      </c>
      <c r="CA58" s="9">
        <v>150000</v>
      </c>
      <c r="CB58" s="10">
        <f t="shared" si="531"/>
        <v>16</v>
      </c>
      <c r="CC58" s="8" t="str">
        <f t="shared" si="532"/>
        <v>W3</v>
      </c>
      <c r="CD58" s="9">
        <f t="shared" si="533"/>
        <v>150000</v>
      </c>
      <c r="CE58" s="10">
        <f t="shared" si="534"/>
        <v>16</v>
      </c>
      <c r="CF58" s="8" t="str">
        <f t="shared" si="535"/>
        <v>W3</v>
      </c>
      <c r="CG58" s="9">
        <f t="shared" si="536"/>
        <v>150000</v>
      </c>
      <c r="CH58" s="10">
        <f t="shared" si="537"/>
        <v>16</v>
      </c>
      <c r="CI58" s="8" t="str">
        <f t="shared" si="538"/>
        <v>W3</v>
      </c>
      <c r="CJ58" s="9">
        <f t="shared" si="539"/>
        <v>150000</v>
      </c>
      <c r="CK58" s="10">
        <f t="shared" si="540"/>
        <v>16</v>
      </c>
      <c r="CL58" s="8" t="str">
        <f t="shared" si="541"/>
        <v>W3</v>
      </c>
      <c r="CM58" s="9">
        <f t="shared" si="542"/>
        <v>150000</v>
      </c>
      <c r="CN58" s="10">
        <f t="shared" si="543"/>
        <v>16</v>
      </c>
      <c r="CO58" s="8" t="str">
        <f t="shared" si="544"/>
        <v>W3</v>
      </c>
      <c r="CP58" s="9">
        <f t="shared" si="545"/>
        <v>150000</v>
      </c>
      <c r="CQ58" s="10">
        <f t="shared" si="546"/>
        <v>16</v>
      </c>
      <c r="CR58" s="8" t="str">
        <f t="shared" si="547"/>
        <v>W3</v>
      </c>
      <c r="CS58" s="9">
        <f t="shared" si="548"/>
        <v>150000</v>
      </c>
      <c r="CT58" s="10">
        <f t="shared" si="549"/>
        <v>16</v>
      </c>
      <c r="CU58" s="8" t="str">
        <f t="shared" si="550"/>
        <v>W3</v>
      </c>
      <c r="CV58" s="9">
        <f t="shared" si="551"/>
        <v>150000</v>
      </c>
      <c r="CW58" s="10">
        <f t="shared" si="552"/>
        <v>16</v>
      </c>
      <c r="CX58" s="8" t="str">
        <f t="shared" si="553"/>
        <v>W3</v>
      </c>
      <c r="CY58" s="9">
        <f t="shared" si="554"/>
        <v>150000</v>
      </c>
      <c r="CZ58" s="10">
        <f t="shared" si="555"/>
        <v>16</v>
      </c>
      <c r="DA58" s="8" t="str">
        <f t="shared" si="556"/>
        <v>W3</v>
      </c>
      <c r="DB58" s="9">
        <f t="shared" si="557"/>
        <v>150000</v>
      </c>
      <c r="DC58" s="10">
        <f t="shared" si="558"/>
        <v>16</v>
      </c>
      <c r="DD58" s="8" t="str">
        <f t="shared" si="559"/>
        <v>W3</v>
      </c>
      <c r="DE58" s="9">
        <f t="shared" si="560"/>
        <v>150000</v>
      </c>
      <c r="DF58" s="10">
        <f t="shared" si="561"/>
        <v>16</v>
      </c>
      <c r="DG58" s="8" t="str">
        <f t="shared" si="562"/>
        <v>W3</v>
      </c>
      <c r="DH58" s="9">
        <f t="shared" si="563"/>
        <v>150000</v>
      </c>
      <c r="DI58" s="10">
        <f t="shared" si="564"/>
        <v>16</v>
      </c>
      <c r="DK58" s="109">
        <f t="shared" si="518"/>
        <v>0</v>
      </c>
      <c r="DL58" s="67">
        <f t="shared" si="519"/>
        <v>0</v>
      </c>
      <c r="DM58" s="67">
        <f t="shared" si="520"/>
        <v>0</v>
      </c>
      <c r="DN58" s="67">
        <f t="shared" si="521"/>
        <v>0</v>
      </c>
      <c r="DO58" s="67">
        <f t="shared" si="522"/>
        <v>0</v>
      </c>
      <c r="DP58" s="67">
        <f t="shared" si="523"/>
        <v>0</v>
      </c>
      <c r="DQ58" s="9">
        <f t="shared" si="524"/>
        <v>0</v>
      </c>
      <c r="DR58" s="66">
        <f t="shared" si="525"/>
        <v>0</v>
      </c>
      <c r="DS58" s="9">
        <f t="shared" si="526"/>
        <v>0</v>
      </c>
      <c r="DT58" s="9">
        <f t="shared" si="527"/>
        <v>0</v>
      </c>
      <c r="DU58" s="9">
        <f t="shared" si="528"/>
        <v>0</v>
      </c>
      <c r="DV58" s="10">
        <f t="shared" si="529"/>
        <v>0</v>
      </c>
      <c r="DW58" s="9">
        <f t="shared" si="530"/>
        <v>0</v>
      </c>
      <c r="DX58" s="9">
        <f t="shared" si="565"/>
        <v>0</v>
      </c>
      <c r="DY58" s="9">
        <f t="shared" si="566"/>
        <v>0</v>
      </c>
      <c r="DZ58" s="9">
        <f t="shared" si="567"/>
        <v>0</v>
      </c>
      <c r="EA58" s="9">
        <f t="shared" si="568"/>
        <v>2</v>
      </c>
      <c r="EB58" s="9">
        <f t="shared" si="569"/>
        <v>0</v>
      </c>
      <c r="EC58" s="9">
        <f t="shared" si="570"/>
        <v>0</v>
      </c>
      <c r="ED58" s="9">
        <f t="shared" si="571"/>
        <v>0</v>
      </c>
      <c r="EE58" s="9">
        <f t="shared" si="572"/>
        <v>0</v>
      </c>
      <c r="EF58" s="9">
        <f t="shared" si="573"/>
        <v>0</v>
      </c>
      <c r="EG58" s="9">
        <f t="shared" si="574"/>
        <v>0</v>
      </c>
      <c r="EH58" s="9">
        <f t="shared" si="575"/>
        <v>0</v>
      </c>
      <c r="EJ58" s="109">
        <f t="shared" si="576"/>
        <v>0</v>
      </c>
      <c r="EK58" s="66">
        <f t="shared" si="577"/>
        <v>0</v>
      </c>
      <c r="EL58" s="66">
        <f t="shared" si="578"/>
        <v>0</v>
      </c>
      <c r="EM58" s="66">
        <f t="shared" si="579"/>
        <v>0</v>
      </c>
      <c r="EN58" s="66">
        <f t="shared" si="580"/>
        <v>0</v>
      </c>
      <c r="EO58" s="66">
        <f t="shared" si="581"/>
        <v>0</v>
      </c>
      <c r="EP58" s="66">
        <f t="shared" si="582"/>
        <v>0</v>
      </c>
      <c r="EQ58" s="66">
        <f t="shared" si="583"/>
        <v>0</v>
      </c>
      <c r="ER58" s="66">
        <f t="shared" si="584"/>
        <v>0</v>
      </c>
      <c r="ES58" s="66">
        <f t="shared" si="585"/>
        <v>0</v>
      </c>
      <c r="ET58" s="66">
        <f t="shared" si="586"/>
        <v>0</v>
      </c>
      <c r="EU58" s="110">
        <f t="shared" si="587"/>
        <v>0</v>
      </c>
      <c r="EV58" s="66">
        <f t="shared" si="588"/>
        <v>0</v>
      </c>
      <c r="EW58" s="66">
        <f t="shared" si="589"/>
        <v>0</v>
      </c>
      <c r="EX58" s="66">
        <f t="shared" si="590"/>
        <v>0</v>
      </c>
      <c r="EY58" s="66">
        <f t="shared" si="591"/>
        <v>0</v>
      </c>
      <c r="EZ58" s="66">
        <f t="shared" si="592"/>
        <v>32</v>
      </c>
      <c r="FA58" s="66">
        <f t="shared" si="593"/>
        <v>0</v>
      </c>
      <c r="FB58" s="66">
        <f t="shared" si="594"/>
        <v>0</v>
      </c>
      <c r="FC58" s="66">
        <f t="shared" si="595"/>
        <v>0</v>
      </c>
      <c r="FD58" s="66">
        <f t="shared" si="596"/>
        <v>0</v>
      </c>
      <c r="FE58" s="66">
        <f t="shared" si="597"/>
        <v>0</v>
      </c>
      <c r="FF58" s="66">
        <f t="shared" si="598"/>
        <v>0</v>
      </c>
      <c r="FG58" s="66">
        <f t="shared" si="599"/>
        <v>0</v>
      </c>
      <c r="FO58"/>
      <c r="FP58"/>
      <c r="FQ58"/>
    </row>
    <row r="59" spans="1:174" s="108" customFormat="1" outlineLevel="2" x14ac:dyDescent="0.25">
      <c r="A59" s="43" t="s">
        <v>2594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2"/>
      <c r="M59" s="133"/>
      <c r="N59" s="92"/>
      <c r="O59" s="92"/>
      <c r="P59" s="133"/>
      <c r="Q59" s="133"/>
      <c r="R59" s="92"/>
      <c r="S59" s="92"/>
      <c r="T59" s="186"/>
      <c r="U59" s="117"/>
      <c r="V59" s="117"/>
      <c r="W59" s="117"/>
      <c r="X59" s="9"/>
      <c r="Y59" s="8"/>
      <c r="Z59" s="9"/>
      <c r="AA59" s="9"/>
      <c r="AB59" s="242">
        <f t="shared" si="446"/>
        <v>0</v>
      </c>
      <c r="AC59" s="241">
        <v>0</v>
      </c>
      <c r="AD59" s="165">
        <v>0</v>
      </c>
      <c r="AE59" s="242">
        <v>0</v>
      </c>
      <c r="AF59" s="9">
        <v>0</v>
      </c>
      <c r="AG59" s="9">
        <v>300000</v>
      </c>
      <c r="AH59" s="66"/>
      <c r="AI59" s="66"/>
      <c r="AJ59" s="66"/>
      <c r="AK59" s="66"/>
      <c r="AL59" s="66"/>
      <c r="AM59" s="66"/>
      <c r="AN59" s="66"/>
      <c r="AO59" s="59"/>
      <c r="AP59" s="8" t="s">
        <v>607</v>
      </c>
      <c r="AQ59" s="9">
        <v>120000</v>
      </c>
      <c r="AR59" s="10">
        <v>14</v>
      </c>
      <c r="AS59" s="8" t="s">
        <v>78</v>
      </c>
      <c r="AT59" s="9">
        <v>100000</v>
      </c>
      <c r="AU59" s="10">
        <v>12</v>
      </c>
      <c r="AV59" s="8" t="s">
        <v>78</v>
      </c>
      <c r="AW59" s="9">
        <v>100000</v>
      </c>
      <c r="AX59" s="10">
        <v>12</v>
      </c>
      <c r="AY59" s="8" t="s">
        <v>78</v>
      </c>
      <c r="AZ59" s="9">
        <v>102000</v>
      </c>
      <c r="BA59" s="10">
        <v>12</v>
      </c>
      <c r="BB59" s="8" t="s">
        <v>607</v>
      </c>
      <c r="BC59" s="9">
        <v>117600</v>
      </c>
      <c r="BD59" s="10">
        <v>13</v>
      </c>
      <c r="BE59" s="8" t="s">
        <v>78</v>
      </c>
      <c r="BF59" s="9">
        <v>100008</v>
      </c>
      <c r="BG59" s="10">
        <v>12</v>
      </c>
      <c r="BH59" s="8" t="s">
        <v>78</v>
      </c>
      <c r="BI59" s="9">
        <v>100008</v>
      </c>
      <c r="BJ59" s="10">
        <v>12</v>
      </c>
      <c r="BK59" s="8" t="s">
        <v>78</v>
      </c>
      <c r="BL59" s="9">
        <v>100008</v>
      </c>
      <c r="BM59" s="10">
        <v>12</v>
      </c>
      <c r="BN59" s="8" t="s">
        <v>78</v>
      </c>
      <c r="BO59" s="9">
        <v>100008</v>
      </c>
      <c r="BP59" s="10">
        <v>12</v>
      </c>
      <c r="BQ59" s="8" t="s">
        <v>78</v>
      </c>
      <c r="BR59" s="9">
        <v>100008</v>
      </c>
      <c r="BS59" s="10">
        <v>12</v>
      </c>
      <c r="BT59" s="8" t="s">
        <v>74</v>
      </c>
      <c r="BU59" s="9">
        <v>168000</v>
      </c>
      <c r="BV59" s="10">
        <v>16</v>
      </c>
      <c r="BW59" s="8" t="s">
        <v>74</v>
      </c>
      <c r="BX59" s="9">
        <v>150000</v>
      </c>
      <c r="BY59" s="10">
        <v>16</v>
      </c>
      <c r="BZ59" s="8" t="s">
        <v>74</v>
      </c>
      <c r="CA59" s="9">
        <v>150000</v>
      </c>
      <c r="CB59" s="10">
        <f t="shared" si="531"/>
        <v>16</v>
      </c>
      <c r="CC59" s="8" t="str">
        <f t="shared" si="532"/>
        <v>W3</v>
      </c>
      <c r="CD59" s="9">
        <f t="shared" si="533"/>
        <v>150000</v>
      </c>
      <c r="CE59" s="10">
        <f t="shared" si="534"/>
        <v>16</v>
      </c>
      <c r="CF59" s="8" t="str">
        <f t="shared" si="535"/>
        <v>W3</v>
      </c>
      <c r="CG59" s="9">
        <f t="shared" si="536"/>
        <v>150000</v>
      </c>
      <c r="CH59" s="10">
        <f t="shared" si="537"/>
        <v>16</v>
      </c>
      <c r="CI59" s="8" t="str">
        <f t="shared" si="538"/>
        <v>W3</v>
      </c>
      <c r="CJ59" s="9">
        <f t="shared" si="539"/>
        <v>150000</v>
      </c>
      <c r="CK59" s="10">
        <f t="shared" si="540"/>
        <v>16</v>
      </c>
      <c r="CL59" s="8" t="str">
        <f t="shared" si="541"/>
        <v>W3</v>
      </c>
      <c r="CM59" s="9">
        <f t="shared" si="542"/>
        <v>150000</v>
      </c>
      <c r="CN59" s="10">
        <f t="shared" si="543"/>
        <v>16</v>
      </c>
      <c r="CO59" s="8" t="str">
        <f t="shared" si="544"/>
        <v>W3</v>
      </c>
      <c r="CP59" s="9">
        <f t="shared" si="545"/>
        <v>150000</v>
      </c>
      <c r="CQ59" s="10">
        <f t="shared" si="546"/>
        <v>16</v>
      </c>
      <c r="CR59" s="8" t="str">
        <f t="shared" si="547"/>
        <v>W3</v>
      </c>
      <c r="CS59" s="9">
        <f t="shared" si="548"/>
        <v>150000</v>
      </c>
      <c r="CT59" s="10">
        <f t="shared" si="549"/>
        <v>16</v>
      </c>
      <c r="CU59" s="8" t="str">
        <f t="shared" si="550"/>
        <v>W3</v>
      </c>
      <c r="CV59" s="9">
        <f t="shared" si="551"/>
        <v>150000</v>
      </c>
      <c r="CW59" s="10">
        <f t="shared" si="552"/>
        <v>16</v>
      </c>
      <c r="CX59" s="8" t="str">
        <f t="shared" si="553"/>
        <v>W3</v>
      </c>
      <c r="CY59" s="9">
        <f t="shared" si="554"/>
        <v>150000</v>
      </c>
      <c r="CZ59" s="10">
        <f t="shared" si="555"/>
        <v>16</v>
      </c>
      <c r="DA59" s="8" t="str">
        <f t="shared" si="556"/>
        <v>W3</v>
      </c>
      <c r="DB59" s="9">
        <f t="shared" si="557"/>
        <v>150000</v>
      </c>
      <c r="DC59" s="10">
        <f t="shared" si="558"/>
        <v>16</v>
      </c>
      <c r="DD59" s="8" t="str">
        <f t="shared" si="559"/>
        <v>W3</v>
      </c>
      <c r="DE59" s="9">
        <f t="shared" si="560"/>
        <v>150000</v>
      </c>
      <c r="DF59" s="10">
        <f t="shared" si="561"/>
        <v>16</v>
      </c>
      <c r="DG59" s="8" t="str">
        <f t="shared" si="562"/>
        <v>W3</v>
      </c>
      <c r="DH59" s="9">
        <f t="shared" si="563"/>
        <v>150000</v>
      </c>
      <c r="DI59" s="10">
        <f t="shared" si="564"/>
        <v>16</v>
      </c>
      <c r="DK59" s="109">
        <f t="shared" si="518"/>
        <v>0</v>
      </c>
      <c r="DL59" s="67">
        <f t="shared" si="519"/>
        <v>0</v>
      </c>
      <c r="DM59" s="67">
        <f t="shared" si="520"/>
        <v>0</v>
      </c>
      <c r="DN59" s="67">
        <f t="shared" si="521"/>
        <v>0</v>
      </c>
      <c r="DO59" s="67">
        <f t="shared" si="522"/>
        <v>0</v>
      </c>
      <c r="DP59" s="67">
        <f t="shared" si="523"/>
        <v>0</v>
      </c>
      <c r="DQ59" s="9">
        <f t="shared" si="524"/>
        <v>0</v>
      </c>
      <c r="DR59" s="66">
        <f t="shared" si="525"/>
        <v>0</v>
      </c>
      <c r="DS59" s="9">
        <f t="shared" si="526"/>
        <v>0</v>
      </c>
      <c r="DT59" s="9">
        <f t="shared" si="527"/>
        <v>0</v>
      </c>
      <c r="DU59" s="9">
        <f t="shared" si="528"/>
        <v>0</v>
      </c>
      <c r="DV59" s="10">
        <f t="shared" si="529"/>
        <v>0</v>
      </c>
      <c r="DW59" s="9">
        <f t="shared" si="530"/>
        <v>0</v>
      </c>
      <c r="DX59" s="9">
        <f t="shared" si="565"/>
        <v>0</v>
      </c>
      <c r="DY59" s="9">
        <f>IFERROR(ROUNDUP(+AE60/CG59,0),0)</f>
        <v>0</v>
      </c>
      <c r="DZ59" s="9">
        <f t="shared" si="567"/>
        <v>0</v>
      </c>
      <c r="EA59" s="9">
        <f t="shared" si="568"/>
        <v>2</v>
      </c>
      <c r="EB59" s="9">
        <f t="shared" si="569"/>
        <v>0</v>
      </c>
      <c r="EC59" s="9">
        <f t="shared" si="570"/>
        <v>0</v>
      </c>
      <c r="ED59" s="9">
        <f t="shared" si="571"/>
        <v>0</v>
      </c>
      <c r="EE59" s="9">
        <f t="shared" si="572"/>
        <v>0</v>
      </c>
      <c r="EF59" s="9">
        <f t="shared" si="573"/>
        <v>0</v>
      </c>
      <c r="EG59" s="9">
        <f t="shared" si="574"/>
        <v>0</v>
      </c>
      <c r="EH59" s="9">
        <f t="shared" si="575"/>
        <v>0</v>
      </c>
      <c r="EJ59" s="109">
        <f t="shared" si="576"/>
        <v>0</v>
      </c>
      <c r="EK59" s="66">
        <f t="shared" si="577"/>
        <v>0</v>
      </c>
      <c r="EL59" s="66">
        <f t="shared" si="578"/>
        <v>0</v>
      </c>
      <c r="EM59" s="66">
        <f t="shared" si="579"/>
        <v>0</v>
      </c>
      <c r="EN59" s="66">
        <f t="shared" si="580"/>
        <v>0</v>
      </c>
      <c r="EO59" s="66">
        <f t="shared" si="581"/>
        <v>0</v>
      </c>
      <c r="EP59" s="66">
        <f t="shared" si="582"/>
        <v>0</v>
      </c>
      <c r="EQ59" s="66">
        <f t="shared" si="583"/>
        <v>0</v>
      </c>
      <c r="ER59" s="66">
        <f t="shared" si="584"/>
        <v>0</v>
      </c>
      <c r="ES59" s="66">
        <f t="shared" si="585"/>
        <v>0</v>
      </c>
      <c r="ET59" s="66">
        <f t="shared" si="586"/>
        <v>0</v>
      </c>
      <c r="EU59" s="110">
        <f t="shared" si="587"/>
        <v>0</v>
      </c>
      <c r="EV59" s="66">
        <f t="shared" si="588"/>
        <v>0</v>
      </c>
      <c r="EW59" s="66">
        <f t="shared" si="589"/>
        <v>0</v>
      </c>
      <c r="EX59" s="66">
        <f t="shared" si="590"/>
        <v>0</v>
      </c>
      <c r="EY59" s="66">
        <f t="shared" si="591"/>
        <v>0</v>
      </c>
      <c r="EZ59" s="66">
        <f t="shared" si="592"/>
        <v>32</v>
      </c>
      <c r="FA59" s="66">
        <f t="shared" si="593"/>
        <v>0</v>
      </c>
      <c r="FB59" s="66">
        <f t="shared" si="594"/>
        <v>0</v>
      </c>
      <c r="FC59" s="66">
        <f t="shared" si="595"/>
        <v>0</v>
      </c>
      <c r="FD59" s="66">
        <f t="shared" si="596"/>
        <v>0</v>
      </c>
      <c r="FE59" s="66">
        <f t="shared" si="597"/>
        <v>0</v>
      </c>
      <c r="FF59" s="66">
        <f t="shared" si="598"/>
        <v>0</v>
      </c>
      <c r="FG59" s="66">
        <f t="shared" si="599"/>
        <v>0</v>
      </c>
      <c r="FO59"/>
      <c r="FP59"/>
      <c r="FQ59"/>
    </row>
    <row r="60" spans="1:174" s="108" customFormat="1" outlineLevel="2" x14ac:dyDescent="0.25">
      <c r="A60" s="43" t="s">
        <v>2595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2"/>
      <c r="M60" s="133"/>
      <c r="N60" s="92"/>
      <c r="O60" s="92"/>
      <c r="P60" s="133"/>
      <c r="Q60" s="133"/>
      <c r="R60" s="92"/>
      <c r="S60" s="92"/>
      <c r="T60" s="186"/>
      <c r="U60" s="117"/>
      <c r="V60" s="117"/>
      <c r="W60" s="117"/>
      <c r="X60" s="9"/>
      <c r="Y60" s="8"/>
      <c r="Z60" s="9"/>
      <c r="AA60" s="9"/>
      <c r="AB60" s="242">
        <f t="shared" si="446"/>
        <v>0</v>
      </c>
      <c r="AC60" s="241">
        <v>0</v>
      </c>
      <c r="AD60" s="165">
        <v>0</v>
      </c>
      <c r="AE60" s="242">
        <v>0</v>
      </c>
      <c r="AF60" s="9">
        <v>0</v>
      </c>
      <c r="AG60" s="9"/>
      <c r="AH60" s="66"/>
      <c r="AI60" s="66"/>
      <c r="AJ60" s="66"/>
      <c r="AK60" s="66"/>
      <c r="AL60" s="66"/>
      <c r="AM60" s="66"/>
      <c r="AN60" s="66"/>
      <c r="AO60" s="59"/>
      <c r="AP60" s="8" t="s">
        <v>607</v>
      </c>
      <c r="AQ60" s="9">
        <v>120000</v>
      </c>
      <c r="AR60" s="10">
        <v>14</v>
      </c>
      <c r="AS60" s="8" t="s">
        <v>78</v>
      </c>
      <c r="AT60" s="9">
        <v>100000</v>
      </c>
      <c r="AU60" s="10">
        <v>12</v>
      </c>
      <c r="AV60" s="8" t="s">
        <v>78</v>
      </c>
      <c r="AW60" s="9">
        <v>100000</v>
      </c>
      <c r="AX60" s="10">
        <v>12</v>
      </c>
      <c r="AY60" s="8" t="s">
        <v>78</v>
      </c>
      <c r="AZ60" s="9">
        <v>102000</v>
      </c>
      <c r="BA60" s="10">
        <v>12</v>
      </c>
      <c r="BB60" s="8" t="s">
        <v>607</v>
      </c>
      <c r="BC60" s="9">
        <v>117600</v>
      </c>
      <c r="BD60" s="10">
        <v>13</v>
      </c>
      <c r="BE60" s="8" t="s">
        <v>78</v>
      </c>
      <c r="BF60" s="9">
        <v>100008</v>
      </c>
      <c r="BG60" s="10">
        <v>12</v>
      </c>
      <c r="BH60" s="8" t="s">
        <v>78</v>
      </c>
      <c r="BI60" s="9">
        <v>100008</v>
      </c>
      <c r="BJ60" s="10">
        <v>12</v>
      </c>
      <c r="BK60" s="8" t="s">
        <v>78</v>
      </c>
      <c r="BL60" s="9">
        <v>100008</v>
      </c>
      <c r="BM60" s="10">
        <v>12</v>
      </c>
      <c r="BN60" s="8" t="s">
        <v>78</v>
      </c>
      <c r="BO60" s="9">
        <v>100008</v>
      </c>
      <c r="BP60" s="10">
        <v>12</v>
      </c>
      <c r="BQ60" s="8" t="s">
        <v>78</v>
      </c>
      <c r="BR60" s="9">
        <v>100008</v>
      </c>
      <c r="BS60" s="10">
        <v>12</v>
      </c>
      <c r="BT60" s="8" t="s">
        <v>74</v>
      </c>
      <c r="BU60" s="9">
        <v>168000</v>
      </c>
      <c r="BV60" s="10">
        <v>16</v>
      </c>
      <c r="BW60" s="8" t="s">
        <v>74</v>
      </c>
      <c r="BX60" s="9">
        <v>150000</v>
      </c>
      <c r="BY60" s="10">
        <v>16</v>
      </c>
      <c r="BZ60" s="8" t="s">
        <v>74</v>
      </c>
      <c r="CA60" s="9">
        <v>150000</v>
      </c>
      <c r="CB60" s="10">
        <f t="shared" si="531"/>
        <v>16</v>
      </c>
      <c r="CC60" s="8" t="str">
        <f t="shared" si="532"/>
        <v>W3</v>
      </c>
      <c r="CD60" s="9">
        <f t="shared" si="533"/>
        <v>150000</v>
      </c>
      <c r="CE60" s="10">
        <f t="shared" si="534"/>
        <v>16</v>
      </c>
      <c r="CF60" s="8" t="str">
        <f t="shared" si="535"/>
        <v>W3</v>
      </c>
      <c r="CG60" s="9">
        <f t="shared" si="536"/>
        <v>150000</v>
      </c>
      <c r="CH60" s="10">
        <f t="shared" si="537"/>
        <v>16</v>
      </c>
      <c r="CI60" s="8" t="str">
        <f t="shared" si="538"/>
        <v>W3</v>
      </c>
      <c r="CJ60" s="9">
        <f t="shared" si="539"/>
        <v>150000</v>
      </c>
      <c r="CK60" s="10">
        <f t="shared" si="540"/>
        <v>16</v>
      </c>
      <c r="CL60" s="8" t="str">
        <f t="shared" si="541"/>
        <v>W3</v>
      </c>
      <c r="CM60" s="9">
        <f t="shared" si="542"/>
        <v>150000</v>
      </c>
      <c r="CN60" s="10">
        <f t="shared" si="543"/>
        <v>16</v>
      </c>
      <c r="CO60" s="8" t="str">
        <f t="shared" si="544"/>
        <v>W3</v>
      </c>
      <c r="CP60" s="9">
        <f t="shared" si="545"/>
        <v>150000</v>
      </c>
      <c r="CQ60" s="10">
        <f t="shared" si="546"/>
        <v>16</v>
      </c>
      <c r="CR60" s="8" t="str">
        <f t="shared" si="547"/>
        <v>W3</v>
      </c>
      <c r="CS60" s="9">
        <f t="shared" si="548"/>
        <v>150000</v>
      </c>
      <c r="CT60" s="10">
        <f t="shared" si="549"/>
        <v>16</v>
      </c>
      <c r="CU60" s="8" t="str">
        <f t="shared" si="550"/>
        <v>W3</v>
      </c>
      <c r="CV60" s="9">
        <f t="shared" si="551"/>
        <v>150000</v>
      </c>
      <c r="CW60" s="10">
        <f t="shared" si="552"/>
        <v>16</v>
      </c>
      <c r="CX60" s="8" t="str">
        <f t="shared" si="553"/>
        <v>W3</v>
      </c>
      <c r="CY60" s="9">
        <f t="shared" si="554"/>
        <v>150000</v>
      </c>
      <c r="CZ60" s="10">
        <f t="shared" si="555"/>
        <v>16</v>
      </c>
      <c r="DA60" s="8" t="str">
        <f t="shared" si="556"/>
        <v>W3</v>
      </c>
      <c r="DB60" s="9">
        <f t="shared" si="557"/>
        <v>150000</v>
      </c>
      <c r="DC60" s="10">
        <f t="shared" si="558"/>
        <v>16</v>
      </c>
      <c r="DD60" s="8" t="str">
        <f t="shared" si="559"/>
        <v>W3</v>
      </c>
      <c r="DE60" s="9">
        <f t="shared" si="560"/>
        <v>150000</v>
      </c>
      <c r="DF60" s="10">
        <f t="shared" si="561"/>
        <v>16</v>
      </c>
      <c r="DG60" s="8" t="str">
        <f t="shared" si="562"/>
        <v>W3</v>
      </c>
      <c r="DH60" s="9">
        <f t="shared" si="563"/>
        <v>150000</v>
      </c>
      <c r="DI60" s="10">
        <f t="shared" si="564"/>
        <v>16</v>
      </c>
      <c r="DK60" s="109">
        <f t="shared" si="518"/>
        <v>0</v>
      </c>
      <c r="DL60" s="67">
        <f t="shared" si="519"/>
        <v>0</v>
      </c>
      <c r="DM60" s="67">
        <f t="shared" si="520"/>
        <v>0</v>
      </c>
      <c r="DN60" s="67">
        <f t="shared" si="521"/>
        <v>0</v>
      </c>
      <c r="DO60" s="67">
        <f t="shared" si="522"/>
        <v>0</v>
      </c>
      <c r="DP60" s="67">
        <f t="shared" si="523"/>
        <v>0</v>
      </c>
      <c r="DQ60" s="9">
        <f t="shared" si="524"/>
        <v>0</v>
      </c>
      <c r="DR60" s="66">
        <f t="shared" si="525"/>
        <v>0</v>
      </c>
      <c r="DS60" s="9">
        <f t="shared" si="526"/>
        <v>0</v>
      </c>
      <c r="DT60" s="9">
        <f t="shared" si="527"/>
        <v>0</v>
      </c>
      <c r="DU60" s="9">
        <f t="shared" si="528"/>
        <v>0</v>
      </c>
      <c r="DV60" s="10">
        <f t="shared" si="529"/>
        <v>0</v>
      </c>
      <c r="DW60" s="9">
        <f t="shared" si="530"/>
        <v>0</v>
      </c>
      <c r="DX60" s="9">
        <f t="shared" si="565"/>
        <v>0</v>
      </c>
      <c r="DY60" s="9">
        <f>IFERROR(ROUNDUP(+#REF!/CG60,0),0)</f>
        <v>0</v>
      </c>
      <c r="DZ60" s="9">
        <f t="shared" si="567"/>
        <v>0</v>
      </c>
      <c r="EA60" s="9">
        <f t="shared" si="568"/>
        <v>0</v>
      </c>
      <c r="EB60" s="9">
        <f t="shared" si="569"/>
        <v>0</v>
      </c>
      <c r="EC60" s="9">
        <f t="shared" si="570"/>
        <v>0</v>
      </c>
      <c r="ED60" s="9">
        <f t="shared" si="571"/>
        <v>0</v>
      </c>
      <c r="EE60" s="9">
        <f t="shared" si="572"/>
        <v>0</v>
      </c>
      <c r="EF60" s="9">
        <f t="shared" si="573"/>
        <v>0</v>
      </c>
      <c r="EG60" s="9">
        <f t="shared" si="574"/>
        <v>0</v>
      </c>
      <c r="EH60" s="9">
        <f t="shared" si="575"/>
        <v>0</v>
      </c>
      <c r="EJ60" s="109">
        <f t="shared" si="576"/>
        <v>0</v>
      </c>
      <c r="EK60" s="66">
        <f t="shared" si="577"/>
        <v>0</v>
      </c>
      <c r="EL60" s="66">
        <f t="shared" si="578"/>
        <v>0</v>
      </c>
      <c r="EM60" s="66">
        <f t="shared" si="579"/>
        <v>0</v>
      </c>
      <c r="EN60" s="66">
        <f t="shared" si="580"/>
        <v>0</v>
      </c>
      <c r="EO60" s="66">
        <f t="shared" si="581"/>
        <v>0</v>
      </c>
      <c r="EP60" s="66">
        <f t="shared" si="582"/>
        <v>0</v>
      </c>
      <c r="EQ60" s="66">
        <f t="shared" si="583"/>
        <v>0</v>
      </c>
      <c r="ER60" s="66">
        <f t="shared" si="584"/>
        <v>0</v>
      </c>
      <c r="ES60" s="66">
        <f t="shared" si="585"/>
        <v>0</v>
      </c>
      <c r="ET60" s="66">
        <f t="shared" si="586"/>
        <v>0</v>
      </c>
      <c r="EU60" s="110">
        <f t="shared" si="587"/>
        <v>0</v>
      </c>
      <c r="EV60" s="66">
        <f t="shared" si="588"/>
        <v>0</v>
      </c>
      <c r="EW60" s="66">
        <f t="shared" si="589"/>
        <v>0</v>
      </c>
      <c r="EX60" s="66">
        <f t="shared" si="590"/>
        <v>0</v>
      </c>
      <c r="EY60" s="66">
        <f t="shared" si="591"/>
        <v>0</v>
      </c>
      <c r="EZ60" s="66">
        <f t="shared" si="592"/>
        <v>0</v>
      </c>
      <c r="FA60" s="66">
        <f t="shared" si="593"/>
        <v>0</v>
      </c>
      <c r="FB60" s="66">
        <f t="shared" si="594"/>
        <v>0</v>
      </c>
      <c r="FC60" s="66">
        <f t="shared" si="595"/>
        <v>0</v>
      </c>
      <c r="FD60" s="66">
        <f t="shared" si="596"/>
        <v>0</v>
      </c>
      <c r="FE60" s="66">
        <f t="shared" si="597"/>
        <v>0</v>
      </c>
      <c r="FF60" s="66">
        <f t="shared" si="598"/>
        <v>0</v>
      </c>
      <c r="FG60" s="66">
        <f t="shared" si="599"/>
        <v>0</v>
      </c>
      <c r="FO60"/>
      <c r="FP60"/>
      <c r="FQ60"/>
    </row>
    <row r="61" spans="1:174" s="108" customFormat="1" outlineLevel="2" x14ac:dyDescent="0.25">
      <c r="A61" s="43" t="s">
        <v>2596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2"/>
      <c r="M61" s="133"/>
      <c r="N61" s="92"/>
      <c r="O61" s="92"/>
      <c r="P61" s="133"/>
      <c r="Q61" s="133"/>
      <c r="R61" s="92"/>
      <c r="S61" s="92"/>
      <c r="T61" s="186"/>
      <c r="U61" s="117"/>
      <c r="V61" s="117"/>
      <c r="W61" s="117"/>
      <c r="X61" s="9"/>
      <c r="Y61" s="8"/>
      <c r="Z61" s="9"/>
      <c r="AA61" s="9"/>
      <c r="AB61" s="242">
        <f t="shared" si="446"/>
        <v>0</v>
      </c>
      <c r="AC61" s="241">
        <v>0</v>
      </c>
      <c r="AD61" s="165">
        <v>0</v>
      </c>
      <c r="AE61" s="242">
        <v>0</v>
      </c>
      <c r="AF61" s="9">
        <v>0</v>
      </c>
      <c r="AG61" s="9"/>
      <c r="AH61" s="66"/>
      <c r="AI61" s="66"/>
      <c r="AJ61" s="66"/>
      <c r="AK61" s="66"/>
      <c r="AL61" s="66"/>
      <c r="AM61" s="66"/>
      <c r="AN61" s="66"/>
      <c r="AO61" s="59"/>
      <c r="AP61" s="8" t="s">
        <v>607</v>
      </c>
      <c r="AQ61" s="9">
        <v>120000</v>
      </c>
      <c r="AR61" s="10">
        <v>14</v>
      </c>
      <c r="AS61" s="8" t="s">
        <v>78</v>
      </c>
      <c r="AT61" s="9">
        <v>100000</v>
      </c>
      <c r="AU61" s="10">
        <v>12</v>
      </c>
      <c r="AV61" s="8" t="s">
        <v>78</v>
      </c>
      <c r="AW61" s="9">
        <v>100000</v>
      </c>
      <c r="AX61" s="10">
        <v>12</v>
      </c>
      <c r="AY61" s="8" t="s">
        <v>78</v>
      </c>
      <c r="AZ61" s="9">
        <v>102000</v>
      </c>
      <c r="BA61" s="10">
        <v>12</v>
      </c>
      <c r="BB61" s="8" t="s">
        <v>607</v>
      </c>
      <c r="BC61" s="9">
        <v>117600</v>
      </c>
      <c r="BD61" s="10">
        <v>13</v>
      </c>
      <c r="BE61" s="8" t="s">
        <v>78</v>
      </c>
      <c r="BF61" s="9">
        <v>100008</v>
      </c>
      <c r="BG61" s="10">
        <v>12</v>
      </c>
      <c r="BH61" s="8" t="s">
        <v>78</v>
      </c>
      <c r="BI61" s="9">
        <v>100008</v>
      </c>
      <c r="BJ61" s="10">
        <v>12</v>
      </c>
      <c r="BK61" s="8" t="s">
        <v>78</v>
      </c>
      <c r="BL61" s="9">
        <v>100008</v>
      </c>
      <c r="BM61" s="10">
        <v>12</v>
      </c>
      <c r="BN61" s="8" t="s">
        <v>78</v>
      </c>
      <c r="BO61" s="9">
        <v>100008</v>
      </c>
      <c r="BP61" s="10">
        <v>12</v>
      </c>
      <c r="BQ61" s="8" t="s">
        <v>78</v>
      </c>
      <c r="BR61" s="9">
        <v>100008</v>
      </c>
      <c r="BS61" s="10">
        <v>12</v>
      </c>
      <c r="BT61" s="8" t="s">
        <v>74</v>
      </c>
      <c r="BU61" s="9">
        <v>168000</v>
      </c>
      <c r="BV61" s="10">
        <v>16</v>
      </c>
      <c r="BW61" s="8" t="s">
        <v>74</v>
      </c>
      <c r="BX61" s="9">
        <v>150000</v>
      </c>
      <c r="BY61" s="10">
        <v>16</v>
      </c>
      <c r="BZ61" s="8" t="s">
        <v>74</v>
      </c>
      <c r="CA61" s="9">
        <v>150000</v>
      </c>
      <c r="CB61" s="10">
        <f t="shared" si="531"/>
        <v>16</v>
      </c>
      <c r="CC61" s="8" t="str">
        <f t="shared" si="532"/>
        <v>W3</v>
      </c>
      <c r="CD61" s="9">
        <f t="shared" si="533"/>
        <v>150000</v>
      </c>
      <c r="CE61" s="10">
        <f t="shared" si="534"/>
        <v>16</v>
      </c>
      <c r="CF61" s="8" t="str">
        <f t="shared" si="535"/>
        <v>W3</v>
      </c>
      <c r="CG61" s="9">
        <f t="shared" si="536"/>
        <v>150000</v>
      </c>
      <c r="CH61" s="10">
        <f t="shared" si="537"/>
        <v>16</v>
      </c>
      <c r="CI61" s="8" t="str">
        <f t="shared" si="538"/>
        <v>W3</v>
      </c>
      <c r="CJ61" s="9">
        <f t="shared" si="539"/>
        <v>150000</v>
      </c>
      <c r="CK61" s="10">
        <f t="shared" si="540"/>
        <v>16</v>
      </c>
      <c r="CL61" s="8" t="str">
        <f t="shared" si="541"/>
        <v>W3</v>
      </c>
      <c r="CM61" s="9">
        <f t="shared" si="542"/>
        <v>150000</v>
      </c>
      <c r="CN61" s="10">
        <f t="shared" si="543"/>
        <v>16</v>
      </c>
      <c r="CO61" s="8" t="str">
        <f t="shared" si="544"/>
        <v>W3</v>
      </c>
      <c r="CP61" s="9">
        <f t="shared" si="545"/>
        <v>150000</v>
      </c>
      <c r="CQ61" s="10">
        <f t="shared" si="546"/>
        <v>16</v>
      </c>
      <c r="CR61" s="8" t="str">
        <f t="shared" si="547"/>
        <v>W3</v>
      </c>
      <c r="CS61" s="9">
        <f t="shared" si="548"/>
        <v>150000</v>
      </c>
      <c r="CT61" s="10">
        <f t="shared" si="549"/>
        <v>16</v>
      </c>
      <c r="CU61" s="8" t="str">
        <f t="shared" si="550"/>
        <v>W3</v>
      </c>
      <c r="CV61" s="9">
        <f t="shared" si="551"/>
        <v>150000</v>
      </c>
      <c r="CW61" s="10">
        <f t="shared" si="552"/>
        <v>16</v>
      </c>
      <c r="CX61" s="8" t="str">
        <f t="shared" si="553"/>
        <v>W3</v>
      </c>
      <c r="CY61" s="9">
        <f t="shared" si="554"/>
        <v>150000</v>
      </c>
      <c r="CZ61" s="10">
        <f t="shared" si="555"/>
        <v>16</v>
      </c>
      <c r="DA61" s="8" t="str">
        <f t="shared" si="556"/>
        <v>W3</v>
      </c>
      <c r="DB61" s="9">
        <f t="shared" si="557"/>
        <v>150000</v>
      </c>
      <c r="DC61" s="10">
        <f t="shared" si="558"/>
        <v>16</v>
      </c>
      <c r="DD61" s="8" t="str">
        <f t="shared" si="559"/>
        <v>W3</v>
      </c>
      <c r="DE61" s="9">
        <f t="shared" si="560"/>
        <v>150000</v>
      </c>
      <c r="DF61" s="10">
        <f t="shared" si="561"/>
        <v>16</v>
      </c>
      <c r="DG61" s="8" t="str">
        <f t="shared" si="562"/>
        <v>W3</v>
      </c>
      <c r="DH61" s="9">
        <f t="shared" si="563"/>
        <v>150000</v>
      </c>
      <c r="DI61" s="10">
        <f t="shared" si="564"/>
        <v>16</v>
      </c>
      <c r="DK61" s="109">
        <f t="shared" si="518"/>
        <v>0</v>
      </c>
      <c r="DL61" s="67">
        <f t="shared" si="519"/>
        <v>0</v>
      </c>
      <c r="DM61" s="67">
        <f t="shared" si="520"/>
        <v>0</v>
      </c>
      <c r="DN61" s="67">
        <f t="shared" si="521"/>
        <v>0</v>
      </c>
      <c r="DO61" s="67">
        <f t="shared" si="522"/>
        <v>0</v>
      </c>
      <c r="DP61" s="67">
        <f t="shared" si="523"/>
        <v>0</v>
      </c>
      <c r="DQ61" s="9">
        <f t="shared" si="524"/>
        <v>0</v>
      </c>
      <c r="DR61" s="66">
        <f t="shared" si="525"/>
        <v>0</v>
      </c>
      <c r="DS61" s="9">
        <f t="shared" si="526"/>
        <v>0</v>
      </c>
      <c r="DT61" s="9">
        <f t="shared" si="527"/>
        <v>0</v>
      </c>
      <c r="DU61" s="9">
        <f t="shared" si="528"/>
        <v>0</v>
      </c>
      <c r="DV61" s="10">
        <f t="shared" si="529"/>
        <v>0</v>
      </c>
      <c r="DW61" s="9">
        <f t="shared" si="530"/>
        <v>0</v>
      </c>
      <c r="DX61" s="9">
        <f t="shared" si="565"/>
        <v>0</v>
      </c>
      <c r="DY61" s="9">
        <f t="shared" si="566"/>
        <v>0</v>
      </c>
      <c r="DZ61" s="9">
        <f t="shared" si="567"/>
        <v>0</v>
      </c>
      <c r="EA61" s="9">
        <f t="shared" si="568"/>
        <v>0</v>
      </c>
      <c r="EB61" s="9">
        <f t="shared" si="569"/>
        <v>0</v>
      </c>
      <c r="EC61" s="9">
        <f t="shared" si="570"/>
        <v>0</v>
      </c>
      <c r="ED61" s="9">
        <f t="shared" si="571"/>
        <v>0</v>
      </c>
      <c r="EE61" s="9">
        <f t="shared" si="572"/>
        <v>0</v>
      </c>
      <c r="EF61" s="9">
        <f t="shared" si="573"/>
        <v>0</v>
      </c>
      <c r="EG61" s="9">
        <f t="shared" si="574"/>
        <v>0</v>
      </c>
      <c r="EH61" s="9">
        <f t="shared" si="575"/>
        <v>0</v>
      </c>
      <c r="EJ61" s="109">
        <f t="shared" si="576"/>
        <v>0</v>
      </c>
      <c r="EK61" s="66">
        <f t="shared" si="577"/>
        <v>0</v>
      </c>
      <c r="EL61" s="66">
        <f t="shared" si="578"/>
        <v>0</v>
      </c>
      <c r="EM61" s="66">
        <f t="shared" si="579"/>
        <v>0</v>
      </c>
      <c r="EN61" s="66">
        <f t="shared" si="580"/>
        <v>0</v>
      </c>
      <c r="EO61" s="66">
        <f t="shared" si="581"/>
        <v>0</v>
      </c>
      <c r="EP61" s="66">
        <f t="shared" si="582"/>
        <v>0</v>
      </c>
      <c r="EQ61" s="66">
        <f t="shared" si="583"/>
        <v>0</v>
      </c>
      <c r="ER61" s="66">
        <f t="shared" si="584"/>
        <v>0</v>
      </c>
      <c r="ES61" s="66">
        <f t="shared" si="585"/>
        <v>0</v>
      </c>
      <c r="ET61" s="66">
        <f t="shared" si="586"/>
        <v>0</v>
      </c>
      <c r="EU61" s="110">
        <f t="shared" si="587"/>
        <v>0</v>
      </c>
      <c r="EV61" s="66">
        <f t="shared" si="588"/>
        <v>0</v>
      </c>
      <c r="EW61" s="66">
        <f t="shared" si="589"/>
        <v>0</v>
      </c>
      <c r="EX61" s="66">
        <f t="shared" si="590"/>
        <v>0</v>
      </c>
      <c r="EY61" s="66">
        <f t="shared" si="591"/>
        <v>0</v>
      </c>
      <c r="EZ61" s="66">
        <f t="shared" si="592"/>
        <v>0</v>
      </c>
      <c r="FA61" s="66">
        <f t="shared" si="593"/>
        <v>0</v>
      </c>
      <c r="FB61" s="66">
        <f t="shared" si="594"/>
        <v>0</v>
      </c>
      <c r="FC61" s="66">
        <f t="shared" si="595"/>
        <v>0</v>
      </c>
      <c r="FD61" s="66">
        <f t="shared" si="596"/>
        <v>0</v>
      </c>
      <c r="FE61" s="66">
        <f t="shared" si="597"/>
        <v>0</v>
      </c>
      <c r="FF61" s="66">
        <f t="shared" si="598"/>
        <v>0</v>
      </c>
      <c r="FG61" s="66">
        <f t="shared" si="599"/>
        <v>0</v>
      </c>
      <c r="FO61"/>
      <c r="FP61"/>
      <c r="FQ61"/>
    </row>
    <row r="62" spans="1:174" s="108" customFormat="1" outlineLevel="2" x14ac:dyDescent="0.25">
      <c r="A62" s="43" t="s">
        <v>2597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2"/>
      <c r="M62" s="133"/>
      <c r="N62" s="92"/>
      <c r="O62" s="92"/>
      <c r="P62" s="133"/>
      <c r="Q62" s="133"/>
      <c r="R62" s="92"/>
      <c r="S62" s="92"/>
      <c r="T62" s="186"/>
      <c r="U62" s="117"/>
      <c r="V62" s="117"/>
      <c r="W62" s="117"/>
      <c r="X62" s="9"/>
      <c r="Y62" s="8"/>
      <c r="Z62" s="9"/>
      <c r="AA62" s="9"/>
      <c r="AB62" s="242">
        <f t="shared" si="446"/>
        <v>0</v>
      </c>
      <c r="AC62" s="241">
        <v>0</v>
      </c>
      <c r="AD62" s="165">
        <v>0</v>
      </c>
      <c r="AE62" s="242">
        <v>0</v>
      </c>
      <c r="AF62" s="9">
        <v>0</v>
      </c>
      <c r="AG62" s="9">
        <v>300000</v>
      </c>
      <c r="AH62" s="66"/>
      <c r="AI62" s="66"/>
      <c r="AJ62" s="66"/>
      <c r="AK62" s="66"/>
      <c r="AL62" s="66"/>
      <c r="AM62" s="66"/>
      <c r="AN62" s="66"/>
      <c r="AO62" s="59"/>
      <c r="AP62" s="8" t="s">
        <v>607</v>
      </c>
      <c r="AQ62" s="9">
        <v>120000</v>
      </c>
      <c r="AR62" s="10">
        <v>14</v>
      </c>
      <c r="AS62" s="8" t="s">
        <v>78</v>
      </c>
      <c r="AT62" s="9">
        <v>100000</v>
      </c>
      <c r="AU62" s="10">
        <v>12</v>
      </c>
      <c r="AV62" s="8" t="s">
        <v>78</v>
      </c>
      <c r="AW62" s="9">
        <v>100000</v>
      </c>
      <c r="AX62" s="10">
        <v>12</v>
      </c>
      <c r="AY62" s="8" t="s">
        <v>78</v>
      </c>
      <c r="AZ62" s="9">
        <v>102000</v>
      </c>
      <c r="BA62" s="10">
        <v>12</v>
      </c>
      <c r="BB62" s="8" t="s">
        <v>607</v>
      </c>
      <c r="BC62" s="9">
        <v>117600</v>
      </c>
      <c r="BD62" s="10">
        <v>13</v>
      </c>
      <c r="BE62" s="8" t="s">
        <v>78</v>
      </c>
      <c r="BF62" s="9">
        <v>100008</v>
      </c>
      <c r="BG62" s="10">
        <v>12</v>
      </c>
      <c r="BH62" s="8" t="s">
        <v>78</v>
      </c>
      <c r="BI62" s="9">
        <v>100008</v>
      </c>
      <c r="BJ62" s="10">
        <v>12</v>
      </c>
      <c r="BK62" s="8" t="s">
        <v>78</v>
      </c>
      <c r="BL62" s="9">
        <v>100008</v>
      </c>
      <c r="BM62" s="10">
        <v>12</v>
      </c>
      <c r="BN62" s="8" t="s">
        <v>78</v>
      </c>
      <c r="BO62" s="9">
        <v>100008</v>
      </c>
      <c r="BP62" s="10">
        <v>12</v>
      </c>
      <c r="BQ62" s="8" t="s">
        <v>78</v>
      </c>
      <c r="BR62" s="9">
        <v>100008</v>
      </c>
      <c r="BS62" s="10">
        <v>12</v>
      </c>
      <c r="BT62" s="8" t="s">
        <v>74</v>
      </c>
      <c r="BU62" s="9">
        <v>168000</v>
      </c>
      <c r="BV62" s="10">
        <v>16</v>
      </c>
      <c r="BW62" s="8" t="s">
        <v>74</v>
      </c>
      <c r="BX62" s="9">
        <v>150000</v>
      </c>
      <c r="BY62" s="10">
        <v>16</v>
      </c>
      <c r="BZ62" s="8" t="s">
        <v>74</v>
      </c>
      <c r="CA62" s="9">
        <v>150000</v>
      </c>
      <c r="CB62" s="10">
        <f t="shared" si="531"/>
        <v>16</v>
      </c>
      <c r="CC62" s="8" t="str">
        <f t="shared" si="532"/>
        <v>W3</v>
      </c>
      <c r="CD62" s="9">
        <f t="shared" si="533"/>
        <v>150000</v>
      </c>
      <c r="CE62" s="10">
        <f t="shared" si="534"/>
        <v>16</v>
      </c>
      <c r="CF62" s="8" t="str">
        <f t="shared" si="535"/>
        <v>W3</v>
      </c>
      <c r="CG62" s="9">
        <f t="shared" si="536"/>
        <v>150000</v>
      </c>
      <c r="CH62" s="10">
        <f t="shared" si="537"/>
        <v>16</v>
      </c>
      <c r="CI62" s="8" t="str">
        <f t="shared" si="538"/>
        <v>W3</v>
      </c>
      <c r="CJ62" s="9">
        <f t="shared" si="539"/>
        <v>150000</v>
      </c>
      <c r="CK62" s="10">
        <f t="shared" si="540"/>
        <v>16</v>
      </c>
      <c r="CL62" s="8" t="str">
        <f t="shared" si="541"/>
        <v>W3</v>
      </c>
      <c r="CM62" s="9">
        <f t="shared" si="542"/>
        <v>150000</v>
      </c>
      <c r="CN62" s="10">
        <f t="shared" si="543"/>
        <v>16</v>
      </c>
      <c r="CO62" s="8" t="str">
        <f t="shared" si="544"/>
        <v>W3</v>
      </c>
      <c r="CP62" s="9">
        <f t="shared" si="545"/>
        <v>150000</v>
      </c>
      <c r="CQ62" s="10">
        <f t="shared" si="546"/>
        <v>16</v>
      </c>
      <c r="CR62" s="8" t="str">
        <f t="shared" si="547"/>
        <v>W3</v>
      </c>
      <c r="CS62" s="9">
        <f t="shared" si="548"/>
        <v>150000</v>
      </c>
      <c r="CT62" s="10">
        <f t="shared" si="549"/>
        <v>16</v>
      </c>
      <c r="CU62" s="8" t="str">
        <f t="shared" si="550"/>
        <v>W3</v>
      </c>
      <c r="CV62" s="9">
        <f t="shared" si="551"/>
        <v>150000</v>
      </c>
      <c r="CW62" s="10">
        <f t="shared" si="552"/>
        <v>16</v>
      </c>
      <c r="CX62" s="8" t="str">
        <f t="shared" si="553"/>
        <v>W3</v>
      </c>
      <c r="CY62" s="9">
        <f t="shared" si="554"/>
        <v>150000</v>
      </c>
      <c r="CZ62" s="10">
        <f t="shared" si="555"/>
        <v>16</v>
      </c>
      <c r="DA62" s="8" t="str">
        <f t="shared" si="556"/>
        <v>W3</v>
      </c>
      <c r="DB62" s="9">
        <f t="shared" si="557"/>
        <v>150000</v>
      </c>
      <c r="DC62" s="10">
        <f t="shared" si="558"/>
        <v>16</v>
      </c>
      <c r="DD62" s="8" t="str">
        <f t="shared" si="559"/>
        <v>W3</v>
      </c>
      <c r="DE62" s="9">
        <f t="shared" si="560"/>
        <v>150000</v>
      </c>
      <c r="DF62" s="10">
        <f t="shared" si="561"/>
        <v>16</v>
      </c>
      <c r="DG62" s="8" t="str">
        <f t="shared" si="562"/>
        <v>W3</v>
      </c>
      <c r="DH62" s="9">
        <f t="shared" si="563"/>
        <v>150000</v>
      </c>
      <c r="DI62" s="10">
        <f t="shared" si="564"/>
        <v>16</v>
      </c>
      <c r="DK62" s="109">
        <f t="shared" si="518"/>
        <v>0</v>
      </c>
      <c r="DL62" s="67">
        <f t="shared" si="519"/>
        <v>0</v>
      </c>
      <c r="DM62" s="67">
        <f t="shared" si="520"/>
        <v>0</v>
      </c>
      <c r="DN62" s="67">
        <f t="shared" si="521"/>
        <v>0</v>
      </c>
      <c r="DO62" s="67">
        <f t="shared" si="522"/>
        <v>0</v>
      </c>
      <c r="DP62" s="67">
        <f t="shared" si="523"/>
        <v>0</v>
      </c>
      <c r="DQ62" s="9">
        <f t="shared" si="524"/>
        <v>0</v>
      </c>
      <c r="DR62" s="66">
        <f t="shared" si="525"/>
        <v>0</v>
      </c>
      <c r="DS62" s="9">
        <f t="shared" si="526"/>
        <v>0</v>
      </c>
      <c r="DT62" s="9">
        <f t="shared" si="527"/>
        <v>0</v>
      </c>
      <c r="DU62" s="9">
        <f t="shared" si="528"/>
        <v>0</v>
      </c>
      <c r="DV62" s="10">
        <f t="shared" si="529"/>
        <v>0</v>
      </c>
      <c r="DW62" s="9">
        <f t="shared" si="530"/>
        <v>0</v>
      </c>
      <c r="DX62" s="9">
        <f t="shared" si="565"/>
        <v>0</v>
      </c>
      <c r="DY62" s="9">
        <f t="shared" si="566"/>
        <v>0</v>
      </c>
      <c r="DZ62" s="9">
        <f t="shared" si="567"/>
        <v>0</v>
      </c>
      <c r="EA62" s="9">
        <f t="shared" si="568"/>
        <v>2</v>
      </c>
      <c r="EB62" s="9">
        <f t="shared" si="569"/>
        <v>0</v>
      </c>
      <c r="EC62" s="9">
        <f t="shared" si="570"/>
        <v>0</v>
      </c>
      <c r="ED62" s="9">
        <f t="shared" si="571"/>
        <v>0</v>
      </c>
      <c r="EE62" s="9">
        <f t="shared" si="572"/>
        <v>0</v>
      </c>
      <c r="EF62" s="9">
        <f t="shared" si="573"/>
        <v>0</v>
      </c>
      <c r="EG62" s="9">
        <f t="shared" si="574"/>
        <v>0</v>
      </c>
      <c r="EH62" s="9">
        <f t="shared" si="575"/>
        <v>0</v>
      </c>
      <c r="EJ62" s="109">
        <f t="shared" si="576"/>
        <v>0</v>
      </c>
      <c r="EK62" s="66">
        <f t="shared" si="577"/>
        <v>0</v>
      </c>
      <c r="EL62" s="66">
        <f t="shared" si="578"/>
        <v>0</v>
      </c>
      <c r="EM62" s="66">
        <f t="shared" si="579"/>
        <v>0</v>
      </c>
      <c r="EN62" s="66">
        <f t="shared" si="580"/>
        <v>0</v>
      </c>
      <c r="EO62" s="66">
        <f t="shared" si="581"/>
        <v>0</v>
      </c>
      <c r="EP62" s="66">
        <f t="shared" si="582"/>
        <v>0</v>
      </c>
      <c r="EQ62" s="66">
        <f t="shared" si="583"/>
        <v>0</v>
      </c>
      <c r="ER62" s="66">
        <f t="shared" si="584"/>
        <v>0</v>
      </c>
      <c r="ES62" s="66">
        <f t="shared" si="585"/>
        <v>0</v>
      </c>
      <c r="ET62" s="66">
        <f t="shared" si="586"/>
        <v>0</v>
      </c>
      <c r="EU62" s="110">
        <f t="shared" si="587"/>
        <v>0</v>
      </c>
      <c r="EV62" s="66">
        <f t="shared" si="588"/>
        <v>0</v>
      </c>
      <c r="EW62" s="66">
        <f t="shared" si="589"/>
        <v>0</v>
      </c>
      <c r="EX62" s="66">
        <f t="shared" si="590"/>
        <v>0</v>
      </c>
      <c r="EY62" s="66">
        <f t="shared" si="591"/>
        <v>0</v>
      </c>
      <c r="EZ62" s="66">
        <f t="shared" si="592"/>
        <v>32</v>
      </c>
      <c r="FA62" s="66">
        <f t="shared" si="593"/>
        <v>0</v>
      </c>
      <c r="FB62" s="66">
        <f t="shared" si="594"/>
        <v>0</v>
      </c>
      <c r="FC62" s="66">
        <f t="shared" si="595"/>
        <v>0</v>
      </c>
      <c r="FD62" s="66">
        <f t="shared" si="596"/>
        <v>0</v>
      </c>
      <c r="FE62" s="66">
        <f t="shared" si="597"/>
        <v>0</v>
      </c>
      <c r="FF62" s="66">
        <f t="shared" si="598"/>
        <v>0</v>
      </c>
      <c r="FG62" s="66">
        <f t="shared" si="599"/>
        <v>0</v>
      </c>
      <c r="FO62"/>
      <c r="FP62"/>
      <c r="FQ62"/>
    </row>
    <row r="63" spans="1:174" s="108" customFormat="1" outlineLevel="2" x14ac:dyDescent="0.25">
      <c r="A63" s="43" t="s">
        <v>2598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2"/>
      <c r="M63" s="133"/>
      <c r="N63" s="92"/>
      <c r="O63" s="92"/>
      <c r="P63" s="133"/>
      <c r="Q63" s="133"/>
      <c r="R63" s="92"/>
      <c r="S63" s="92"/>
      <c r="T63" s="186"/>
      <c r="U63" s="117"/>
      <c r="V63" s="117"/>
      <c r="W63" s="117"/>
      <c r="X63" s="9"/>
      <c r="Y63" s="8"/>
      <c r="Z63" s="9"/>
      <c r="AA63" s="9"/>
      <c r="AB63" s="242">
        <f t="shared" si="446"/>
        <v>0</v>
      </c>
      <c r="AC63" s="241">
        <v>0</v>
      </c>
      <c r="AD63" s="165">
        <v>0</v>
      </c>
      <c r="AE63" s="242">
        <v>0</v>
      </c>
      <c r="AF63" s="9">
        <v>0</v>
      </c>
      <c r="AG63" s="9"/>
      <c r="AH63" s="66"/>
      <c r="AI63" s="66"/>
      <c r="AJ63" s="66"/>
      <c r="AK63" s="66"/>
      <c r="AL63" s="66"/>
      <c r="AM63" s="66"/>
      <c r="AN63" s="66"/>
      <c r="AO63" s="59"/>
      <c r="AP63" s="8" t="s">
        <v>607</v>
      </c>
      <c r="AQ63" s="9">
        <v>120000</v>
      </c>
      <c r="AR63" s="10">
        <v>14</v>
      </c>
      <c r="AS63" s="8" t="s">
        <v>78</v>
      </c>
      <c r="AT63" s="9">
        <v>100000</v>
      </c>
      <c r="AU63" s="10">
        <v>12</v>
      </c>
      <c r="AV63" s="8" t="s">
        <v>78</v>
      </c>
      <c r="AW63" s="9">
        <v>100000</v>
      </c>
      <c r="AX63" s="10">
        <v>12</v>
      </c>
      <c r="AY63" s="8" t="s">
        <v>78</v>
      </c>
      <c r="AZ63" s="9">
        <v>102000</v>
      </c>
      <c r="BA63" s="10">
        <v>12</v>
      </c>
      <c r="BB63" s="8" t="s">
        <v>607</v>
      </c>
      <c r="BC63" s="9">
        <v>117600</v>
      </c>
      <c r="BD63" s="10">
        <v>13</v>
      </c>
      <c r="BE63" s="8" t="s">
        <v>78</v>
      </c>
      <c r="BF63" s="9">
        <v>100008</v>
      </c>
      <c r="BG63" s="10">
        <v>12</v>
      </c>
      <c r="BH63" s="8" t="s">
        <v>78</v>
      </c>
      <c r="BI63" s="9">
        <v>100008</v>
      </c>
      <c r="BJ63" s="10">
        <v>12</v>
      </c>
      <c r="BK63" s="8" t="s">
        <v>78</v>
      </c>
      <c r="BL63" s="9">
        <v>100008</v>
      </c>
      <c r="BM63" s="10">
        <v>12</v>
      </c>
      <c r="BN63" s="8" t="s">
        <v>78</v>
      </c>
      <c r="BO63" s="9">
        <v>100008</v>
      </c>
      <c r="BP63" s="10">
        <v>12</v>
      </c>
      <c r="BQ63" s="8" t="s">
        <v>78</v>
      </c>
      <c r="BR63" s="9">
        <v>100008</v>
      </c>
      <c r="BS63" s="10">
        <v>12</v>
      </c>
      <c r="BT63" s="8" t="s">
        <v>74</v>
      </c>
      <c r="BU63" s="9">
        <v>168000</v>
      </c>
      <c r="BV63" s="10">
        <v>16</v>
      </c>
      <c r="BW63" s="8" t="s">
        <v>74</v>
      </c>
      <c r="BX63" s="9">
        <v>150000</v>
      </c>
      <c r="BY63" s="10">
        <v>16</v>
      </c>
      <c r="BZ63" s="8" t="s">
        <v>74</v>
      </c>
      <c r="CA63" s="9">
        <v>150000</v>
      </c>
      <c r="CB63" s="10">
        <f t="shared" si="531"/>
        <v>16</v>
      </c>
      <c r="CC63" s="8" t="str">
        <f t="shared" si="532"/>
        <v>W3</v>
      </c>
      <c r="CD63" s="9">
        <f t="shared" si="533"/>
        <v>150000</v>
      </c>
      <c r="CE63" s="10">
        <f t="shared" si="534"/>
        <v>16</v>
      </c>
      <c r="CF63" s="8" t="str">
        <f t="shared" si="535"/>
        <v>W3</v>
      </c>
      <c r="CG63" s="9">
        <f t="shared" si="536"/>
        <v>150000</v>
      </c>
      <c r="CH63" s="10">
        <f t="shared" si="537"/>
        <v>16</v>
      </c>
      <c r="CI63" s="8" t="str">
        <f t="shared" si="538"/>
        <v>W3</v>
      </c>
      <c r="CJ63" s="9">
        <f t="shared" si="539"/>
        <v>150000</v>
      </c>
      <c r="CK63" s="10">
        <f t="shared" si="540"/>
        <v>16</v>
      </c>
      <c r="CL63" s="8" t="str">
        <f t="shared" si="541"/>
        <v>W3</v>
      </c>
      <c r="CM63" s="9">
        <f t="shared" si="542"/>
        <v>150000</v>
      </c>
      <c r="CN63" s="10">
        <f t="shared" si="543"/>
        <v>16</v>
      </c>
      <c r="CO63" s="8" t="str">
        <f t="shared" si="544"/>
        <v>W3</v>
      </c>
      <c r="CP63" s="9">
        <f t="shared" si="545"/>
        <v>150000</v>
      </c>
      <c r="CQ63" s="10">
        <f t="shared" si="546"/>
        <v>16</v>
      </c>
      <c r="CR63" s="8" t="str">
        <f t="shared" si="547"/>
        <v>W3</v>
      </c>
      <c r="CS63" s="9">
        <f t="shared" si="548"/>
        <v>150000</v>
      </c>
      <c r="CT63" s="10">
        <f t="shared" si="549"/>
        <v>16</v>
      </c>
      <c r="CU63" s="8" t="str">
        <f t="shared" si="550"/>
        <v>W3</v>
      </c>
      <c r="CV63" s="9">
        <f t="shared" si="551"/>
        <v>150000</v>
      </c>
      <c r="CW63" s="10">
        <f t="shared" si="552"/>
        <v>16</v>
      </c>
      <c r="CX63" s="8" t="str">
        <f t="shared" si="553"/>
        <v>W3</v>
      </c>
      <c r="CY63" s="9">
        <f t="shared" si="554"/>
        <v>150000</v>
      </c>
      <c r="CZ63" s="10">
        <f t="shared" si="555"/>
        <v>16</v>
      </c>
      <c r="DA63" s="8" t="str">
        <f t="shared" si="556"/>
        <v>W3</v>
      </c>
      <c r="DB63" s="9">
        <f t="shared" si="557"/>
        <v>150000</v>
      </c>
      <c r="DC63" s="10">
        <f t="shared" si="558"/>
        <v>16</v>
      </c>
      <c r="DD63" s="8" t="str">
        <f t="shared" si="559"/>
        <v>W3</v>
      </c>
      <c r="DE63" s="9">
        <f t="shared" si="560"/>
        <v>150000</v>
      </c>
      <c r="DF63" s="10">
        <f t="shared" si="561"/>
        <v>16</v>
      </c>
      <c r="DG63" s="8" t="str">
        <f t="shared" si="562"/>
        <v>W3</v>
      </c>
      <c r="DH63" s="9">
        <f t="shared" si="563"/>
        <v>150000</v>
      </c>
      <c r="DI63" s="10">
        <f t="shared" si="564"/>
        <v>16</v>
      </c>
      <c r="DK63" s="109">
        <f t="shared" si="518"/>
        <v>0</v>
      </c>
      <c r="DL63" s="67">
        <f t="shared" si="519"/>
        <v>0</v>
      </c>
      <c r="DM63" s="67">
        <f t="shared" si="520"/>
        <v>0</v>
      </c>
      <c r="DN63" s="67">
        <f t="shared" si="521"/>
        <v>0</v>
      </c>
      <c r="DO63" s="67">
        <f t="shared" si="522"/>
        <v>0</v>
      </c>
      <c r="DP63" s="67">
        <f t="shared" si="523"/>
        <v>0</v>
      </c>
      <c r="DQ63" s="9">
        <f t="shared" si="524"/>
        <v>0</v>
      </c>
      <c r="DR63" s="66">
        <f t="shared" si="525"/>
        <v>0</v>
      </c>
      <c r="DS63" s="9">
        <f t="shared" si="526"/>
        <v>0</v>
      </c>
      <c r="DT63" s="9">
        <f t="shared" si="527"/>
        <v>0</v>
      </c>
      <c r="DU63" s="9">
        <f t="shared" si="528"/>
        <v>0</v>
      </c>
      <c r="DV63" s="10">
        <f t="shared" si="529"/>
        <v>0</v>
      </c>
      <c r="DW63" s="9">
        <f t="shared" si="530"/>
        <v>0</v>
      </c>
      <c r="DX63" s="9">
        <f t="shared" si="565"/>
        <v>0</v>
      </c>
      <c r="DY63" s="9">
        <f t="shared" si="566"/>
        <v>0</v>
      </c>
      <c r="DZ63" s="9">
        <f t="shared" si="567"/>
        <v>0</v>
      </c>
      <c r="EA63" s="9">
        <f t="shared" si="568"/>
        <v>0</v>
      </c>
      <c r="EB63" s="9">
        <f t="shared" si="569"/>
        <v>0</v>
      </c>
      <c r="EC63" s="9">
        <f t="shared" si="570"/>
        <v>0</v>
      </c>
      <c r="ED63" s="9">
        <f t="shared" si="571"/>
        <v>0</v>
      </c>
      <c r="EE63" s="9">
        <f t="shared" si="572"/>
        <v>0</v>
      </c>
      <c r="EF63" s="9">
        <f t="shared" si="573"/>
        <v>0</v>
      </c>
      <c r="EG63" s="9">
        <f t="shared" si="574"/>
        <v>0</v>
      </c>
      <c r="EH63" s="9">
        <f t="shared" si="575"/>
        <v>0</v>
      </c>
      <c r="EJ63" s="109">
        <f t="shared" si="576"/>
        <v>0</v>
      </c>
      <c r="EK63" s="66">
        <f t="shared" si="577"/>
        <v>0</v>
      </c>
      <c r="EL63" s="66">
        <f t="shared" si="578"/>
        <v>0</v>
      </c>
      <c r="EM63" s="66">
        <f t="shared" si="579"/>
        <v>0</v>
      </c>
      <c r="EN63" s="66">
        <f t="shared" si="580"/>
        <v>0</v>
      </c>
      <c r="EO63" s="66">
        <f t="shared" si="581"/>
        <v>0</v>
      </c>
      <c r="EP63" s="66">
        <f t="shared" si="582"/>
        <v>0</v>
      </c>
      <c r="EQ63" s="66">
        <f t="shared" si="583"/>
        <v>0</v>
      </c>
      <c r="ER63" s="66">
        <f t="shared" si="584"/>
        <v>0</v>
      </c>
      <c r="ES63" s="66">
        <f t="shared" si="585"/>
        <v>0</v>
      </c>
      <c r="ET63" s="66">
        <f t="shared" si="586"/>
        <v>0</v>
      </c>
      <c r="EU63" s="110">
        <f t="shared" si="587"/>
        <v>0</v>
      </c>
      <c r="EV63" s="66">
        <f t="shared" si="588"/>
        <v>0</v>
      </c>
      <c r="EW63" s="66">
        <f t="shared" si="589"/>
        <v>0</v>
      </c>
      <c r="EX63" s="66">
        <f t="shared" si="590"/>
        <v>0</v>
      </c>
      <c r="EY63" s="66">
        <f t="shared" si="591"/>
        <v>0</v>
      </c>
      <c r="EZ63" s="66">
        <f t="shared" si="592"/>
        <v>0</v>
      </c>
      <c r="FA63" s="66">
        <f t="shared" si="593"/>
        <v>0</v>
      </c>
      <c r="FB63" s="66">
        <f t="shared" si="594"/>
        <v>0</v>
      </c>
      <c r="FC63" s="66">
        <f t="shared" si="595"/>
        <v>0</v>
      </c>
      <c r="FD63" s="66">
        <f t="shared" si="596"/>
        <v>0</v>
      </c>
      <c r="FE63" s="66">
        <f t="shared" si="597"/>
        <v>0</v>
      </c>
      <c r="FF63" s="66">
        <f t="shared" si="598"/>
        <v>0</v>
      </c>
      <c r="FG63" s="66">
        <f t="shared" si="599"/>
        <v>0</v>
      </c>
      <c r="FO63"/>
      <c r="FP63"/>
      <c r="FQ63"/>
    </row>
    <row r="64" spans="1:174" s="108" customFormat="1" outlineLevel="2" x14ac:dyDescent="0.25">
      <c r="A64" s="43" t="s">
        <v>2599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2"/>
      <c r="M64" s="133"/>
      <c r="N64" s="92"/>
      <c r="O64" s="92"/>
      <c r="P64" s="133"/>
      <c r="Q64" s="133"/>
      <c r="R64" s="92"/>
      <c r="S64" s="92"/>
      <c r="T64" s="186"/>
      <c r="U64" s="117"/>
      <c r="V64" s="117"/>
      <c r="W64" s="117"/>
      <c r="X64" s="9"/>
      <c r="Y64" s="8"/>
      <c r="Z64" s="9"/>
      <c r="AA64" s="9"/>
      <c r="AB64" s="242">
        <f t="shared" si="446"/>
        <v>0</v>
      </c>
      <c r="AC64" s="241">
        <v>0</v>
      </c>
      <c r="AD64" s="165">
        <v>0</v>
      </c>
      <c r="AE64" s="242">
        <v>0</v>
      </c>
      <c r="AF64" s="9">
        <v>0</v>
      </c>
      <c r="AG64" s="9">
        <v>300000</v>
      </c>
      <c r="AH64" s="66"/>
      <c r="AI64" s="66"/>
      <c r="AJ64" s="66"/>
      <c r="AK64" s="66"/>
      <c r="AL64" s="66"/>
      <c r="AM64" s="66"/>
      <c r="AN64" s="66"/>
      <c r="AO64" s="59"/>
      <c r="AP64" s="8" t="s">
        <v>607</v>
      </c>
      <c r="AQ64" s="9">
        <v>120000</v>
      </c>
      <c r="AR64" s="10">
        <v>14</v>
      </c>
      <c r="AS64" s="8" t="s">
        <v>78</v>
      </c>
      <c r="AT64" s="9">
        <v>100000</v>
      </c>
      <c r="AU64" s="10">
        <v>12</v>
      </c>
      <c r="AV64" s="8" t="s">
        <v>78</v>
      </c>
      <c r="AW64" s="9">
        <v>100000</v>
      </c>
      <c r="AX64" s="10">
        <v>12</v>
      </c>
      <c r="AY64" s="8" t="s">
        <v>78</v>
      </c>
      <c r="AZ64" s="9">
        <v>102000</v>
      </c>
      <c r="BA64" s="10">
        <v>12</v>
      </c>
      <c r="BB64" s="8" t="s">
        <v>607</v>
      </c>
      <c r="BC64" s="9">
        <v>117600</v>
      </c>
      <c r="BD64" s="10">
        <v>13</v>
      </c>
      <c r="BE64" s="8" t="s">
        <v>78</v>
      </c>
      <c r="BF64" s="9">
        <v>100008</v>
      </c>
      <c r="BG64" s="10">
        <v>12</v>
      </c>
      <c r="BH64" s="8" t="s">
        <v>78</v>
      </c>
      <c r="BI64" s="9">
        <v>100008</v>
      </c>
      <c r="BJ64" s="10">
        <v>12</v>
      </c>
      <c r="BK64" s="8" t="s">
        <v>78</v>
      </c>
      <c r="BL64" s="9">
        <v>100008</v>
      </c>
      <c r="BM64" s="10">
        <v>12</v>
      </c>
      <c r="BN64" s="8" t="s">
        <v>78</v>
      </c>
      <c r="BO64" s="9">
        <v>100008</v>
      </c>
      <c r="BP64" s="10">
        <v>12</v>
      </c>
      <c r="BQ64" s="8" t="s">
        <v>78</v>
      </c>
      <c r="BR64" s="9">
        <v>100008</v>
      </c>
      <c r="BS64" s="10">
        <v>12</v>
      </c>
      <c r="BT64" s="8" t="s">
        <v>74</v>
      </c>
      <c r="BU64" s="9">
        <v>168000</v>
      </c>
      <c r="BV64" s="10">
        <v>16</v>
      </c>
      <c r="BW64" s="8" t="s">
        <v>74</v>
      </c>
      <c r="BX64" s="9">
        <v>150000</v>
      </c>
      <c r="BY64" s="10">
        <v>16</v>
      </c>
      <c r="BZ64" s="8" t="s">
        <v>74</v>
      </c>
      <c r="CA64" s="9">
        <v>150000</v>
      </c>
      <c r="CB64" s="10">
        <f t="shared" si="531"/>
        <v>16</v>
      </c>
      <c r="CC64" s="8" t="str">
        <f t="shared" si="532"/>
        <v>W3</v>
      </c>
      <c r="CD64" s="9">
        <f t="shared" si="533"/>
        <v>150000</v>
      </c>
      <c r="CE64" s="10">
        <f t="shared" si="534"/>
        <v>16</v>
      </c>
      <c r="CF64" s="8" t="str">
        <f t="shared" si="535"/>
        <v>W3</v>
      </c>
      <c r="CG64" s="9">
        <f t="shared" si="536"/>
        <v>150000</v>
      </c>
      <c r="CH64" s="10">
        <f t="shared" si="537"/>
        <v>16</v>
      </c>
      <c r="CI64" s="8" t="str">
        <f t="shared" si="538"/>
        <v>W3</v>
      </c>
      <c r="CJ64" s="9">
        <f t="shared" si="539"/>
        <v>150000</v>
      </c>
      <c r="CK64" s="10">
        <f t="shared" si="540"/>
        <v>16</v>
      </c>
      <c r="CL64" s="8" t="str">
        <f t="shared" si="541"/>
        <v>W3</v>
      </c>
      <c r="CM64" s="9">
        <f t="shared" si="542"/>
        <v>150000</v>
      </c>
      <c r="CN64" s="10">
        <f t="shared" si="543"/>
        <v>16</v>
      </c>
      <c r="CO64" s="8" t="str">
        <f t="shared" si="544"/>
        <v>W3</v>
      </c>
      <c r="CP64" s="9">
        <f t="shared" si="545"/>
        <v>150000</v>
      </c>
      <c r="CQ64" s="10">
        <f t="shared" si="546"/>
        <v>16</v>
      </c>
      <c r="CR64" s="8" t="str">
        <f t="shared" si="547"/>
        <v>W3</v>
      </c>
      <c r="CS64" s="9">
        <f t="shared" si="548"/>
        <v>150000</v>
      </c>
      <c r="CT64" s="10">
        <f t="shared" si="549"/>
        <v>16</v>
      </c>
      <c r="CU64" s="8" t="str">
        <f t="shared" si="550"/>
        <v>W3</v>
      </c>
      <c r="CV64" s="9">
        <f t="shared" si="551"/>
        <v>150000</v>
      </c>
      <c r="CW64" s="10">
        <f t="shared" si="552"/>
        <v>16</v>
      </c>
      <c r="CX64" s="8" t="str">
        <f t="shared" si="553"/>
        <v>W3</v>
      </c>
      <c r="CY64" s="9">
        <f t="shared" si="554"/>
        <v>150000</v>
      </c>
      <c r="CZ64" s="10">
        <f t="shared" si="555"/>
        <v>16</v>
      </c>
      <c r="DA64" s="8" t="str">
        <f t="shared" si="556"/>
        <v>W3</v>
      </c>
      <c r="DB64" s="9">
        <f t="shared" si="557"/>
        <v>150000</v>
      </c>
      <c r="DC64" s="10">
        <f t="shared" si="558"/>
        <v>16</v>
      </c>
      <c r="DD64" s="8" t="str">
        <f t="shared" si="559"/>
        <v>W3</v>
      </c>
      <c r="DE64" s="9">
        <f t="shared" si="560"/>
        <v>150000</v>
      </c>
      <c r="DF64" s="10">
        <f t="shared" si="561"/>
        <v>16</v>
      </c>
      <c r="DG64" s="8" t="str">
        <f t="shared" si="562"/>
        <v>W3</v>
      </c>
      <c r="DH64" s="9">
        <f t="shared" si="563"/>
        <v>150000</v>
      </c>
      <c r="DI64" s="10">
        <f t="shared" si="564"/>
        <v>16</v>
      </c>
      <c r="DK64" s="109">
        <f t="shared" si="518"/>
        <v>0</v>
      </c>
      <c r="DL64" s="67">
        <f t="shared" si="519"/>
        <v>0</v>
      </c>
      <c r="DM64" s="67">
        <f t="shared" si="520"/>
        <v>0</v>
      </c>
      <c r="DN64" s="67">
        <f t="shared" si="521"/>
        <v>0</v>
      </c>
      <c r="DO64" s="67">
        <f t="shared" si="522"/>
        <v>0</v>
      </c>
      <c r="DP64" s="67">
        <f t="shared" si="523"/>
        <v>0</v>
      </c>
      <c r="DQ64" s="9">
        <f t="shared" si="524"/>
        <v>0</v>
      </c>
      <c r="DR64" s="66">
        <f t="shared" si="525"/>
        <v>0</v>
      </c>
      <c r="DS64" s="9">
        <f t="shared" si="526"/>
        <v>0</v>
      </c>
      <c r="DT64" s="9">
        <f t="shared" si="527"/>
        <v>0</v>
      </c>
      <c r="DU64" s="9">
        <f t="shared" si="528"/>
        <v>0</v>
      </c>
      <c r="DV64" s="10">
        <f t="shared" si="529"/>
        <v>0</v>
      </c>
      <c r="DW64" s="9">
        <f t="shared" si="530"/>
        <v>0</v>
      </c>
      <c r="DX64" s="9">
        <f t="shared" si="565"/>
        <v>0</v>
      </c>
      <c r="DY64" s="9">
        <f t="shared" si="566"/>
        <v>0</v>
      </c>
      <c r="DZ64" s="9">
        <f t="shared" si="567"/>
        <v>0</v>
      </c>
      <c r="EA64" s="9">
        <f t="shared" si="568"/>
        <v>2</v>
      </c>
      <c r="EB64" s="9">
        <f t="shared" si="569"/>
        <v>0</v>
      </c>
      <c r="EC64" s="9">
        <f t="shared" si="570"/>
        <v>0</v>
      </c>
      <c r="ED64" s="9">
        <f t="shared" si="571"/>
        <v>0</v>
      </c>
      <c r="EE64" s="9">
        <f t="shared" si="572"/>
        <v>0</v>
      </c>
      <c r="EF64" s="9">
        <f t="shared" si="573"/>
        <v>0</v>
      </c>
      <c r="EG64" s="9">
        <f t="shared" si="574"/>
        <v>0</v>
      </c>
      <c r="EH64" s="9">
        <f t="shared" si="575"/>
        <v>0</v>
      </c>
      <c r="EJ64" s="109">
        <f t="shared" si="576"/>
        <v>0</v>
      </c>
      <c r="EK64" s="66">
        <f t="shared" si="577"/>
        <v>0</v>
      </c>
      <c r="EL64" s="66">
        <f t="shared" si="578"/>
        <v>0</v>
      </c>
      <c r="EM64" s="66">
        <f t="shared" si="579"/>
        <v>0</v>
      </c>
      <c r="EN64" s="66">
        <f t="shared" si="580"/>
        <v>0</v>
      </c>
      <c r="EO64" s="66">
        <f t="shared" si="581"/>
        <v>0</v>
      </c>
      <c r="EP64" s="66">
        <f t="shared" si="582"/>
        <v>0</v>
      </c>
      <c r="EQ64" s="66">
        <f t="shared" si="583"/>
        <v>0</v>
      </c>
      <c r="ER64" s="66">
        <f t="shared" si="584"/>
        <v>0</v>
      </c>
      <c r="ES64" s="66">
        <f t="shared" si="585"/>
        <v>0</v>
      </c>
      <c r="ET64" s="66">
        <f t="shared" si="586"/>
        <v>0</v>
      </c>
      <c r="EU64" s="110">
        <f t="shared" si="587"/>
        <v>0</v>
      </c>
      <c r="EV64" s="66">
        <f t="shared" si="588"/>
        <v>0</v>
      </c>
      <c r="EW64" s="66">
        <f t="shared" si="589"/>
        <v>0</v>
      </c>
      <c r="EX64" s="66">
        <f t="shared" si="590"/>
        <v>0</v>
      </c>
      <c r="EY64" s="66">
        <f t="shared" si="591"/>
        <v>0</v>
      </c>
      <c r="EZ64" s="66">
        <f t="shared" si="592"/>
        <v>32</v>
      </c>
      <c r="FA64" s="66">
        <f t="shared" si="593"/>
        <v>0</v>
      </c>
      <c r="FB64" s="66">
        <f t="shared" si="594"/>
        <v>0</v>
      </c>
      <c r="FC64" s="66">
        <f t="shared" si="595"/>
        <v>0</v>
      </c>
      <c r="FD64" s="66">
        <f t="shared" si="596"/>
        <v>0</v>
      </c>
      <c r="FE64" s="66">
        <f t="shared" si="597"/>
        <v>0</v>
      </c>
      <c r="FF64" s="66">
        <f t="shared" si="598"/>
        <v>0</v>
      </c>
      <c r="FG64" s="66">
        <f t="shared" si="599"/>
        <v>0</v>
      </c>
      <c r="FO64"/>
      <c r="FP64"/>
      <c r="FQ64"/>
    </row>
    <row r="65" spans="1:174" s="48" customFormat="1" outlineLevel="1" x14ac:dyDescent="0.25">
      <c r="A65" s="217" t="s">
        <v>43</v>
      </c>
      <c r="B65" s="223">
        <f t="shared" ref="B65:E65" si="600">SUM(B66:B69)</f>
        <v>0</v>
      </c>
      <c r="C65" s="223">
        <f t="shared" si="600"/>
        <v>0</v>
      </c>
      <c r="D65" s="223">
        <f t="shared" si="600"/>
        <v>360288</v>
      </c>
      <c r="E65" s="223">
        <f t="shared" si="600"/>
        <v>906768</v>
      </c>
      <c r="F65" s="223">
        <f t="shared" ref="F65:G65" si="601">SUM(F66:F69)</f>
        <v>78720</v>
      </c>
      <c r="G65" s="223">
        <f t="shared" si="601"/>
        <v>0</v>
      </c>
      <c r="H65" s="223">
        <f t="shared" ref="H65:I65" si="602">SUM(H66:H69)</f>
        <v>0</v>
      </c>
      <c r="I65" s="223">
        <f t="shared" si="602"/>
        <v>658680</v>
      </c>
      <c r="J65" s="223">
        <f t="shared" ref="J65:L65" si="603">SUM(J66:J69)</f>
        <v>0</v>
      </c>
      <c r="K65" s="223">
        <f t="shared" ref="K65" si="604">SUM(K66:K69)</f>
        <v>0</v>
      </c>
      <c r="L65" s="223">
        <f t="shared" si="603"/>
        <v>0</v>
      </c>
      <c r="M65" s="225">
        <f t="shared" ref="M65:N65" si="605">SUM(M66:M69)</f>
        <v>0</v>
      </c>
      <c r="N65" s="175">
        <f t="shared" si="605"/>
        <v>0</v>
      </c>
      <c r="O65" s="223">
        <f t="shared" ref="O65" si="606">SUM(O66:O69)</f>
        <v>0</v>
      </c>
      <c r="P65" s="225">
        <f t="shared" ref="P65:Q65" si="607">SUM(P66:P69)</f>
        <v>450000</v>
      </c>
      <c r="Q65" s="225">
        <f t="shared" si="607"/>
        <v>450000</v>
      </c>
      <c r="R65" s="175">
        <f t="shared" ref="R65:S65" si="608">SUM(R66:R69)</f>
        <v>171984</v>
      </c>
      <c r="S65" s="175">
        <f t="shared" si="608"/>
        <v>103368</v>
      </c>
      <c r="T65" s="227">
        <f t="shared" ref="T65" si="609">SUM(T66:T69)</f>
        <v>-68616</v>
      </c>
      <c r="U65" s="175">
        <f>SUM(U66:U69)</f>
        <v>600000</v>
      </c>
      <c r="V65" s="220">
        <f>SUM(V66:V69)</f>
        <v>600000</v>
      </c>
      <c r="W65" s="220">
        <v>0</v>
      </c>
      <c r="X65" s="220">
        <f t="shared" ref="X65" si="610">SUM(X66:X69)</f>
        <v>234339</v>
      </c>
      <c r="Y65" s="243">
        <f t="shared" ref="Y65:AG65" si="611">SUM(Y66:Y69)</f>
        <v>500400</v>
      </c>
      <c r="Z65" s="220">
        <f t="shared" si="611"/>
        <v>500400</v>
      </c>
      <c r="AA65" s="220">
        <f t="shared" si="611"/>
        <v>101328</v>
      </c>
      <c r="AB65" s="244">
        <f t="shared" si="611"/>
        <v>-399072</v>
      </c>
      <c r="AC65" s="243">
        <f t="shared" si="611"/>
        <v>350400</v>
      </c>
      <c r="AD65" s="220">
        <f t="shared" si="611"/>
        <v>350400</v>
      </c>
      <c r="AE65" s="244">
        <f t="shared" si="611"/>
        <v>350400</v>
      </c>
      <c r="AF65" s="220">
        <f t="shared" si="611"/>
        <v>620568</v>
      </c>
      <c r="AG65" s="220">
        <f t="shared" si="611"/>
        <v>765000</v>
      </c>
      <c r="AH65" s="220">
        <f t="shared" ref="AH65:AN65" si="612">100833*$AO$26</f>
        <v>75624.75</v>
      </c>
      <c r="AI65" s="220">
        <f t="shared" si="612"/>
        <v>75624.75</v>
      </c>
      <c r="AJ65" s="220">
        <f t="shared" si="612"/>
        <v>75624.75</v>
      </c>
      <c r="AK65" s="220">
        <f t="shared" si="612"/>
        <v>75624.75</v>
      </c>
      <c r="AL65" s="220">
        <f t="shared" si="612"/>
        <v>75624.75</v>
      </c>
      <c r="AM65" s="220">
        <f t="shared" si="612"/>
        <v>75624.75</v>
      </c>
      <c r="AN65" s="220">
        <f t="shared" si="612"/>
        <v>75624.75</v>
      </c>
      <c r="AO65" s="179"/>
      <c r="AP65" s="221"/>
      <c r="AQ65" s="175"/>
      <c r="AR65" s="222"/>
      <c r="AS65" s="221"/>
      <c r="AT65" s="175"/>
      <c r="AU65" s="222"/>
      <c r="AV65" s="221"/>
      <c r="AW65" s="175"/>
      <c r="AX65" s="222"/>
      <c r="AY65" s="221"/>
      <c r="AZ65" s="175"/>
      <c r="BA65" s="222"/>
      <c r="BB65" s="221"/>
      <c r="BC65" s="175"/>
      <c r="BD65" s="222"/>
      <c r="BE65" s="221"/>
      <c r="BF65" s="175"/>
      <c r="BG65" s="222"/>
      <c r="BH65" s="221"/>
      <c r="BI65" s="175"/>
      <c r="BJ65" s="222"/>
      <c r="BK65" s="221"/>
      <c r="BL65" s="175"/>
      <c r="BM65" s="222"/>
      <c r="BN65" s="221"/>
      <c r="BO65" s="175"/>
      <c r="BP65" s="222"/>
      <c r="BQ65" s="221"/>
      <c r="BR65" s="175"/>
      <c r="BS65" s="222"/>
      <c r="BT65" s="221"/>
      <c r="BU65" s="175"/>
      <c r="BV65" s="222"/>
      <c r="BW65" s="221"/>
      <c r="BX65" s="175"/>
      <c r="BY65" s="222"/>
      <c r="BZ65" s="221"/>
      <c r="CA65" s="175"/>
      <c r="CB65" s="222"/>
      <c r="CC65" s="221"/>
      <c r="CD65" s="175"/>
      <c r="CE65" s="222"/>
      <c r="CF65" s="221"/>
      <c r="CG65" s="175"/>
      <c r="CH65" s="222"/>
      <c r="CI65" s="221" t="str">
        <f>+CI66</f>
        <v>W3</v>
      </c>
      <c r="CJ65" s="175">
        <f t="shared" ref="CJ65" si="613">+CJ66</f>
        <v>153000</v>
      </c>
      <c r="CK65" s="222">
        <f t="shared" ref="CK65" si="614">+CK66</f>
        <v>9</v>
      </c>
      <c r="CL65" s="221" t="str">
        <f t="shared" si="251"/>
        <v>W3</v>
      </c>
      <c r="CM65" s="175">
        <f t="shared" si="252"/>
        <v>153000</v>
      </c>
      <c r="CN65" s="222">
        <f t="shared" si="253"/>
        <v>9</v>
      </c>
      <c r="CO65" s="221" t="str">
        <f t="shared" si="254"/>
        <v>W3</v>
      </c>
      <c r="CP65" s="175">
        <f t="shared" si="442"/>
        <v>153000</v>
      </c>
      <c r="CQ65" s="222">
        <f t="shared" si="255"/>
        <v>9</v>
      </c>
      <c r="CR65" s="221" t="str">
        <f t="shared" si="256"/>
        <v>W3</v>
      </c>
      <c r="CS65" s="175">
        <f t="shared" si="257"/>
        <v>153000</v>
      </c>
      <c r="CT65" s="222">
        <f t="shared" si="258"/>
        <v>9</v>
      </c>
      <c r="CU65" s="221" t="str">
        <f t="shared" si="259"/>
        <v>W3</v>
      </c>
      <c r="CV65" s="175">
        <f t="shared" si="260"/>
        <v>153000</v>
      </c>
      <c r="CW65" s="222">
        <f t="shared" si="261"/>
        <v>9</v>
      </c>
      <c r="CX65" s="221" t="str">
        <f t="shared" si="262"/>
        <v>W3</v>
      </c>
      <c r="CY65" s="175">
        <f t="shared" si="263"/>
        <v>153000</v>
      </c>
      <c r="CZ65" s="222">
        <f t="shared" si="264"/>
        <v>9</v>
      </c>
      <c r="DA65" s="221" t="str">
        <f t="shared" si="265"/>
        <v>W3</v>
      </c>
      <c r="DB65" s="175">
        <f t="shared" si="266"/>
        <v>153000</v>
      </c>
      <c r="DC65" s="222">
        <f t="shared" si="267"/>
        <v>9</v>
      </c>
      <c r="DD65" s="221" t="str">
        <f t="shared" si="268"/>
        <v>W3</v>
      </c>
      <c r="DE65" s="175">
        <f t="shared" si="269"/>
        <v>153000</v>
      </c>
      <c r="DF65" s="222">
        <f t="shared" si="270"/>
        <v>9</v>
      </c>
      <c r="DG65" s="221" t="str">
        <f t="shared" si="271"/>
        <v>W3</v>
      </c>
      <c r="DH65" s="175">
        <f t="shared" si="272"/>
        <v>153000</v>
      </c>
      <c r="DI65" s="222">
        <f t="shared" si="273"/>
        <v>9</v>
      </c>
      <c r="DK65" s="221"/>
      <c r="DL65" s="175"/>
      <c r="DM65" s="175"/>
      <c r="DN65" s="175"/>
      <c r="DO65" s="175"/>
      <c r="DP65" s="175"/>
      <c r="DQ65" s="175"/>
      <c r="DR65" s="175"/>
      <c r="DS65" s="175"/>
      <c r="DT65" s="175"/>
      <c r="DU65" s="175"/>
      <c r="DV65" s="222"/>
      <c r="DW65" s="175">
        <f>IFERROR(ROUNDUP(+Y65/CA65,0),0)</f>
        <v>0</v>
      </c>
      <c r="DX65" s="175">
        <f>IFERROR(ROUNDUP(+AE65/CD65,0),0)</f>
        <v>0</v>
      </c>
      <c r="DY65" s="175">
        <f>IFERROR(ROUNDUP(+AF65/CG65,0),0)</f>
        <v>0</v>
      </c>
      <c r="DZ65" s="175">
        <f>IFERROR(ROUNDUP(+AG65/CJ65,0),0)</f>
        <v>5</v>
      </c>
      <c r="EA65" s="175">
        <f>IFERROR(ROUNDUP(+AH65/CM65,0),0)</f>
        <v>1</v>
      </c>
      <c r="EB65" s="175">
        <f>IFERROR(ROUNDUP(+AI65/CP65,0),0)</f>
        <v>1</v>
      </c>
      <c r="EC65" s="175">
        <f>IFERROR(ROUNDUP(+AJ65/CS65,0),0)</f>
        <v>1</v>
      </c>
      <c r="ED65" s="175">
        <f>IFERROR(ROUNDUP(+AK65/CV65,0),0)</f>
        <v>1</v>
      </c>
      <c r="EE65" s="175">
        <f>IFERROR(ROUNDUP(+AL65/CY65,0),0)</f>
        <v>1</v>
      </c>
      <c r="EF65" s="175">
        <f>IFERROR(ROUNDUP(+AM65/DB65,0),0)</f>
        <v>1</v>
      </c>
      <c r="EG65" s="175">
        <f>IFERROR(ROUNDUP(+AN65/DE65,0),0)</f>
        <v>1</v>
      </c>
      <c r="EH65" s="175">
        <f>IFERROR(ROUNDUP(+#REF!/DH65,0),0)</f>
        <v>0</v>
      </c>
      <c r="EJ65" s="221">
        <f t="shared" si="305"/>
        <v>0</v>
      </c>
      <c r="EK65" s="175">
        <f t="shared" si="306"/>
        <v>0</v>
      </c>
      <c r="EL65" s="175">
        <f t="shared" si="307"/>
        <v>0</v>
      </c>
      <c r="EM65" s="175">
        <f t="shared" si="308"/>
        <v>0</v>
      </c>
      <c r="EN65" s="175">
        <f t="shared" si="309"/>
        <v>0</v>
      </c>
      <c r="EO65" s="175">
        <f t="shared" si="310"/>
        <v>0</v>
      </c>
      <c r="EP65" s="175">
        <f t="shared" si="275"/>
        <v>0</v>
      </c>
      <c r="EQ65" s="175">
        <f t="shared" si="276"/>
        <v>0</v>
      </c>
      <c r="ER65" s="175">
        <f t="shared" si="277"/>
        <v>0</v>
      </c>
      <c r="ES65" s="175">
        <f t="shared" si="278"/>
        <v>0</v>
      </c>
      <c r="ET65" s="175">
        <f t="shared" si="279"/>
        <v>0</v>
      </c>
      <c r="EU65" s="222">
        <f t="shared" si="280"/>
        <v>0</v>
      </c>
      <c r="EV65" s="175">
        <f t="shared" si="281"/>
        <v>0</v>
      </c>
      <c r="EW65" s="175">
        <f t="shared" si="282"/>
        <v>0</v>
      </c>
      <c r="EX65" s="175">
        <f t="shared" si="283"/>
        <v>0</v>
      </c>
      <c r="EY65" s="175">
        <f t="shared" si="284"/>
        <v>45</v>
      </c>
      <c r="EZ65" s="175">
        <f t="shared" si="285"/>
        <v>9</v>
      </c>
      <c r="FA65" s="175">
        <f t="shared" si="286"/>
        <v>9</v>
      </c>
      <c r="FB65" s="175">
        <f t="shared" si="287"/>
        <v>9</v>
      </c>
      <c r="FC65" s="175">
        <f t="shared" si="288"/>
        <v>9</v>
      </c>
      <c r="FD65" s="175">
        <f t="shared" si="289"/>
        <v>9</v>
      </c>
      <c r="FE65" s="175">
        <f t="shared" si="290"/>
        <v>9</v>
      </c>
      <c r="FF65" s="175">
        <f t="shared" si="291"/>
        <v>9</v>
      </c>
      <c r="FG65" s="175">
        <f t="shared" si="292"/>
        <v>0</v>
      </c>
      <c r="FO65" s="48" t="str">
        <f t="shared" ref="FO65:FO101" si="615">+A65&amp;BQ65</f>
        <v>SOUP</v>
      </c>
      <c r="FP65" s="48" t="str">
        <f t="shared" ref="FP65:FP101" si="616">+A65&amp;BT65</f>
        <v>SOUP</v>
      </c>
      <c r="FQ65" s="48" t="str">
        <f t="shared" ref="FQ65:FQ101" si="617">+A65&amp;BW65</f>
        <v>SOUP</v>
      </c>
      <c r="FR65" s="48">
        <v>0</v>
      </c>
    </row>
    <row r="66" spans="1:174" outlineLevel="2" x14ac:dyDescent="0.25">
      <c r="A66" s="43" t="s">
        <v>44</v>
      </c>
      <c r="B66" s="9">
        <f>SUMIF(Prophix!$Q:$Q,'Fds Units'!$A66,Prophix!D:D)</f>
        <v>0</v>
      </c>
      <c r="C66" s="9">
        <f>SUMIF(Prophix!$Q:$Q,'Fds Units'!$A66,Prophix!E:E)</f>
        <v>0</v>
      </c>
      <c r="D66" s="9">
        <f>SUMIF(Prophix!$Q:$Q,'Fds Units'!$A66,Prophix!F:F)</f>
        <v>87048</v>
      </c>
      <c r="E66" s="9">
        <f>SUMIF(Prophix!$Q:$Q,'Fds Units'!$A66,Prophix!G:G)</f>
        <v>400680</v>
      </c>
      <c r="F66" s="9">
        <f>SUMIF(Prophix!$Q:$Q,'Fds Units'!$A66,Prophix!H:H)</f>
        <v>0</v>
      </c>
      <c r="G66" s="9">
        <f>SUMIF(Prophix!$Q:$Q,'Fds Units'!$A66,Prophix!I:I)</f>
        <v>0</v>
      </c>
      <c r="H66" s="9">
        <f>SUMIF(Prophix!$Q:$Q,'Fds Units'!$A66,Prophix!J:J)</f>
        <v>0</v>
      </c>
      <c r="I66" s="9">
        <f>SUMIF(Prophix!$Q:$Q,'Fds Units'!$A66,Prophix!K:K)</f>
        <v>232368</v>
      </c>
      <c r="J66" s="9">
        <f>SUMIF(Prophix!$Q:$Q,'Fds Units'!$A66,Prophix!L:L)</f>
        <v>0</v>
      </c>
      <c r="K66" s="9">
        <f>SUMIF(Prophix!$Q:$Q,'Fds Units'!$A66,Prophix!M:M)</f>
        <v>0</v>
      </c>
      <c r="L66" s="92">
        <f>_xlfn.XLOOKUP(FO66,Schedule!Z:Z,Schedule!Y:Y,0)</f>
        <v>0</v>
      </c>
      <c r="M66" s="133"/>
      <c r="N66" s="92">
        <f>SUMIF(Schedule!$R:$R,$FP66,Schedule!P:P)</f>
        <v>0</v>
      </c>
      <c r="O66" s="9">
        <f t="shared" ref="O66:O69" si="618">+N66-M66</f>
        <v>0</v>
      </c>
      <c r="P66" s="142"/>
      <c r="Q66" s="133">
        <f t="shared" ref="Q66:Q69" si="619">+P66-O66</f>
        <v>0</v>
      </c>
      <c r="R66" s="92"/>
      <c r="S66" s="92"/>
      <c r="T66" s="186">
        <f t="shared" ref="T66:T69" si="620">S66-R66</f>
        <v>0</v>
      </c>
      <c r="U66" s="9"/>
      <c r="V66" s="9"/>
      <c r="W66" s="9"/>
      <c r="X66" s="9"/>
      <c r="Y66" s="8">
        <v>175200</v>
      </c>
      <c r="Z66" s="9">
        <v>175200</v>
      </c>
      <c r="AA66" s="9"/>
      <c r="AB66" s="242">
        <f t="shared" si="446"/>
        <v>-175200</v>
      </c>
      <c r="AC66" s="241">
        <v>175200</v>
      </c>
      <c r="AD66" s="165">
        <v>175200</v>
      </c>
      <c r="AE66" s="242">
        <v>175200</v>
      </c>
      <c r="AF66" s="9">
        <v>103428</v>
      </c>
      <c r="AG66" s="9">
        <v>153000</v>
      </c>
      <c r="AH66" s="66"/>
      <c r="AI66" s="66"/>
      <c r="AJ66" s="66"/>
      <c r="AK66" s="66"/>
      <c r="AL66" s="66"/>
      <c r="AM66" s="66"/>
      <c r="AN66" s="66"/>
      <c r="AO66" s="59"/>
      <c r="AP66" s="8" t="s">
        <v>77</v>
      </c>
      <c r="AQ66" s="9">
        <v>150000</v>
      </c>
      <c r="AR66" s="10">
        <v>9</v>
      </c>
      <c r="AS66" s="8" t="s">
        <v>77</v>
      </c>
      <c r="AT66" s="9">
        <v>150000</v>
      </c>
      <c r="AU66" s="10">
        <v>9</v>
      </c>
      <c r="AV66" s="8" t="s">
        <v>77</v>
      </c>
      <c r="AW66" s="9">
        <v>150000</v>
      </c>
      <c r="AX66" s="10">
        <v>9</v>
      </c>
      <c r="AY66" s="8" t="s">
        <v>607</v>
      </c>
      <c r="AZ66" s="9">
        <v>101000</v>
      </c>
      <c r="BA66" s="10">
        <v>7</v>
      </c>
      <c r="BB66" s="8" t="s">
        <v>77</v>
      </c>
      <c r="BC66" s="9">
        <v>150000</v>
      </c>
      <c r="BD66" s="10">
        <v>9</v>
      </c>
      <c r="BE66" s="8" t="s">
        <v>77</v>
      </c>
      <c r="BF66" s="9">
        <v>150000</v>
      </c>
      <c r="BG66" s="10">
        <v>9</v>
      </c>
      <c r="BH66" s="8" t="s">
        <v>77</v>
      </c>
      <c r="BI66" s="9">
        <v>150000</v>
      </c>
      <c r="BJ66" s="10">
        <v>9</v>
      </c>
      <c r="BK66" s="8" t="s">
        <v>77</v>
      </c>
      <c r="BL66" s="9">
        <v>150000</v>
      </c>
      <c r="BM66" s="10">
        <v>9</v>
      </c>
      <c r="BN66" s="8" t="s">
        <v>77</v>
      </c>
      <c r="BO66" s="9">
        <v>150000</v>
      </c>
      <c r="BP66" s="10">
        <v>9</v>
      </c>
      <c r="BQ66" s="8" t="s">
        <v>77</v>
      </c>
      <c r="BR66" s="9">
        <v>150000</v>
      </c>
      <c r="BS66" s="10">
        <v>9</v>
      </c>
      <c r="BT66" s="8" t="s">
        <v>74</v>
      </c>
      <c r="BU66" s="9">
        <v>175000</v>
      </c>
      <c r="BV66" s="10">
        <v>9</v>
      </c>
      <c r="BW66" s="8" t="s">
        <v>77</v>
      </c>
      <c r="BX66" s="9">
        <v>180000</v>
      </c>
      <c r="BY66" s="10">
        <v>9</v>
      </c>
      <c r="BZ66" s="8" t="s">
        <v>74</v>
      </c>
      <c r="CA66" s="9">
        <v>153000</v>
      </c>
      <c r="CB66" s="10">
        <f t="shared" si="295"/>
        <v>9</v>
      </c>
      <c r="CC66" s="8" t="str">
        <f t="shared" si="296"/>
        <v>W3</v>
      </c>
      <c r="CD66" s="9">
        <f t="shared" si="297"/>
        <v>153000</v>
      </c>
      <c r="CE66" s="10">
        <f t="shared" si="298"/>
        <v>9</v>
      </c>
      <c r="CF66" s="8" t="str">
        <f t="shared" si="299"/>
        <v>W3</v>
      </c>
      <c r="CG66" s="9">
        <f t="shared" si="300"/>
        <v>153000</v>
      </c>
      <c r="CH66" s="10">
        <f t="shared" si="301"/>
        <v>9</v>
      </c>
      <c r="CI66" s="8" t="str">
        <f t="shared" si="302"/>
        <v>W3</v>
      </c>
      <c r="CJ66" s="9">
        <f t="shared" si="303"/>
        <v>153000</v>
      </c>
      <c r="CK66" s="10">
        <f t="shared" si="304"/>
        <v>9</v>
      </c>
      <c r="CL66" s="8" t="str">
        <f t="shared" si="251"/>
        <v>W3</v>
      </c>
      <c r="CM66" s="9">
        <f t="shared" si="252"/>
        <v>153000</v>
      </c>
      <c r="CN66" s="10">
        <f t="shared" si="253"/>
        <v>9</v>
      </c>
      <c r="CO66" s="8" t="str">
        <f t="shared" si="254"/>
        <v>W3</v>
      </c>
      <c r="CP66" s="9">
        <f t="shared" si="442"/>
        <v>153000</v>
      </c>
      <c r="CQ66" s="10">
        <f t="shared" si="255"/>
        <v>9</v>
      </c>
      <c r="CR66" s="8" t="str">
        <f t="shared" si="256"/>
        <v>W3</v>
      </c>
      <c r="CS66" s="9">
        <f t="shared" si="257"/>
        <v>153000</v>
      </c>
      <c r="CT66" s="10">
        <f t="shared" si="258"/>
        <v>9</v>
      </c>
      <c r="CU66" s="8" t="str">
        <f t="shared" si="259"/>
        <v>W3</v>
      </c>
      <c r="CV66" s="9">
        <f t="shared" si="260"/>
        <v>153000</v>
      </c>
      <c r="CW66" s="10">
        <f t="shared" si="261"/>
        <v>9</v>
      </c>
      <c r="CX66" s="8" t="str">
        <f t="shared" si="262"/>
        <v>W3</v>
      </c>
      <c r="CY66" s="9">
        <f t="shared" si="263"/>
        <v>153000</v>
      </c>
      <c r="CZ66" s="10">
        <f t="shared" si="264"/>
        <v>9</v>
      </c>
      <c r="DA66" s="8" t="str">
        <f t="shared" si="265"/>
        <v>W3</v>
      </c>
      <c r="DB66" s="9">
        <f t="shared" si="266"/>
        <v>153000</v>
      </c>
      <c r="DC66" s="10">
        <f t="shared" si="267"/>
        <v>9</v>
      </c>
      <c r="DD66" s="8" t="str">
        <f t="shared" si="268"/>
        <v>W3</v>
      </c>
      <c r="DE66" s="9">
        <f t="shared" si="269"/>
        <v>153000</v>
      </c>
      <c r="DF66" s="10">
        <f t="shared" si="270"/>
        <v>9</v>
      </c>
      <c r="DG66" s="8" t="str">
        <f t="shared" si="271"/>
        <v>W3</v>
      </c>
      <c r="DH66" s="9">
        <f t="shared" si="272"/>
        <v>153000</v>
      </c>
      <c r="DI66" s="10">
        <f t="shared" si="273"/>
        <v>9</v>
      </c>
      <c r="DK66" s="8">
        <f>IFERROR(ROUNDUP(+B66/$AQ66,0),0)</f>
        <v>0</v>
      </c>
      <c r="DL66" s="9">
        <f>IFERROR(ROUNDUP(+C66/$AT66,0),0)</f>
        <v>0</v>
      </c>
      <c r="DM66" s="9">
        <f>IFERROR(ROUNDUP(+D66/$AW66,0),0)</f>
        <v>1</v>
      </c>
      <c r="DN66" s="9">
        <f>IFERROR(ROUNDUP(+E66/$AZ66,0),0)</f>
        <v>4</v>
      </c>
      <c r="DO66" s="9">
        <f>IFERROR(ROUNDUP(+F66/$BC66,0),0)</f>
        <v>0</v>
      </c>
      <c r="DP66" s="9">
        <f>IFERROR(ROUNDUP(+G66/$BF66,0),0)</f>
        <v>0</v>
      </c>
      <c r="DQ66" s="9">
        <f>IFERROR(ROUNDUP(+$H66/$BI66,0),0)</f>
        <v>0</v>
      </c>
      <c r="DR66" s="116">
        <f>IFERROR(ROUNDUP(+I66/$BL66,0),0)</f>
        <v>2</v>
      </c>
      <c r="DS66" s="9">
        <f>IFERROR(ROUNDUP(J66/BO66,0),0)</f>
        <v>0</v>
      </c>
      <c r="DT66" s="9">
        <f>IFERROR(ROUNDUP(+K66/BR66,0),0)</f>
        <v>0</v>
      </c>
      <c r="DU66" s="9">
        <f>IFERROR(ROUNDUP(+N66/BU66,0),0)</f>
        <v>0</v>
      </c>
      <c r="DV66" s="10">
        <f>IFERROR(ROUNDUP(+R66/BX66,0),0)</f>
        <v>0</v>
      </c>
      <c r="DW66" s="9">
        <f>IFERROR(ROUNDUP(+V66/CA66,0),0)</f>
        <v>0</v>
      </c>
      <c r="DX66" s="9">
        <f>IFERROR(ROUNDUP(+Y66/CD66,0),0)</f>
        <v>2</v>
      </c>
      <c r="DY66" s="9">
        <f>IFERROR(ROUNDUP(+AE66/CG66,0),0)</f>
        <v>2</v>
      </c>
      <c r="DZ66" s="9">
        <f>IFERROR(ROUNDUP(+AF66/CJ66,0),0)</f>
        <v>1</v>
      </c>
      <c r="EA66" s="9">
        <f>IFERROR(ROUNDUP(+AG66/CM66,0),0)</f>
        <v>1</v>
      </c>
      <c r="EB66" s="9">
        <f>IFERROR(ROUNDUP(+AH66/CP66,0),0)</f>
        <v>0</v>
      </c>
      <c r="EC66" s="9">
        <f>IFERROR(ROUNDUP(+AI66/CS66,0),0)</f>
        <v>0</v>
      </c>
      <c r="ED66" s="9">
        <f>IFERROR(ROUNDUP(+AJ66/CV66,0),0)</f>
        <v>0</v>
      </c>
      <c r="EE66" s="9">
        <f>IFERROR(ROUNDUP(+AK66/CY66,0),0)</f>
        <v>0</v>
      </c>
      <c r="EF66" s="9">
        <f>IFERROR(ROUNDUP(+AL66/DB66,0),0)</f>
        <v>0</v>
      </c>
      <c r="EG66" s="9">
        <f>IFERROR(ROUNDUP(+AM66/DE66,0),0)</f>
        <v>0</v>
      </c>
      <c r="EH66" s="9">
        <f>IFERROR(ROUNDUP(+AN66/DH66,0),0)</f>
        <v>0</v>
      </c>
      <c r="EJ66" s="8">
        <f t="shared" si="305"/>
        <v>0</v>
      </c>
      <c r="EK66" s="9">
        <f t="shared" si="306"/>
        <v>0</v>
      </c>
      <c r="EL66" s="9">
        <f t="shared" si="307"/>
        <v>9</v>
      </c>
      <c r="EM66" s="9">
        <f t="shared" si="308"/>
        <v>28</v>
      </c>
      <c r="EN66" s="9">
        <f t="shared" si="309"/>
        <v>0</v>
      </c>
      <c r="EO66" s="9">
        <f t="shared" si="310"/>
        <v>0</v>
      </c>
      <c r="EP66" s="9">
        <f t="shared" si="275"/>
        <v>0</v>
      </c>
      <c r="EQ66" s="9">
        <f t="shared" si="276"/>
        <v>18</v>
      </c>
      <c r="ER66" s="9">
        <f t="shared" si="277"/>
        <v>0</v>
      </c>
      <c r="ES66" s="9">
        <f t="shared" si="278"/>
        <v>0</v>
      </c>
      <c r="ET66" s="9">
        <f t="shared" si="279"/>
        <v>0</v>
      </c>
      <c r="EU66" s="10">
        <f t="shared" si="280"/>
        <v>0</v>
      </c>
      <c r="EV66" s="9">
        <f t="shared" si="281"/>
        <v>0</v>
      </c>
      <c r="EW66" s="9">
        <f t="shared" si="282"/>
        <v>18</v>
      </c>
      <c r="EX66" s="9">
        <f t="shared" si="283"/>
        <v>18</v>
      </c>
      <c r="EY66" s="9">
        <f t="shared" si="284"/>
        <v>9</v>
      </c>
      <c r="EZ66" s="9">
        <f t="shared" si="285"/>
        <v>9</v>
      </c>
      <c r="FA66" s="9">
        <f t="shared" si="286"/>
        <v>0</v>
      </c>
      <c r="FB66" s="9">
        <f t="shared" si="287"/>
        <v>0</v>
      </c>
      <c r="FC66" s="9">
        <f t="shared" si="288"/>
        <v>0</v>
      </c>
      <c r="FD66" s="9">
        <f t="shared" si="289"/>
        <v>0</v>
      </c>
      <c r="FE66" s="9">
        <f t="shared" si="290"/>
        <v>0</v>
      </c>
      <c r="FF66" s="9">
        <f t="shared" si="291"/>
        <v>0</v>
      </c>
      <c r="FG66" s="9">
        <f t="shared" si="292"/>
        <v>0</v>
      </c>
      <c r="FO66" t="str">
        <f t="shared" si="615"/>
        <v xml:space="preserve">            (85200) TOMATO SOUPW2</v>
      </c>
      <c r="FP66" t="str">
        <f t="shared" si="616"/>
        <v xml:space="preserve">            (85200) TOMATO SOUPW3</v>
      </c>
      <c r="FQ66" t="str">
        <f t="shared" si="617"/>
        <v xml:space="preserve">            (85200) TOMATO SOUPW2</v>
      </c>
      <c r="FR66" t="s">
        <v>869</v>
      </c>
    </row>
    <row r="67" spans="1:174" outlineLevel="2" x14ac:dyDescent="0.25">
      <c r="A67" s="43" t="s">
        <v>45</v>
      </c>
      <c r="B67" s="9">
        <f>SUMIF(Prophix!$Q:$Q,'Fds Units'!$A67,Prophix!D:D)</f>
        <v>0</v>
      </c>
      <c r="C67" s="9">
        <f>SUMIF(Prophix!$Q:$Q,'Fds Units'!$A67,Prophix!E:E)</f>
        <v>0</v>
      </c>
      <c r="D67" s="9">
        <f>SUMIF(Prophix!$Q:$Q,'Fds Units'!$A67,Prophix!F:F)</f>
        <v>98136</v>
      </c>
      <c r="E67" s="9">
        <f>SUMIF(Prophix!$Q:$Q,'Fds Units'!$A67,Prophix!G:G)</f>
        <v>0</v>
      </c>
      <c r="F67" s="9">
        <f>SUMIF(Prophix!$Q:$Q,'Fds Units'!$A67,Prophix!H:H)</f>
        <v>78720</v>
      </c>
      <c r="G67" s="9">
        <f>SUMIF(Prophix!$Q:$Q,'Fds Units'!$A67,Prophix!I:I)</f>
        <v>0</v>
      </c>
      <c r="H67" s="9">
        <f>SUMIF(Prophix!$Q:$Q,'Fds Units'!$A67,Prophix!J:J)</f>
        <v>0</v>
      </c>
      <c r="I67" s="9">
        <f>SUMIF(Prophix!$Q:$Q,'Fds Units'!$A67,Prophix!K:K)</f>
        <v>0</v>
      </c>
      <c r="J67" s="9">
        <f>SUMIF(Prophix!$Q:$Q,'Fds Units'!$A67,Prophix!L:L)</f>
        <v>0</v>
      </c>
      <c r="K67" s="9">
        <f>SUMIF(Prophix!$Q:$Q,'Fds Units'!$A67,Prophix!M:M)</f>
        <v>0</v>
      </c>
      <c r="L67" s="92">
        <f>_xlfn.XLOOKUP(FO67,Schedule!Z:Z,Schedule!Y:Y,0)</f>
        <v>0</v>
      </c>
      <c r="M67" s="133"/>
      <c r="N67" s="92">
        <f>SUMIF(Schedule!$R:$R,$FP67,Schedule!P:P)</f>
        <v>0</v>
      </c>
      <c r="O67" s="9">
        <f t="shared" si="618"/>
        <v>0</v>
      </c>
      <c r="P67" s="133">
        <v>150000</v>
      </c>
      <c r="Q67" s="133">
        <f t="shared" si="619"/>
        <v>150000</v>
      </c>
      <c r="R67" s="92">
        <v>49992</v>
      </c>
      <c r="S67" s="92">
        <v>50784</v>
      </c>
      <c r="T67" s="186">
        <f t="shared" si="620"/>
        <v>792</v>
      </c>
      <c r="U67" s="9">
        <v>300000</v>
      </c>
      <c r="V67" s="9">
        <v>300000</v>
      </c>
      <c r="W67" s="9"/>
      <c r="X67" s="9">
        <v>68865</v>
      </c>
      <c r="Y67" s="8"/>
      <c r="Z67" s="9"/>
      <c r="AA67" s="9"/>
      <c r="AB67" s="242">
        <f t="shared" si="446"/>
        <v>0</v>
      </c>
      <c r="AC67" s="241">
        <v>0</v>
      </c>
      <c r="AD67" s="165">
        <v>0</v>
      </c>
      <c r="AE67" s="242">
        <v>0</v>
      </c>
      <c r="AF67" s="9">
        <v>103428</v>
      </c>
      <c r="AG67" s="9">
        <v>153000</v>
      </c>
      <c r="AH67" s="66"/>
      <c r="AI67" s="66"/>
      <c r="AJ67" s="66"/>
      <c r="AK67" s="66"/>
      <c r="AL67" s="66"/>
      <c r="AM67" s="66"/>
      <c r="AN67" s="66"/>
      <c r="AO67" s="59"/>
      <c r="AP67" s="8" t="s">
        <v>77</v>
      </c>
      <c r="AQ67" s="9">
        <v>150000</v>
      </c>
      <c r="AR67" s="10">
        <v>9</v>
      </c>
      <c r="AS67" s="8" t="s">
        <v>77</v>
      </c>
      <c r="AT67" s="9">
        <v>150000</v>
      </c>
      <c r="AU67" s="10">
        <v>9</v>
      </c>
      <c r="AV67" s="8" t="s">
        <v>77</v>
      </c>
      <c r="AW67" s="9">
        <v>150000</v>
      </c>
      <c r="AX67" s="10">
        <v>9</v>
      </c>
      <c r="AY67" s="8" t="s">
        <v>607</v>
      </c>
      <c r="AZ67" s="9">
        <v>150000</v>
      </c>
      <c r="BA67" s="10">
        <v>9</v>
      </c>
      <c r="BB67" s="8" t="s">
        <v>607</v>
      </c>
      <c r="BC67" s="9">
        <v>115200</v>
      </c>
      <c r="BD67" s="10">
        <v>9</v>
      </c>
      <c r="BE67" s="8" t="s">
        <v>77</v>
      </c>
      <c r="BF67" s="9">
        <v>150000</v>
      </c>
      <c r="BG67" s="10">
        <v>9</v>
      </c>
      <c r="BH67" s="8" t="s">
        <v>77</v>
      </c>
      <c r="BI67" s="9">
        <v>150000</v>
      </c>
      <c r="BJ67" s="10">
        <v>9</v>
      </c>
      <c r="BK67" s="8" t="s">
        <v>77</v>
      </c>
      <c r="BL67" s="9">
        <v>150000</v>
      </c>
      <c r="BM67" s="10">
        <v>9</v>
      </c>
      <c r="BN67" s="8" t="s">
        <v>77</v>
      </c>
      <c r="BO67" s="9">
        <v>150000</v>
      </c>
      <c r="BP67" s="10">
        <v>9</v>
      </c>
      <c r="BQ67" s="8" t="s">
        <v>77</v>
      </c>
      <c r="BR67" s="9">
        <v>150000</v>
      </c>
      <c r="BS67" s="10">
        <v>9</v>
      </c>
      <c r="BT67" s="8" t="s">
        <v>74</v>
      </c>
      <c r="BU67" s="9">
        <v>175000</v>
      </c>
      <c r="BV67" s="10">
        <v>9</v>
      </c>
      <c r="BW67" s="8" t="s">
        <v>77</v>
      </c>
      <c r="BX67" s="9">
        <v>180000</v>
      </c>
      <c r="BY67" s="10">
        <v>9</v>
      </c>
      <c r="BZ67" s="8" t="s">
        <v>74</v>
      </c>
      <c r="CA67" s="9">
        <v>153000</v>
      </c>
      <c r="CB67" s="10">
        <f t="shared" si="295"/>
        <v>9</v>
      </c>
      <c r="CC67" s="8" t="str">
        <f t="shared" si="296"/>
        <v>W3</v>
      </c>
      <c r="CD67" s="9">
        <f>CA67</f>
        <v>153000</v>
      </c>
      <c r="CE67" s="10">
        <f t="shared" si="298"/>
        <v>9</v>
      </c>
      <c r="CF67" s="8" t="str">
        <f t="shared" si="299"/>
        <v>W3</v>
      </c>
      <c r="CG67" s="9">
        <f t="shared" si="300"/>
        <v>153000</v>
      </c>
      <c r="CH67" s="10">
        <f t="shared" si="301"/>
        <v>9</v>
      </c>
      <c r="CI67" s="8" t="str">
        <f t="shared" si="302"/>
        <v>W3</v>
      </c>
      <c r="CJ67" s="9">
        <f t="shared" si="303"/>
        <v>153000</v>
      </c>
      <c r="CK67" s="10">
        <f t="shared" si="304"/>
        <v>9</v>
      </c>
      <c r="CL67" s="8" t="str">
        <f t="shared" si="251"/>
        <v>W3</v>
      </c>
      <c r="CM67" s="9">
        <f t="shared" si="252"/>
        <v>153000</v>
      </c>
      <c r="CN67" s="10">
        <f t="shared" si="253"/>
        <v>9</v>
      </c>
      <c r="CO67" s="8" t="str">
        <f t="shared" si="254"/>
        <v>W3</v>
      </c>
      <c r="CP67" s="9">
        <f t="shared" si="442"/>
        <v>153000</v>
      </c>
      <c r="CQ67" s="10">
        <f t="shared" si="255"/>
        <v>9</v>
      </c>
      <c r="CR67" s="8" t="str">
        <f t="shared" si="256"/>
        <v>W3</v>
      </c>
      <c r="CS67" s="9">
        <f t="shared" si="257"/>
        <v>153000</v>
      </c>
      <c r="CT67" s="10">
        <f t="shared" si="258"/>
        <v>9</v>
      </c>
      <c r="CU67" s="8" t="str">
        <f t="shared" si="259"/>
        <v>W3</v>
      </c>
      <c r="CV67" s="9">
        <f t="shared" si="260"/>
        <v>153000</v>
      </c>
      <c r="CW67" s="10">
        <f t="shared" si="261"/>
        <v>9</v>
      </c>
      <c r="CX67" s="8" t="str">
        <f t="shared" si="262"/>
        <v>W3</v>
      </c>
      <c r="CY67" s="9">
        <f t="shared" si="263"/>
        <v>153000</v>
      </c>
      <c r="CZ67" s="10">
        <f t="shared" si="264"/>
        <v>9</v>
      </c>
      <c r="DA67" s="8" t="str">
        <f t="shared" si="265"/>
        <v>W3</v>
      </c>
      <c r="DB67" s="9">
        <f t="shared" si="266"/>
        <v>153000</v>
      </c>
      <c r="DC67" s="10">
        <f t="shared" si="267"/>
        <v>9</v>
      </c>
      <c r="DD67" s="8" t="str">
        <f t="shared" si="268"/>
        <v>W3</v>
      </c>
      <c r="DE67" s="9">
        <f t="shared" si="269"/>
        <v>153000</v>
      </c>
      <c r="DF67" s="10">
        <f t="shared" si="270"/>
        <v>9</v>
      </c>
      <c r="DG67" s="8" t="str">
        <f t="shared" si="271"/>
        <v>W3</v>
      </c>
      <c r="DH67" s="9">
        <f t="shared" si="272"/>
        <v>153000</v>
      </c>
      <c r="DI67" s="10">
        <f t="shared" si="273"/>
        <v>9</v>
      </c>
      <c r="DK67" s="8">
        <f>IFERROR(ROUNDUP(+B67/$AQ67,0),0)</f>
        <v>0</v>
      </c>
      <c r="DL67" s="9">
        <f>IFERROR(ROUNDUP(+C67/$AT67,0),0)</f>
        <v>0</v>
      </c>
      <c r="DM67" s="9">
        <f>IFERROR(ROUNDUP(+D67/$AW67,0),0)</f>
        <v>1</v>
      </c>
      <c r="DN67" s="9">
        <f>IFERROR(ROUNDUP(+E67/$AZ67,0),0)</f>
        <v>0</v>
      </c>
      <c r="DO67" s="9">
        <f>IFERROR(ROUNDUP(+F67/$BC67,0),0)</f>
        <v>1</v>
      </c>
      <c r="DP67" s="9">
        <f>IFERROR(ROUNDUP(+G67/$BF67,0),0)</f>
        <v>0</v>
      </c>
      <c r="DQ67" s="9">
        <f>IFERROR(ROUNDUP(+$H67/$BI67,0),0)</f>
        <v>0</v>
      </c>
      <c r="DR67" s="9">
        <f>IFERROR(ROUNDUP(+I67/$BL67,0),0)</f>
        <v>0</v>
      </c>
      <c r="DS67" s="9">
        <f>IFERROR(ROUNDUP(J67/BO67,0),0)</f>
        <v>0</v>
      </c>
      <c r="DT67" s="9">
        <f>IFERROR(ROUNDUP(+K67/BR67,0),0)</f>
        <v>0</v>
      </c>
      <c r="DU67" s="9">
        <f>IFERROR(ROUNDUP(+N67/BU67,0),0)</f>
        <v>0</v>
      </c>
      <c r="DV67" s="10">
        <f>IFERROR(ROUNDUP(+R67/BX67,0),0)</f>
        <v>1</v>
      </c>
      <c r="DW67" s="9">
        <f>IFERROR(ROUNDUP(+V67/CA55,0),0)</f>
        <v>0</v>
      </c>
      <c r="DX67" s="9">
        <f>IFERROR(ROUNDUP(+Y67/CD67,0),0)</f>
        <v>0</v>
      </c>
      <c r="DY67" s="9">
        <f>IFERROR(ROUNDUP(+AE67/CG67,0),0)</f>
        <v>0</v>
      </c>
      <c r="DZ67" s="9">
        <f>IFERROR(ROUNDUP(+AF67/CJ67,0),0)</f>
        <v>1</v>
      </c>
      <c r="EA67" s="9">
        <f>IFERROR(ROUNDUP(+AG67/CM67,0),0)</f>
        <v>1</v>
      </c>
      <c r="EB67" s="9">
        <f>IFERROR(ROUNDUP(+AH67/CP67,0),0)</f>
        <v>0</v>
      </c>
      <c r="EC67" s="9">
        <f>IFERROR(ROUNDUP(+AI67/CS67,0),0)</f>
        <v>0</v>
      </c>
      <c r="ED67" s="9">
        <f>IFERROR(ROUNDUP(+AJ67/CV67,0),0)</f>
        <v>0</v>
      </c>
      <c r="EE67" s="9">
        <f>IFERROR(ROUNDUP(+AK67/CY67,0),0)</f>
        <v>0</v>
      </c>
      <c r="EF67" s="9">
        <f>IFERROR(ROUNDUP(+AL67/DB67,0),0)</f>
        <v>0</v>
      </c>
      <c r="EG67" s="9">
        <f>IFERROR(ROUNDUP(+AM67/DE67,0),0)</f>
        <v>0</v>
      </c>
      <c r="EH67" s="9">
        <f>IFERROR(ROUNDUP(+AN67/DH67,0),0)</f>
        <v>0</v>
      </c>
      <c r="EJ67" s="8">
        <f t="shared" si="305"/>
        <v>0</v>
      </c>
      <c r="EK67" s="9">
        <f t="shared" si="306"/>
        <v>0</v>
      </c>
      <c r="EL67" s="9">
        <f t="shared" si="307"/>
        <v>9</v>
      </c>
      <c r="EM67" s="9">
        <f t="shared" si="308"/>
        <v>0</v>
      </c>
      <c r="EN67" s="9">
        <f t="shared" si="309"/>
        <v>9</v>
      </c>
      <c r="EO67" s="9">
        <f t="shared" si="310"/>
        <v>0</v>
      </c>
      <c r="EP67" s="9">
        <f t="shared" si="275"/>
        <v>0</v>
      </c>
      <c r="EQ67" s="9">
        <f t="shared" si="276"/>
        <v>0</v>
      </c>
      <c r="ER67" s="9">
        <f t="shared" si="277"/>
        <v>0</v>
      </c>
      <c r="ES67" s="9">
        <f t="shared" si="278"/>
        <v>0</v>
      </c>
      <c r="ET67" s="9">
        <f t="shared" si="279"/>
        <v>0</v>
      </c>
      <c r="EU67" s="10">
        <f t="shared" si="280"/>
        <v>9</v>
      </c>
      <c r="EV67" s="9">
        <f t="shared" si="281"/>
        <v>0</v>
      </c>
      <c r="EW67" s="9">
        <f t="shared" si="282"/>
        <v>0</v>
      </c>
      <c r="EX67" s="9">
        <f t="shared" si="283"/>
        <v>0</v>
      </c>
      <c r="EY67" s="9">
        <f t="shared" si="284"/>
        <v>9</v>
      </c>
      <c r="EZ67" s="9">
        <f t="shared" si="285"/>
        <v>9</v>
      </c>
      <c r="FA67" s="9">
        <f t="shared" si="286"/>
        <v>0</v>
      </c>
      <c r="FB67" s="9">
        <f t="shared" si="287"/>
        <v>0</v>
      </c>
      <c r="FC67" s="9">
        <f t="shared" si="288"/>
        <v>0</v>
      </c>
      <c r="FD67" s="9">
        <f t="shared" si="289"/>
        <v>0</v>
      </c>
      <c r="FE67" s="9">
        <f t="shared" si="290"/>
        <v>0</v>
      </c>
      <c r="FF67" s="9">
        <f t="shared" si="291"/>
        <v>0</v>
      </c>
      <c r="FG67" s="9">
        <f t="shared" si="292"/>
        <v>0</v>
      </c>
      <c r="FO67" t="str">
        <f t="shared" si="615"/>
        <v xml:space="preserve">            (85201) CREAM OF MUSHROOM SOUPW2</v>
      </c>
      <c r="FP67" t="str">
        <f t="shared" si="616"/>
        <v xml:space="preserve">            (85201) CREAM OF MUSHROOM SOUPW3</v>
      </c>
      <c r="FQ67" t="str">
        <f t="shared" si="617"/>
        <v xml:space="preserve">            (85201) CREAM OF MUSHROOM SOUPW2</v>
      </c>
      <c r="FR67" t="s">
        <v>870</v>
      </c>
    </row>
    <row r="68" spans="1:174" outlineLevel="2" x14ac:dyDescent="0.25">
      <c r="A68" s="43" t="s">
        <v>46</v>
      </c>
      <c r="B68" s="9">
        <f>SUMIF(Prophix!$Q:$Q,'Fds Units'!$A68,Prophix!D:D)</f>
        <v>0</v>
      </c>
      <c r="C68" s="9">
        <f>SUMIF(Prophix!$Q:$Q,'Fds Units'!$A68,Prophix!E:E)</f>
        <v>0</v>
      </c>
      <c r="D68" s="9">
        <f>SUMIF(Prophix!$Q:$Q,'Fds Units'!$A68,Prophix!F:F)</f>
        <v>99432</v>
      </c>
      <c r="E68" s="9">
        <f>SUMIF(Prophix!$Q:$Q,'Fds Units'!$A68,Prophix!G:G)</f>
        <v>407616</v>
      </c>
      <c r="F68" s="9">
        <f>SUMIF(Prophix!$Q:$Q,'Fds Units'!$A68,Prophix!H:H)</f>
        <v>0</v>
      </c>
      <c r="G68" s="9">
        <f>SUMIF(Prophix!$Q:$Q,'Fds Units'!$A68,Prophix!I:I)</f>
        <v>0</v>
      </c>
      <c r="H68" s="9">
        <f>SUMIF(Prophix!$Q:$Q,'Fds Units'!$A68,Prophix!J:J)</f>
        <v>0</v>
      </c>
      <c r="I68" s="9">
        <f>SUMIF(Prophix!$Q:$Q,'Fds Units'!$A68,Prophix!K:K)</f>
        <v>143448</v>
      </c>
      <c r="J68" s="9">
        <f>SUMIF(Prophix!$Q:$Q,'Fds Units'!$A68,Prophix!L:L)</f>
        <v>0</v>
      </c>
      <c r="K68" s="9">
        <f>SUMIF(Prophix!$Q:$Q,'Fds Units'!$A68,Prophix!M:M)</f>
        <v>0</v>
      </c>
      <c r="L68" s="92">
        <f>_xlfn.XLOOKUP(FO68,Schedule!Z:Z,Schedule!Y:Y,0)</f>
        <v>0</v>
      </c>
      <c r="M68" s="133"/>
      <c r="N68" s="92">
        <f>SUMIF(Schedule!$R:$R,$FP68,Schedule!P:P)</f>
        <v>0</v>
      </c>
      <c r="O68" s="9">
        <f t="shared" si="618"/>
        <v>0</v>
      </c>
      <c r="P68" s="133"/>
      <c r="Q68" s="133">
        <f t="shared" si="619"/>
        <v>0</v>
      </c>
      <c r="R68" s="92"/>
      <c r="S68" s="92"/>
      <c r="T68" s="186">
        <f t="shared" si="620"/>
        <v>0</v>
      </c>
      <c r="U68" s="9">
        <v>150000</v>
      </c>
      <c r="V68" s="9">
        <v>150000</v>
      </c>
      <c r="W68" s="9"/>
      <c r="X68" s="9">
        <v>71909</v>
      </c>
      <c r="Y68" s="8">
        <v>175200</v>
      </c>
      <c r="Z68" s="9">
        <v>175200</v>
      </c>
      <c r="AA68" s="9"/>
      <c r="AB68" s="242">
        <f t="shared" si="446"/>
        <v>-175200</v>
      </c>
      <c r="AC68" s="241">
        <v>175200</v>
      </c>
      <c r="AD68" s="165">
        <v>175200</v>
      </c>
      <c r="AE68" s="242">
        <v>175200</v>
      </c>
      <c r="AF68" s="9">
        <v>206856</v>
      </c>
      <c r="AG68" s="9">
        <v>153000</v>
      </c>
      <c r="AH68" s="66"/>
      <c r="AI68" s="66"/>
      <c r="AJ68" s="66"/>
      <c r="AK68" s="66"/>
      <c r="AL68" s="66"/>
      <c r="AM68" s="66"/>
      <c r="AN68" s="66"/>
      <c r="AO68" s="59"/>
      <c r="AP68" s="8" t="s">
        <v>77</v>
      </c>
      <c r="AQ68" s="9">
        <v>150000</v>
      </c>
      <c r="AR68" s="10">
        <v>9</v>
      </c>
      <c r="AS68" s="8" t="s">
        <v>77</v>
      </c>
      <c r="AT68" s="9">
        <v>150000</v>
      </c>
      <c r="AU68" s="10">
        <v>9</v>
      </c>
      <c r="AV68" s="8" t="s">
        <v>77</v>
      </c>
      <c r="AW68" s="9">
        <v>150000</v>
      </c>
      <c r="AX68" s="10">
        <v>9</v>
      </c>
      <c r="AY68" s="8" t="s">
        <v>607</v>
      </c>
      <c r="AZ68" s="9">
        <v>103000</v>
      </c>
      <c r="BA68" s="10">
        <v>7</v>
      </c>
      <c r="BB68" s="8" t="s">
        <v>77</v>
      </c>
      <c r="BC68" s="9">
        <v>150000</v>
      </c>
      <c r="BD68" s="10">
        <v>9</v>
      </c>
      <c r="BE68" s="8" t="s">
        <v>77</v>
      </c>
      <c r="BF68" s="9">
        <v>150000</v>
      </c>
      <c r="BG68" s="10">
        <v>9</v>
      </c>
      <c r="BH68" s="8" t="s">
        <v>77</v>
      </c>
      <c r="BI68" s="9">
        <v>150000</v>
      </c>
      <c r="BJ68" s="10">
        <v>9</v>
      </c>
      <c r="BK68" s="8" t="s">
        <v>77</v>
      </c>
      <c r="BL68" s="9">
        <v>150000</v>
      </c>
      <c r="BM68" s="10">
        <v>9</v>
      </c>
      <c r="BN68" s="8" t="s">
        <v>77</v>
      </c>
      <c r="BO68" s="9">
        <v>150000</v>
      </c>
      <c r="BP68" s="10">
        <v>9</v>
      </c>
      <c r="BQ68" s="8" t="s">
        <v>77</v>
      </c>
      <c r="BR68" s="9">
        <v>150000</v>
      </c>
      <c r="BS68" s="10">
        <v>9</v>
      </c>
      <c r="BT68" s="8" t="s">
        <v>74</v>
      </c>
      <c r="BU68" s="9">
        <v>175000</v>
      </c>
      <c r="BV68" s="10">
        <v>9</v>
      </c>
      <c r="BW68" s="8" t="s">
        <v>77</v>
      </c>
      <c r="BX68" s="9">
        <v>180000</v>
      </c>
      <c r="BY68" s="10">
        <v>9</v>
      </c>
      <c r="BZ68" s="8" t="s">
        <v>74</v>
      </c>
      <c r="CA68" s="9">
        <v>153000</v>
      </c>
      <c r="CB68" s="10">
        <f t="shared" si="295"/>
        <v>9</v>
      </c>
      <c r="CC68" s="8" t="str">
        <f t="shared" si="296"/>
        <v>W3</v>
      </c>
      <c r="CD68" s="9">
        <f t="shared" si="297"/>
        <v>153000</v>
      </c>
      <c r="CE68" s="10">
        <f t="shared" si="298"/>
        <v>9</v>
      </c>
      <c r="CF68" s="8" t="str">
        <f t="shared" si="299"/>
        <v>W3</v>
      </c>
      <c r="CG68" s="9">
        <f t="shared" si="300"/>
        <v>153000</v>
      </c>
      <c r="CH68" s="10">
        <f t="shared" si="301"/>
        <v>9</v>
      </c>
      <c r="CI68" s="8" t="str">
        <f t="shared" si="302"/>
        <v>W3</v>
      </c>
      <c r="CJ68" s="9">
        <f t="shared" si="303"/>
        <v>153000</v>
      </c>
      <c r="CK68" s="10">
        <f t="shared" si="304"/>
        <v>9</v>
      </c>
      <c r="CL68" s="8" t="str">
        <f t="shared" si="251"/>
        <v>W3</v>
      </c>
      <c r="CM68" s="9">
        <f t="shared" si="252"/>
        <v>153000</v>
      </c>
      <c r="CN68" s="10">
        <f t="shared" si="253"/>
        <v>9</v>
      </c>
      <c r="CO68" s="8" t="str">
        <f t="shared" si="254"/>
        <v>W3</v>
      </c>
      <c r="CP68" s="9">
        <f t="shared" si="442"/>
        <v>153000</v>
      </c>
      <c r="CQ68" s="10">
        <f t="shared" si="255"/>
        <v>9</v>
      </c>
      <c r="CR68" s="8" t="str">
        <f t="shared" si="256"/>
        <v>W3</v>
      </c>
      <c r="CS68" s="9">
        <f t="shared" si="257"/>
        <v>153000</v>
      </c>
      <c r="CT68" s="10">
        <f t="shared" si="258"/>
        <v>9</v>
      </c>
      <c r="CU68" s="8" t="str">
        <f t="shared" si="259"/>
        <v>W3</v>
      </c>
      <c r="CV68" s="9">
        <f t="shared" si="260"/>
        <v>153000</v>
      </c>
      <c r="CW68" s="10">
        <f t="shared" si="261"/>
        <v>9</v>
      </c>
      <c r="CX68" s="8" t="str">
        <f t="shared" si="262"/>
        <v>W3</v>
      </c>
      <c r="CY68" s="9">
        <f t="shared" si="263"/>
        <v>153000</v>
      </c>
      <c r="CZ68" s="10">
        <f t="shared" si="264"/>
        <v>9</v>
      </c>
      <c r="DA68" s="8" t="str">
        <f t="shared" si="265"/>
        <v>W3</v>
      </c>
      <c r="DB68" s="9">
        <f t="shared" si="266"/>
        <v>153000</v>
      </c>
      <c r="DC68" s="10">
        <f t="shared" si="267"/>
        <v>9</v>
      </c>
      <c r="DD68" s="8" t="str">
        <f t="shared" si="268"/>
        <v>W3</v>
      </c>
      <c r="DE68" s="9">
        <f t="shared" si="269"/>
        <v>153000</v>
      </c>
      <c r="DF68" s="10">
        <f t="shared" si="270"/>
        <v>9</v>
      </c>
      <c r="DG68" s="8" t="str">
        <f t="shared" si="271"/>
        <v>W3</v>
      </c>
      <c r="DH68" s="9">
        <f t="shared" si="272"/>
        <v>153000</v>
      </c>
      <c r="DI68" s="10">
        <f t="shared" si="273"/>
        <v>9</v>
      </c>
      <c r="DK68" s="8">
        <f>IFERROR(ROUNDUP(+B68/$AQ68,0),0)</f>
        <v>0</v>
      </c>
      <c r="DL68" s="9">
        <f>IFERROR(ROUNDUP(+C68/$AT68,0),0)</f>
        <v>0</v>
      </c>
      <c r="DM68" s="9">
        <f>IFERROR(ROUNDUP(+D68/$AW68,0),0)</f>
        <v>1</v>
      </c>
      <c r="DN68" s="9">
        <f>IFERROR(ROUNDUP(+E68/$AZ68,0),0)</f>
        <v>4</v>
      </c>
      <c r="DO68" s="9">
        <f>IFERROR(ROUNDUP(+F68/$BC68,0),0)</f>
        <v>0</v>
      </c>
      <c r="DP68" s="9">
        <f>IFERROR(ROUNDUP(+G68/$BF68,0),0)</f>
        <v>0</v>
      </c>
      <c r="DQ68" s="9">
        <f>IFERROR(ROUNDUP(+$H68/$BI68,0),0)</f>
        <v>0</v>
      </c>
      <c r="DR68" s="116">
        <f>IFERROR(ROUNDUP(+I68/$BL68,0),0)</f>
        <v>1</v>
      </c>
      <c r="DS68" s="9">
        <f>IFERROR(ROUNDUP(J68/BO68,0),0)</f>
        <v>0</v>
      </c>
      <c r="DT68" s="9">
        <f>IFERROR(ROUNDUP(+K68/BR68,0),0)</f>
        <v>0</v>
      </c>
      <c r="DU68" s="9">
        <f>IFERROR(ROUNDUP(+N68/BU68,0),0)</f>
        <v>0</v>
      </c>
      <c r="DV68" s="10">
        <f>IFERROR(ROUNDUP(+R68/BX68,0),0)</f>
        <v>0</v>
      </c>
      <c r="DW68" s="9">
        <f>IFERROR(ROUNDUP(+V68/CA68,0),0)</f>
        <v>1</v>
      </c>
      <c r="DX68" s="9">
        <f>IFERROR(ROUNDUP(+Y68/CD68,0),0)</f>
        <v>2</v>
      </c>
      <c r="DY68" s="9">
        <f>IFERROR(ROUNDUP(+AE68/CG68,0),0)</f>
        <v>2</v>
      </c>
      <c r="DZ68" s="9">
        <f>IFERROR(ROUNDUP(+AF68/CJ68,0),0)</f>
        <v>2</v>
      </c>
      <c r="EA68" s="9">
        <f>IFERROR(ROUNDUP(+AG68/CM68,0),0)</f>
        <v>1</v>
      </c>
      <c r="EB68" s="9">
        <f>IFERROR(ROUNDUP(+AH68/CP68,0),0)</f>
        <v>0</v>
      </c>
      <c r="EC68" s="9">
        <f>IFERROR(ROUNDUP(+AI68/CS68,0),0)</f>
        <v>0</v>
      </c>
      <c r="ED68" s="9">
        <f>IFERROR(ROUNDUP(+AJ68/CV68,0),0)</f>
        <v>0</v>
      </c>
      <c r="EE68" s="9">
        <f>IFERROR(ROUNDUP(+AK68/CY68,0),0)</f>
        <v>0</v>
      </c>
      <c r="EF68" s="9">
        <f>IFERROR(ROUNDUP(+AL68/DB68,0),0)</f>
        <v>0</v>
      </c>
      <c r="EG68" s="9">
        <f>IFERROR(ROUNDUP(+AM68/DE68,0),0)</f>
        <v>0</v>
      </c>
      <c r="EH68" s="9">
        <f>IFERROR(ROUNDUP(+AN68/DH68,0),0)</f>
        <v>0</v>
      </c>
      <c r="EJ68" s="8">
        <f t="shared" si="305"/>
        <v>0</v>
      </c>
      <c r="EK68" s="9">
        <f t="shared" si="306"/>
        <v>0</v>
      </c>
      <c r="EL68" s="9">
        <f t="shared" si="307"/>
        <v>9</v>
      </c>
      <c r="EM68" s="9">
        <f t="shared" si="308"/>
        <v>28</v>
      </c>
      <c r="EN68" s="9">
        <f t="shared" si="309"/>
        <v>0</v>
      </c>
      <c r="EO68" s="9">
        <f t="shared" si="310"/>
        <v>0</v>
      </c>
      <c r="EP68" s="9">
        <f t="shared" si="275"/>
        <v>0</v>
      </c>
      <c r="EQ68" s="9">
        <f t="shared" si="276"/>
        <v>9</v>
      </c>
      <c r="ER68" s="9">
        <f t="shared" si="277"/>
        <v>0</v>
      </c>
      <c r="ES68" s="9">
        <f t="shared" si="278"/>
        <v>0</v>
      </c>
      <c r="ET68" s="9">
        <f t="shared" si="279"/>
        <v>0</v>
      </c>
      <c r="EU68" s="10">
        <f t="shared" si="280"/>
        <v>0</v>
      </c>
      <c r="EV68" s="9">
        <f t="shared" si="281"/>
        <v>9</v>
      </c>
      <c r="EW68" s="9">
        <f t="shared" si="282"/>
        <v>18</v>
      </c>
      <c r="EX68" s="9">
        <f t="shared" si="283"/>
        <v>18</v>
      </c>
      <c r="EY68" s="9">
        <f t="shared" si="284"/>
        <v>18</v>
      </c>
      <c r="EZ68" s="9">
        <f t="shared" si="285"/>
        <v>9</v>
      </c>
      <c r="FA68" s="9">
        <f t="shared" si="286"/>
        <v>0</v>
      </c>
      <c r="FB68" s="9">
        <f t="shared" si="287"/>
        <v>0</v>
      </c>
      <c r="FC68" s="9">
        <f t="shared" si="288"/>
        <v>0</v>
      </c>
      <c r="FD68" s="9">
        <f t="shared" si="289"/>
        <v>0</v>
      </c>
      <c r="FE68" s="9">
        <f t="shared" si="290"/>
        <v>0</v>
      </c>
      <c r="FF68" s="9">
        <f t="shared" si="291"/>
        <v>0</v>
      </c>
      <c r="FG68" s="9">
        <f t="shared" si="292"/>
        <v>0</v>
      </c>
      <c r="FO68" t="str">
        <f t="shared" si="615"/>
        <v xml:space="preserve">            (85202) VEGETABLE SOUPW2</v>
      </c>
      <c r="FP68" t="str">
        <f t="shared" si="616"/>
        <v xml:space="preserve">            (85202) VEGETABLE SOUPW3</v>
      </c>
      <c r="FQ68" t="str">
        <f t="shared" si="617"/>
        <v xml:space="preserve">            (85202) VEGETABLE SOUPW2</v>
      </c>
      <c r="FR68" t="s">
        <v>871</v>
      </c>
    </row>
    <row r="69" spans="1:174" outlineLevel="2" x14ac:dyDescent="0.25">
      <c r="A69" s="43" t="s">
        <v>47</v>
      </c>
      <c r="B69" s="9">
        <f>SUMIF(Prophix!$Q:$Q,'Fds Units'!$A69,Prophix!D:D)</f>
        <v>0</v>
      </c>
      <c r="C69" s="9">
        <f>SUMIF(Prophix!$Q:$Q,'Fds Units'!$A69,Prophix!E:E)</f>
        <v>0</v>
      </c>
      <c r="D69" s="9">
        <f>SUMIF(Prophix!$Q:$Q,'Fds Units'!$A69,Prophix!F:F)</f>
        <v>75672</v>
      </c>
      <c r="E69" s="9">
        <f>SUMIF(Prophix!$Q:$Q,'Fds Units'!$A69,Prophix!G:G)</f>
        <v>98472</v>
      </c>
      <c r="F69" s="9">
        <f>SUMIF(Prophix!$Q:$Q,'Fds Units'!$A69,Prophix!H:H)</f>
        <v>0</v>
      </c>
      <c r="G69" s="9">
        <f>SUMIF(Prophix!$Q:$Q,'Fds Units'!$A69,Prophix!I:I)</f>
        <v>0</v>
      </c>
      <c r="H69" s="9">
        <f>SUMIF(Prophix!$Q:$Q,'Fds Units'!$A69,Prophix!J:J)</f>
        <v>0</v>
      </c>
      <c r="I69" s="9">
        <f>SUMIF(Prophix!$Q:$Q,'Fds Units'!$A69,Prophix!K:K)</f>
        <v>282864</v>
      </c>
      <c r="J69" s="9">
        <f>SUMIF(Prophix!$Q:$Q,'Fds Units'!$A69,Prophix!L:L)</f>
        <v>0</v>
      </c>
      <c r="K69" s="9">
        <f>SUMIF(Prophix!$Q:$Q,'Fds Units'!$A69,Prophix!M:M)</f>
        <v>0</v>
      </c>
      <c r="L69" s="92">
        <f>_xlfn.XLOOKUP(FO69,Schedule!Z:Z,Schedule!Y:Y,0)</f>
        <v>0</v>
      </c>
      <c r="M69" s="133"/>
      <c r="N69" s="92">
        <f>SUMIF(Schedule!$R:$R,$FP69,Schedule!P:P)</f>
        <v>0</v>
      </c>
      <c r="O69" s="9">
        <f t="shared" si="618"/>
        <v>0</v>
      </c>
      <c r="P69" s="133">
        <v>300000</v>
      </c>
      <c r="Q69" s="133">
        <f t="shared" si="619"/>
        <v>300000</v>
      </c>
      <c r="R69" s="92">
        <v>121992</v>
      </c>
      <c r="S69" s="92">
        <v>52584</v>
      </c>
      <c r="T69" s="186">
        <f t="shared" si="620"/>
        <v>-69408</v>
      </c>
      <c r="U69" s="9">
        <v>150000</v>
      </c>
      <c r="V69" s="9">
        <v>150000</v>
      </c>
      <c r="W69" s="9"/>
      <c r="X69" s="9">
        <v>93565</v>
      </c>
      <c r="Y69" s="8">
        <v>150000</v>
      </c>
      <c r="Z69" s="9">
        <v>150000</v>
      </c>
      <c r="AA69" s="9">
        <v>101328</v>
      </c>
      <c r="AB69" s="242">
        <f t="shared" si="446"/>
        <v>-48672</v>
      </c>
      <c r="AC69" s="241">
        <v>0</v>
      </c>
      <c r="AD69" s="165">
        <v>0</v>
      </c>
      <c r="AE69" s="242">
        <v>0</v>
      </c>
      <c r="AF69" s="9">
        <v>206856</v>
      </c>
      <c r="AG69" s="9">
        <f>153000*2</f>
        <v>306000</v>
      </c>
      <c r="AH69" s="66"/>
      <c r="AI69" s="66"/>
      <c r="AJ69" s="66"/>
      <c r="AK69" s="66"/>
      <c r="AL69" s="66"/>
      <c r="AM69" s="66"/>
      <c r="AN69" s="66"/>
      <c r="AO69" s="59"/>
      <c r="AP69" s="8" t="s">
        <v>77</v>
      </c>
      <c r="AQ69" s="9">
        <v>150000</v>
      </c>
      <c r="AR69" s="10">
        <v>9</v>
      </c>
      <c r="AS69" s="8" t="s">
        <v>77</v>
      </c>
      <c r="AT69" s="9">
        <v>150000</v>
      </c>
      <c r="AU69" s="10">
        <v>9</v>
      </c>
      <c r="AV69" s="8" t="s">
        <v>77</v>
      </c>
      <c r="AW69" s="9">
        <v>150000</v>
      </c>
      <c r="AX69" s="10">
        <v>9</v>
      </c>
      <c r="AY69" s="8" t="s">
        <v>607</v>
      </c>
      <c r="AZ69" s="9">
        <v>150000</v>
      </c>
      <c r="BA69" s="10">
        <v>9</v>
      </c>
      <c r="BB69" s="8" t="s">
        <v>77</v>
      </c>
      <c r="BC69" s="9">
        <v>150000</v>
      </c>
      <c r="BD69" s="10">
        <v>9</v>
      </c>
      <c r="BE69" s="8" t="s">
        <v>607</v>
      </c>
      <c r="BF69" s="9">
        <v>150000</v>
      </c>
      <c r="BG69" s="10">
        <v>9</v>
      </c>
      <c r="BH69" s="8" t="s">
        <v>77</v>
      </c>
      <c r="BI69" s="9">
        <v>150000</v>
      </c>
      <c r="BJ69" s="10">
        <v>9</v>
      </c>
      <c r="BK69" s="8" t="s">
        <v>77</v>
      </c>
      <c r="BL69" s="9">
        <f>+I69/3</f>
        <v>94288</v>
      </c>
      <c r="BM69" s="10">
        <v>9</v>
      </c>
      <c r="BN69" s="8" t="s">
        <v>77</v>
      </c>
      <c r="BO69" s="9">
        <v>150000</v>
      </c>
      <c r="BP69" s="10">
        <v>9</v>
      </c>
      <c r="BQ69" s="8" t="s">
        <v>77</v>
      </c>
      <c r="BR69" s="9">
        <v>150000</v>
      </c>
      <c r="BS69" s="10">
        <v>9</v>
      </c>
      <c r="BT69" s="8" t="s">
        <v>74</v>
      </c>
      <c r="BU69" s="9">
        <v>175000</v>
      </c>
      <c r="BV69" s="10">
        <v>9</v>
      </c>
      <c r="BW69" s="8" t="s">
        <v>77</v>
      </c>
      <c r="BX69" s="9">
        <v>180000</v>
      </c>
      <c r="BY69" s="10">
        <v>9</v>
      </c>
      <c r="BZ69" s="8" t="s">
        <v>74</v>
      </c>
      <c r="CA69" s="9">
        <v>153000</v>
      </c>
      <c r="CB69" s="10">
        <f t="shared" si="295"/>
        <v>9</v>
      </c>
      <c r="CC69" s="8" t="str">
        <f t="shared" si="296"/>
        <v>W3</v>
      </c>
      <c r="CD69" s="9">
        <f t="shared" si="297"/>
        <v>153000</v>
      </c>
      <c r="CE69" s="10">
        <f t="shared" si="298"/>
        <v>9</v>
      </c>
      <c r="CF69" s="8" t="str">
        <f t="shared" si="299"/>
        <v>W3</v>
      </c>
      <c r="CG69" s="9">
        <f t="shared" si="300"/>
        <v>153000</v>
      </c>
      <c r="CH69" s="10">
        <f t="shared" si="301"/>
        <v>9</v>
      </c>
      <c r="CI69" s="8" t="str">
        <f t="shared" si="302"/>
        <v>W3</v>
      </c>
      <c r="CJ69" s="9">
        <f t="shared" si="303"/>
        <v>153000</v>
      </c>
      <c r="CK69" s="10">
        <f t="shared" si="304"/>
        <v>9</v>
      </c>
      <c r="CL69" s="8" t="str">
        <f t="shared" si="251"/>
        <v>W3</v>
      </c>
      <c r="CM69" s="9">
        <f t="shared" si="252"/>
        <v>153000</v>
      </c>
      <c r="CN69" s="10">
        <f t="shared" si="253"/>
        <v>9</v>
      </c>
      <c r="CO69" s="8" t="str">
        <f t="shared" si="254"/>
        <v>W3</v>
      </c>
      <c r="CP69" s="9">
        <f t="shared" si="442"/>
        <v>153000</v>
      </c>
      <c r="CQ69" s="10">
        <f t="shared" si="255"/>
        <v>9</v>
      </c>
      <c r="CR69" s="8" t="str">
        <f t="shared" si="256"/>
        <v>W3</v>
      </c>
      <c r="CS69" s="9">
        <f t="shared" si="257"/>
        <v>153000</v>
      </c>
      <c r="CT69" s="10">
        <f t="shared" si="258"/>
        <v>9</v>
      </c>
      <c r="CU69" s="8" t="str">
        <f t="shared" si="259"/>
        <v>W3</v>
      </c>
      <c r="CV69" s="9">
        <f t="shared" si="260"/>
        <v>153000</v>
      </c>
      <c r="CW69" s="10">
        <f t="shared" si="261"/>
        <v>9</v>
      </c>
      <c r="CX69" s="8" t="str">
        <f t="shared" si="262"/>
        <v>W3</v>
      </c>
      <c r="CY69" s="9">
        <f t="shared" si="263"/>
        <v>153000</v>
      </c>
      <c r="CZ69" s="10">
        <f t="shared" si="264"/>
        <v>9</v>
      </c>
      <c r="DA69" s="8" t="str">
        <f t="shared" si="265"/>
        <v>W3</v>
      </c>
      <c r="DB69" s="9">
        <f t="shared" si="266"/>
        <v>153000</v>
      </c>
      <c r="DC69" s="10">
        <f t="shared" si="267"/>
        <v>9</v>
      </c>
      <c r="DD69" s="8" t="str">
        <f t="shared" si="268"/>
        <v>W3</v>
      </c>
      <c r="DE69" s="9">
        <f t="shared" si="269"/>
        <v>153000</v>
      </c>
      <c r="DF69" s="10">
        <f t="shared" si="270"/>
        <v>9</v>
      </c>
      <c r="DG69" s="8" t="str">
        <f t="shared" si="271"/>
        <v>W3</v>
      </c>
      <c r="DH69" s="9">
        <f t="shared" si="272"/>
        <v>153000</v>
      </c>
      <c r="DI69" s="10">
        <f t="shared" si="273"/>
        <v>9</v>
      </c>
      <c r="DK69" s="8">
        <f>IFERROR(ROUNDUP(+B69/$AQ69,0),0)</f>
        <v>0</v>
      </c>
      <c r="DL69" s="9">
        <f>IFERROR(ROUNDUP(+C69/$AT69,0),0)</f>
        <v>0</v>
      </c>
      <c r="DM69" s="9">
        <f>IFERROR(ROUNDUP(+D69/$AW69,0),0)</f>
        <v>1</v>
      </c>
      <c r="DN69" s="9">
        <f>IFERROR(ROUNDUP(+E69/$AZ69,0),0)</f>
        <v>1</v>
      </c>
      <c r="DO69" s="9">
        <f>IFERROR(ROUNDUP(+F69/$BC69,0),0)</f>
        <v>0</v>
      </c>
      <c r="DP69" s="9">
        <f>IFERROR(ROUNDUP(+G69/$BF69,0),0)</f>
        <v>0</v>
      </c>
      <c r="DQ69" s="9">
        <f>IFERROR(ROUNDUP(+$H69/$BI69,0),0)</f>
        <v>0</v>
      </c>
      <c r="DR69" s="116">
        <f>IFERROR(ROUNDUP(+I69/$BL69,0),0)</f>
        <v>3</v>
      </c>
      <c r="DS69" s="9">
        <f>IFERROR(ROUNDUP(J69/BO69,0),0)</f>
        <v>0</v>
      </c>
      <c r="DT69" s="9">
        <f>IFERROR(ROUNDUP(+K69/BR69,0),0)</f>
        <v>0</v>
      </c>
      <c r="DU69" s="163">
        <v>3</v>
      </c>
      <c r="DV69" s="10">
        <f>IFERROR(ROUNDUP(+R69/BX69,0),0)</f>
        <v>1</v>
      </c>
      <c r="DW69" s="9">
        <f>IFERROR(ROUNDUP(+V69/CA69,0),0)</f>
        <v>1</v>
      </c>
      <c r="DX69" s="9">
        <f>IFERROR(ROUNDUP(+Y69/CD69,0),0)</f>
        <v>1</v>
      </c>
      <c r="DY69" s="9">
        <f>IFERROR(ROUNDUP(+AE69/CG69,0),0)</f>
        <v>0</v>
      </c>
      <c r="DZ69" s="9">
        <f>IFERROR(ROUNDUP(+AF69/CJ69,0),0)</f>
        <v>2</v>
      </c>
      <c r="EA69" s="9">
        <f>IFERROR(ROUNDUP(+AG69/CM69,0),0)</f>
        <v>2</v>
      </c>
      <c r="EB69" s="9">
        <f>IFERROR(ROUNDUP(+AH69/CP69,0),0)</f>
        <v>0</v>
      </c>
      <c r="EC69" s="9">
        <f>IFERROR(ROUNDUP(+AI69/CS69,0),0)</f>
        <v>0</v>
      </c>
      <c r="ED69" s="9">
        <f>IFERROR(ROUNDUP(+AJ69/CV69,0),0)</f>
        <v>0</v>
      </c>
      <c r="EE69" s="9">
        <f>IFERROR(ROUNDUP(+AK69/CY69,0),0)</f>
        <v>0</v>
      </c>
      <c r="EF69" s="9">
        <f>IFERROR(ROUNDUP(+AL69/DB69,0),0)</f>
        <v>0</v>
      </c>
      <c r="EG69" s="9">
        <f>IFERROR(ROUNDUP(+AM69/DE69,0),0)</f>
        <v>0</v>
      </c>
      <c r="EH69" s="9">
        <f>IFERROR(ROUNDUP(+AN69/DH69,0),0)</f>
        <v>0</v>
      </c>
      <c r="EJ69" s="8">
        <f t="shared" si="305"/>
        <v>0</v>
      </c>
      <c r="EK69" s="9">
        <f t="shared" si="306"/>
        <v>0</v>
      </c>
      <c r="EL69" s="9">
        <f t="shared" si="307"/>
        <v>9</v>
      </c>
      <c r="EM69" s="9">
        <f t="shared" si="308"/>
        <v>9</v>
      </c>
      <c r="EN69" s="9">
        <f t="shared" si="309"/>
        <v>0</v>
      </c>
      <c r="EO69" s="9">
        <f t="shared" si="310"/>
        <v>0</v>
      </c>
      <c r="EP69" s="9">
        <f t="shared" si="275"/>
        <v>0</v>
      </c>
      <c r="EQ69" s="9">
        <f t="shared" si="276"/>
        <v>27</v>
      </c>
      <c r="ER69" s="9">
        <f t="shared" si="277"/>
        <v>0</v>
      </c>
      <c r="ES69" s="9">
        <f t="shared" si="278"/>
        <v>0</v>
      </c>
      <c r="ET69" s="9">
        <f t="shared" si="279"/>
        <v>27</v>
      </c>
      <c r="EU69" s="10">
        <f t="shared" si="280"/>
        <v>9</v>
      </c>
      <c r="EV69" s="9">
        <f t="shared" si="281"/>
        <v>9</v>
      </c>
      <c r="EW69" s="9">
        <f t="shared" si="282"/>
        <v>9</v>
      </c>
      <c r="EX69" s="9">
        <f t="shared" si="283"/>
        <v>0</v>
      </c>
      <c r="EY69" s="9">
        <f t="shared" si="284"/>
        <v>18</v>
      </c>
      <c r="EZ69" s="9">
        <f t="shared" si="285"/>
        <v>18</v>
      </c>
      <c r="FA69" s="9">
        <f t="shared" si="286"/>
        <v>0</v>
      </c>
      <c r="FB69" s="9">
        <f t="shared" si="287"/>
        <v>0</v>
      </c>
      <c r="FC69" s="9">
        <f t="shared" si="288"/>
        <v>0</v>
      </c>
      <c r="FD69" s="9">
        <f t="shared" si="289"/>
        <v>0</v>
      </c>
      <c r="FE69" s="9">
        <f t="shared" si="290"/>
        <v>0</v>
      </c>
      <c r="FF69" s="9">
        <f t="shared" si="291"/>
        <v>0</v>
      </c>
      <c r="FG69" s="9">
        <f t="shared" si="292"/>
        <v>0</v>
      </c>
      <c r="FO69" t="str">
        <f t="shared" si="615"/>
        <v xml:space="preserve">            (85203) CHICKEN NOODLE SOUPW2</v>
      </c>
      <c r="FP69" t="str">
        <f t="shared" si="616"/>
        <v xml:space="preserve">            (85203) CHICKEN NOODLE SOUPW3</v>
      </c>
      <c r="FQ69" t="str">
        <f t="shared" si="617"/>
        <v xml:space="preserve">            (85203) CHICKEN NOODLE SOUPW2</v>
      </c>
      <c r="FR69" t="s">
        <v>872</v>
      </c>
    </row>
    <row r="70" spans="1:174" s="48" customFormat="1" outlineLevel="1" x14ac:dyDescent="0.25">
      <c r="A70" s="217" t="s">
        <v>48</v>
      </c>
      <c r="B70" s="175">
        <f t="shared" ref="B70:E70" si="621">SUM(B71:B74)</f>
        <v>0</v>
      </c>
      <c r="C70" s="175">
        <f t="shared" si="621"/>
        <v>0</v>
      </c>
      <c r="D70" s="175">
        <f t="shared" si="621"/>
        <v>0</v>
      </c>
      <c r="E70" s="175">
        <f t="shared" si="621"/>
        <v>0</v>
      </c>
      <c r="F70" s="175">
        <f t="shared" ref="F70:G70" si="622">SUM(F71:F74)</f>
        <v>0</v>
      </c>
      <c r="G70" s="175">
        <f t="shared" si="622"/>
        <v>0</v>
      </c>
      <c r="H70" s="175">
        <f t="shared" ref="H70:I70" si="623">SUM(H71:H74)</f>
        <v>0</v>
      </c>
      <c r="I70" s="175">
        <f t="shared" si="623"/>
        <v>0</v>
      </c>
      <c r="J70" s="175">
        <f t="shared" ref="J70:L70" si="624">SUM(J71:J74)</f>
        <v>0</v>
      </c>
      <c r="K70" s="175">
        <f t="shared" ref="K70" si="625">SUM(K71:K74)</f>
        <v>0</v>
      </c>
      <c r="L70" s="175">
        <f t="shared" si="624"/>
        <v>0</v>
      </c>
      <c r="M70" s="218">
        <f t="shared" ref="M70" si="626">SUM(M71:M74)</f>
        <v>0</v>
      </c>
      <c r="N70" s="175">
        <f>-_xlfn.XLOOKUP($FR70,'[2]Fds Pivot'!$A:$A,'[2]Fds Pivot'!$G:$G,0)</f>
        <v>0</v>
      </c>
      <c r="O70" s="175">
        <f t="shared" ref="O70" si="627">SUM(O71:O74)</f>
        <v>0</v>
      </c>
      <c r="P70" s="224"/>
      <c r="Q70" s="218">
        <f t="shared" ref="Q70" si="628">SUM(Q71:Q74)</f>
        <v>0</v>
      </c>
      <c r="R70" s="175">
        <f>-_xlfn.XLOOKUP($FR70,'[2]Fds Pivot'!$A:$A,'[2]Fds Pivot'!$G:$G,0)</f>
        <v>0</v>
      </c>
      <c r="S70" s="175">
        <f>-_xlfn.XLOOKUP($FR70,'[2]Fds Pivot'!$A:$A,'[2]Fds Pivot'!$G:$G,0)</f>
        <v>0</v>
      </c>
      <c r="T70" s="219">
        <f t="shared" ref="T70" si="629">SUM(T71:T74)</f>
        <v>0</v>
      </c>
      <c r="U70" s="175"/>
      <c r="V70" s="220"/>
      <c r="W70" s="220"/>
      <c r="X70" s="220">
        <f t="shared" ref="X70" si="630">SUM(X71:X74)</f>
        <v>0</v>
      </c>
      <c r="Y70" s="243">
        <f>SUM(Y71:Y74)</f>
        <v>0</v>
      </c>
      <c r="Z70" s="220">
        <f>SUM(Z71:Z74)</f>
        <v>0</v>
      </c>
      <c r="AA70" s="220">
        <f>SUM(AA71:AA74)</f>
        <v>0</v>
      </c>
      <c r="AB70" s="244">
        <f>SUM(AB71:AB75)</f>
        <v>0</v>
      </c>
      <c r="AC70" s="243">
        <f>SUM(AC71:AC74)</f>
        <v>0</v>
      </c>
      <c r="AD70" s="220">
        <f>SUM(AD71:AD74)</f>
        <v>0</v>
      </c>
      <c r="AE70" s="244">
        <f>SUM(AE71:AE74)</f>
        <v>0</v>
      </c>
      <c r="AF70" s="220">
        <f>SUM(AF71:AF74)</f>
        <v>0</v>
      </c>
      <c r="AG70" s="220">
        <f>SUM(AG71:AG74)</f>
        <v>0</v>
      </c>
      <c r="AH70" s="220">
        <f t="shared" ref="AH70:AI70" si="631">58333*$AO$26</f>
        <v>43749.75</v>
      </c>
      <c r="AI70" s="220">
        <f t="shared" si="631"/>
        <v>43749.75</v>
      </c>
      <c r="AJ70" s="220">
        <f>79172*$AO$26</f>
        <v>59379</v>
      </c>
      <c r="AK70" s="220">
        <f>79166*$AO$26</f>
        <v>59374.5</v>
      </c>
      <c r="AL70" s="220">
        <f t="shared" ref="AL70:AN70" si="632">79166*$AO$26</f>
        <v>59374.5</v>
      </c>
      <c r="AM70" s="220">
        <f t="shared" si="632"/>
        <v>59374.5</v>
      </c>
      <c r="AN70" s="220">
        <f t="shared" si="632"/>
        <v>59374.5</v>
      </c>
      <c r="AO70" s="179"/>
      <c r="AP70" s="221"/>
      <c r="AQ70" s="175"/>
      <c r="AR70" s="222"/>
      <c r="AS70" s="221"/>
      <c r="AT70" s="175"/>
      <c r="AU70" s="222"/>
      <c r="AV70" s="221"/>
      <c r="AW70" s="175"/>
      <c r="AX70" s="222"/>
      <c r="AY70" s="221"/>
      <c r="AZ70" s="175"/>
      <c r="BA70" s="222"/>
      <c r="BB70" s="221"/>
      <c r="BC70" s="175"/>
      <c r="BD70" s="222"/>
      <c r="BE70" s="221"/>
      <c r="BF70" s="175"/>
      <c r="BG70" s="222"/>
      <c r="BH70" s="221"/>
      <c r="BI70" s="175"/>
      <c r="BJ70" s="222"/>
      <c r="BK70" s="221"/>
      <c r="BL70" s="175"/>
      <c r="BM70" s="222"/>
      <c r="BN70" s="221"/>
      <c r="BO70" s="175"/>
      <c r="BP70" s="222"/>
      <c r="BQ70" s="221"/>
      <c r="BR70" s="175"/>
      <c r="BS70" s="222"/>
      <c r="BT70" s="221"/>
      <c r="BU70" s="175"/>
      <c r="BV70" s="222"/>
      <c r="BW70" s="221"/>
      <c r="BX70" s="175"/>
      <c r="BY70" s="222"/>
      <c r="BZ70" s="221"/>
      <c r="CA70" s="175"/>
      <c r="CB70" s="222"/>
      <c r="CC70" s="221"/>
      <c r="CD70" s="175"/>
      <c r="CE70" s="222"/>
      <c r="CF70" s="221"/>
      <c r="CG70" s="175"/>
      <c r="CH70" s="222"/>
      <c r="CI70" s="221" t="str">
        <f>+CI71</f>
        <v>PT3</v>
      </c>
      <c r="CJ70" s="175">
        <f t="shared" ref="CJ70" si="633">+CJ71</f>
        <v>20000</v>
      </c>
      <c r="CK70" s="222">
        <f t="shared" ref="CK70" si="634">+CK71</f>
        <v>3</v>
      </c>
      <c r="CL70" s="221" t="str">
        <f t="shared" si="251"/>
        <v>PT3</v>
      </c>
      <c r="CM70" s="175">
        <f t="shared" si="252"/>
        <v>20000</v>
      </c>
      <c r="CN70" s="222">
        <f t="shared" si="253"/>
        <v>3</v>
      </c>
      <c r="CO70" s="221" t="str">
        <f t="shared" si="254"/>
        <v>PT3</v>
      </c>
      <c r="CP70" s="175">
        <f t="shared" si="442"/>
        <v>20000</v>
      </c>
      <c r="CQ70" s="222">
        <f t="shared" si="255"/>
        <v>3</v>
      </c>
      <c r="CR70" s="221" t="str">
        <f t="shared" si="256"/>
        <v>PT3</v>
      </c>
      <c r="CS70" s="175">
        <f t="shared" si="257"/>
        <v>20000</v>
      </c>
      <c r="CT70" s="222">
        <f t="shared" si="258"/>
        <v>3</v>
      </c>
      <c r="CU70" s="221" t="str">
        <f t="shared" si="259"/>
        <v>PT3</v>
      </c>
      <c r="CV70" s="175">
        <f t="shared" si="260"/>
        <v>20000</v>
      </c>
      <c r="CW70" s="222">
        <f t="shared" si="261"/>
        <v>3</v>
      </c>
      <c r="CX70" s="221" t="str">
        <f t="shared" si="262"/>
        <v>PT3</v>
      </c>
      <c r="CY70" s="175">
        <f t="shared" si="263"/>
        <v>20000</v>
      </c>
      <c r="CZ70" s="222">
        <f t="shared" si="264"/>
        <v>3</v>
      </c>
      <c r="DA70" s="221" t="str">
        <f t="shared" si="265"/>
        <v>PT3</v>
      </c>
      <c r="DB70" s="175">
        <f t="shared" si="266"/>
        <v>20000</v>
      </c>
      <c r="DC70" s="222">
        <f t="shared" si="267"/>
        <v>3</v>
      </c>
      <c r="DD70" s="221" t="str">
        <f t="shared" si="268"/>
        <v>PT3</v>
      </c>
      <c r="DE70" s="175">
        <f t="shared" si="269"/>
        <v>20000</v>
      </c>
      <c r="DF70" s="222">
        <f t="shared" si="270"/>
        <v>3</v>
      </c>
      <c r="DG70" s="221" t="str">
        <f t="shared" si="271"/>
        <v>PT3</v>
      </c>
      <c r="DH70" s="175">
        <f t="shared" si="272"/>
        <v>20000</v>
      </c>
      <c r="DI70" s="222">
        <f t="shared" si="273"/>
        <v>3</v>
      </c>
      <c r="DK70" s="221"/>
      <c r="DL70" s="175"/>
      <c r="DM70" s="175"/>
      <c r="DN70" s="175"/>
      <c r="DO70" s="175"/>
      <c r="DP70" s="175"/>
      <c r="DQ70" s="175"/>
      <c r="DR70" s="175"/>
      <c r="DS70" s="175"/>
      <c r="DT70" s="175"/>
      <c r="DU70" s="175"/>
      <c r="DV70" s="222"/>
      <c r="DW70" s="175">
        <f>IFERROR(ROUNDUP(+Y70/CA70,0),0)</f>
        <v>0</v>
      </c>
      <c r="DX70" s="175">
        <f>IFERROR(ROUNDUP(+AE70/CD70,0),0)</f>
        <v>0</v>
      </c>
      <c r="DY70" s="175">
        <f>IFERROR(ROUNDUP(+AF70/CG70,0),0)</f>
        <v>0</v>
      </c>
      <c r="DZ70" s="175">
        <f>IFERROR(ROUNDUP(+AG70/CJ70,0),0)</f>
        <v>0</v>
      </c>
      <c r="EA70" s="175">
        <f>IFERROR(ROUNDUP(+AH70/CM70,0),0)</f>
        <v>3</v>
      </c>
      <c r="EB70" s="175">
        <f>IFERROR(ROUNDUP(+AI70/CP70,0),0)</f>
        <v>3</v>
      </c>
      <c r="EC70" s="175">
        <f>IFERROR(ROUNDUP(+AJ70/CS70,0),0)</f>
        <v>3</v>
      </c>
      <c r="ED70" s="175">
        <f>IFERROR(ROUNDUP(+AK70/CV70,0),0)</f>
        <v>3</v>
      </c>
      <c r="EE70" s="175">
        <f>IFERROR(ROUNDUP(+AL70/CY70,0),0)</f>
        <v>3</v>
      </c>
      <c r="EF70" s="175">
        <f>IFERROR(ROUNDUP(+AM70/DB70,0),0)</f>
        <v>3</v>
      </c>
      <c r="EG70" s="175">
        <f>IFERROR(ROUNDUP(+AN70/DE70,0),0)</f>
        <v>3</v>
      </c>
      <c r="EH70" s="175">
        <f>IFERROR(ROUNDUP(+#REF!/DH70,0),0)</f>
        <v>0</v>
      </c>
      <c r="EJ70" s="221">
        <f t="shared" si="305"/>
        <v>0</v>
      </c>
      <c r="EK70" s="175">
        <f t="shared" si="306"/>
        <v>0</v>
      </c>
      <c r="EL70" s="175">
        <f t="shared" si="307"/>
        <v>0</v>
      </c>
      <c r="EM70" s="175">
        <f t="shared" si="308"/>
        <v>0</v>
      </c>
      <c r="EN70" s="175">
        <f t="shared" si="309"/>
        <v>0</v>
      </c>
      <c r="EO70" s="175">
        <f t="shared" si="310"/>
        <v>0</v>
      </c>
      <c r="EP70" s="175">
        <f t="shared" si="275"/>
        <v>0</v>
      </c>
      <c r="EQ70" s="175">
        <f t="shared" si="276"/>
        <v>0</v>
      </c>
      <c r="ER70" s="175">
        <f t="shared" si="277"/>
        <v>0</v>
      </c>
      <c r="ES70" s="175">
        <f t="shared" si="278"/>
        <v>0</v>
      </c>
      <c r="ET70" s="175">
        <f t="shared" si="279"/>
        <v>0</v>
      </c>
      <c r="EU70" s="222">
        <f t="shared" si="280"/>
        <v>0</v>
      </c>
      <c r="EV70" s="175">
        <f t="shared" si="281"/>
        <v>0</v>
      </c>
      <c r="EW70" s="175">
        <f t="shared" si="282"/>
        <v>0</v>
      </c>
      <c r="EX70" s="175">
        <f t="shared" si="283"/>
        <v>0</v>
      </c>
      <c r="EY70" s="175">
        <f t="shared" si="284"/>
        <v>0</v>
      </c>
      <c r="EZ70" s="175">
        <f t="shared" si="285"/>
        <v>9</v>
      </c>
      <c r="FA70" s="175">
        <f t="shared" si="286"/>
        <v>9</v>
      </c>
      <c r="FB70" s="175">
        <f t="shared" si="287"/>
        <v>9</v>
      </c>
      <c r="FC70" s="175">
        <f t="shared" si="288"/>
        <v>9</v>
      </c>
      <c r="FD70" s="175">
        <f t="shared" si="289"/>
        <v>9</v>
      </c>
      <c r="FE70" s="175">
        <f t="shared" si="290"/>
        <v>9</v>
      </c>
      <c r="FF70" s="175">
        <f t="shared" si="291"/>
        <v>9</v>
      </c>
      <c r="FG70" s="175">
        <f t="shared" si="292"/>
        <v>0</v>
      </c>
      <c r="FO70" s="48" t="str">
        <f t="shared" si="615"/>
        <v>TRAYS</v>
      </c>
      <c r="FP70" s="48" t="str">
        <f t="shared" si="616"/>
        <v>TRAYS</v>
      </c>
      <c r="FQ70" s="48" t="str">
        <f t="shared" si="617"/>
        <v>TRAYS</v>
      </c>
      <c r="FR70" s="48">
        <v>0</v>
      </c>
    </row>
    <row r="71" spans="1:174" outlineLevel="2" x14ac:dyDescent="0.25">
      <c r="A71" s="43" t="s">
        <v>49</v>
      </c>
      <c r="B71" s="9">
        <f>SUMIF(Prophix!$Q:$Q,'Fds Units'!$A71,Prophix!D:D)</f>
        <v>0</v>
      </c>
      <c r="C71" s="9">
        <f>SUMIF(Prophix!$Q:$Q,'Fds Units'!$A71,Prophix!E:E)</f>
        <v>0</v>
      </c>
      <c r="D71" s="9">
        <f>SUMIF(Prophix!$Q:$Q,'Fds Units'!$A71,Prophix!F:F)</f>
        <v>0</v>
      </c>
      <c r="E71" s="9">
        <f>SUMIF(Prophix!$Q:$Q,'Fds Units'!$A71,Prophix!G:G)</f>
        <v>0</v>
      </c>
      <c r="F71" s="9">
        <f>SUMIF(Prophix!$Q:$Q,'Fds Units'!$A71,Prophix!H:H)</f>
        <v>0</v>
      </c>
      <c r="G71" s="9">
        <f>SUMIF(Prophix!$Q:$Q,'Fds Units'!$A71,Prophix!I:I)</f>
        <v>0</v>
      </c>
      <c r="H71" s="9">
        <f>SUMIF(Prophix!$Q:$Q,'Fds Units'!$A71,Prophix!J:J)</f>
        <v>0</v>
      </c>
      <c r="I71" s="9">
        <f>SUMIF(Prophix!$Q:$Q,'Fds Units'!$A71,Prophix!K:K)</f>
        <v>0</v>
      </c>
      <c r="J71" s="9">
        <f>SUMIF(Prophix!$Q:$Q,'Fds Units'!$A71,Prophix!L:L)</f>
        <v>0</v>
      </c>
      <c r="K71" s="9">
        <f>SUMIF(Prophix!$Q:$Q,'Fds Units'!$A71,Prophix!M:M)</f>
        <v>0</v>
      </c>
      <c r="L71" s="92">
        <f>_xlfn.XLOOKUP(FO71,Schedule!Z:Z,Schedule!Y:Y,0)</f>
        <v>0</v>
      </c>
      <c r="M71" s="133"/>
      <c r="N71" s="92">
        <f>SUMIF(Schedule!$R:$R,$FP71,Schedule!P:P)</f>
        <v>0</v>
      </c>
      <c r="O71" s="9">
        <f t="shared" ref="O71:O74" si="635">+N71-M71</f>
        <v>0</v>
      </c>
      <c r="P71" s="142"/>
      <c r="Q71" s="133">
        <f t="shared" ref="Q71:Q74" si="636">+P71-O71</f>
        <v>0</v>
      </c>
      <c r="R71" s="92">
        <f>SUMIF(Schedule!$R:$R,$FQ71,Schedule!Q:Q)</f>
        <v>0</v>
      </c>
      <c r="S71" s="92"/>
      <c r="T71" s="186">
        <f t="shared" ref="T71:T74" si="637">+R71-Q71</f>
        <v>0</v>
      </c>
      <c r="U71" s="9"/>
      <c r="V71" s="9"/>
      <c r="W71" s="9"/>
      <c r="X71" s="9">
        <f>U71-W71</f>
        <v>0</v>
      </c>
      <c r="Y71" s="8">
        <v>0</v>
      </c>
      <c r="Z71" s="9">
        <v>0</v>
      </c>
      <c r="AA71" s="9">
        <v>0</v>
      </c>
      <c r="AB71" s="242">
        <f t="shared" si="446"/>
        <v>0</v>
      </c>
      <c r="AC71" s="241">
        <v>0</v>
      </c>
      <c r="AD71" s="165">
        <v>0</v>
      </c>
      <c r="AE71" s="242">
        <v>0</v>
      </c>
      <c r="AF71" s="9">
        <v>0</v>
      </c>
      <c r="AG71" s="9"/>
      <c r="AH71" s="9"/>
      <c r="AI71" s="9"/>
      <c r="AJ71" s="9"/>
      <c r="AK71" s="9"/>
      <c r="AL71" s="9"/>
      <c r="AM71" s="9"/>
      <c r="AN71" s="9"/>
      <c r="AO71" s="59"/>
      <c r="AP71" s="8" t="s">
        <v>73</v>
      </c>
      <c r="AQ71" s="9">
        <v>20000</v>
      </c>
      <c r="AR71" s="10">
        <v>3</v>
      </c>
      <c r="AS71" s="8" t="s">
        <v>73</v>
      </c>
      <c r="AT71" s="9">
        <v>20000</v>
      </c>
      <c r="AU71" s="10">
        <v>3</v>
      </c>
      <c r="AV71" s="8" t="s">
        <v>73</v>
      </c>
      <c r="AW71" s="9">
        <v>20000</v>
      </c>
      <c r="AX71" s="10">
        <v>3</v>
      </c>
      <c r="AY71" s="8" t="s">
        <v>73</v>
      </c>
      <c r="AZ71" s="9">
        <v>20000</v>
      </c>
      <c r="BA71" s="10">
        <v>3</v>
      </c>
      <c r="BB71" s="8" t="s">
        <v>73</v>
      </c>
      <c r="BC71" s="9">
        <v>20000</v>
      </c>
      <c r="BD71" s="10">
        <v>3</v>
      </c>
      <c r="BE71" s="8" t="s">
        <v>73</v>
      </c>
      <c r="BF71" s="9">
        <v>20000</v>
      </c>
      <c r="BG71" s="10">
        <v>3</v>
      </c>
      <c r="BH71" s="8" t="s">
        <v>73</v>
      </c>
      <c r="BI71" s="9">
        <v>20000</v>
      </c>
      <c r="BJ71" s="10">
        <v>3</v>
      </c>
      <c r="BK71" s="8" t="s">
        <v>73</v>
      </c>
      <c r="BL71" s="9">
        <v>20000</v>
      </c>
      <c r="BM71" s="10">
        <v>3</v>
      </c>
      <c r="BN71" s="8" t="s">
        <v>73</v>
      </c>
      <c r="BO71" s="9">
        <v>20000</v>
      </c>
      <c r="BP71" s="10">
        <v>3</v>
      </c>
      <c r="BQ71" s="8" t="s">
        <v>73</v>
      </c>
      <c r="BR71" s="9">
        <v>20000</v>
      </c>
      <c r="BS71" s="10">
        <v>3</v>
      </c>
      <c r="BT71" s="8" t="s">
        <v>73</v>
      </c>
      <c r="BU71" s="9">
        <v>20000</v>
      </c>
      <c r="BV71" s="10">
        <v>3</v>
      </c>
      <c r="BW71" s="8" t="s">
        <v>73</v>
      </c>
      <c r="BX71" s="9">
        <v>20000</v>
      </c>
      <c r="BY71" s="10">
        <v>3</v>
      </c>
      <c r="BZ71" s="8" t="str">
        <f t="shared" si="294"/>
        <v>PT3</v>
      </c>
      <c r="CA71" s="9">
        <f t="shared" ref="CA71:CA74" si="638">+BX71</f>
        <v>20000</v>
      </c>
      <c r="CB71" s="10">
        <f t="shared" si="295"/>
        <v>3</v>
      </c>
      <c r="CC71" s="8" t="str">
        <f t="shared" si="296"/>
        <v>PT3</v>
      </c>
      <c r="CD71" s="9">
        <f t="shared" si="297"/>
        <v>20000</v>
      </c>
      <c r="CE71" s="10">
        <f t="shared" si="298"/>
        <v>3</v>
      </c>
      <c r="CF71" s="8" t="str">
        <f t="shared" si="299"/>
        <v>PT3</v>
      </c>
      <c r="CG71" s="9">
        <f t="shared" si="300"/>
        <v>20000</v>
      </c>
      <c r="CH71" s="10">
        <f t="shared" si="301"/>
        <v>3</v>
      </c>
      <c r="CI71" s="8" t="str">
        <f t="shared" si="302"/>
        <v>PT3</v>
      </c>
      <c r="CJ71" s="9">
        <f t="shared" si="303"/>
        <v>20000</v>
      </c>
      <c r="CK71" s="10">
        <f t="shared" si="304"/>
        <v>3</v>
      </c>
      <c r="CL71" s="8" t="str">
        <f t="shared" si="251"/>
        <v>PT3</v>
      </c>
      <c r="CM71" s="9">
        <f t="shared" si="252"/>
        <v>20000</v>
      </c>
      <c r="CN71" s="10">
        <f t="shared" si="253"/>
        <v>3</v>
      </c>
      <c r="CO71" s="8" t="str">
        <f t="shared" si="254"/>
        <v>PT3</v>
      </c>
      <c r="CP71" s="9">
        <f t="shared" si="442"/>
        <v>20000</v>
      </c>
      <c r="CQ71" s="10">
        <f t="shared" si="255"/>
        <v>3</v>
      </c>
      <c r="CR71" s="8" t="str">
        <f t="shared" si="256"/>
        <v>PT3</v>
      </c>
      <c r="CS71" s="9">
        <f t="shared" si="257"/>
        <v>20000</v>
      </c>
      <c r="CT71" s="10">
        <f t="shared" si="258"/>
        <v>3</v>
      </c>
      <c r="CU71" s="8" t="str">
        <f t="shared" si="259"/>
        <v>PT3</v>
      </c>
      <c r="CV71" s="9">
        <f t="shared" si="260"/>
        <v>20000</v>
      </c>
      <c r="CW71" s="10">
        <f t="shared" si="261"/>
        <v>3</v>
      </c>
      <c r="CX71" s="8" t="str">
        <f t="shared" si="262"/>
        <v>PT3</v>
      </c>
      <c r="CY71" s="9">
        <f t="shared" si="263"/>
        <v>20000</v>
      </c>
      <c r="CZ71" s="10">
        <f t="shared" si="264"/>
        <v>3</v>
      </c>
      <c r="DA71" s="8" t="str">
        <f t="shared" si="265"/>
        <v>PT3</v>
      </c>
      <c r="DB71" s="9">
        <f t="shared" si="266"/>
        <v>20000</v>
      </c>
      <c r="DC71" s="10">
        <f t="shared" si="267"/>
        <v>3</v>
      </c>
      <c r="DD71" s="8" t="str">
        <f t="shared" si="268"/>
        <v>PT3</v>
      </c>
      <c r="DE71" s="9">
        <f t="shared" si="269"/>
        <v>20000</v>
      </c>
      <c r="DF71" s="10">
        <f t="shared" si="270"/>
        <v>3</v>
      </c>
      <c r="DG71" s="8" t="str">
        <f t="shared" si="271"/>
        <v>PT3</v>
      </c>
      <c r="DH71" s="9">
        <f t="shared" si="272"/>
        <v>20000</v>
      </c>
      <c r="DI71" s="10">
        <f t="shared" si="273"/>
        <v>3</v>
      </c>
      <c r="DK71" s="8">
        <f>IFERROR(ROUNDUP(+B71/$AQ71,0),0)</f>
        <v>0</v>
      </c>
      <c r="DL71" s="9">
        <f>IFERROR(ROUNDUP(+C71/$AT71,0),0)</f>
        <v>0</v>
      </c>
      <c r="DM71" s="9">
        <f>IFERROR(ROUNDUP(+D71/$AW71,0),0)</f>
        <v>0</v>
      </c>
      <c r="DN71" s="9">
        <f>IFERROR(ROUNDUP(+E71/$AZ71,0),0)</f>
        <v>0</v>
      </c>
      <c r="DO71" s="9">
        <f>IFERROR(ROUNDUP(+F71/$BC71,0),0)</f>
        <v>0</v>
      </c>
      <c r="DP71" s="9">
        <f>IFERROR(ROUNDUP(+G71/$BF71,0),0)</f>
        <v>0</v>
      </c>
      <c r="DQ71" s="9">
        <f>IFERROR(ROUNDUP(+$H71/$BI71,0),0)</f>
        <v>0</v>
      </c>
      <c r="DR71" s="9">
        <f>IFERROR(ROUNDUP(+I71/$BL71,0),0)</f>
        <v>0</v>
      </c>
      <c r="DS71" s="9">
        <f>IFERROR(ROUNDUP(J71/BO71,0),0)</f>
        <v>0</v>
      </c>
      <c r="DT71" s="9">
        <f>IFERROR(ROUNDUP(+K71/BR71,0),0)</f>
        <v>0</v>
      </c>
      <c r="DU71" s="9">
        <f>IFERROR(ROUNDUP(+N71/BU71,0),0)</f>
        <v>0</v>
      </c>
      <c r="DV71" s="10">
        <f>IFERROR(ROUNDUP(+R71/BX71,0),0)</f>
        <v>0</v>
      </c>
      <c r="DW71" s="9">
        <f>IFERROR(ROUNDUP(+U71/CA71,0),0)</f>
        <v>0</v>
      </c>
      <c r="DX71" s="9">
        <f>IFERROR(ROUNDUP(+Y71/CD71,0),0)</f>
        <v>0</v>
      </c>
      <c r="DY71" s="9">
        <f>IFERROR(ROUNDUP(+AE71/CG71,0),0)</f>
        <v>0</v>
      </c>
      <c r="DZ71" s="9">
        <f>IFERROR(ROUNDUP(+AF71/CJ71,0),0)</f>
        <v>0</v>
      </c>
      <c r="EA71" s="9">
        <f>IFERROR(ROUNDUP(+AG71/CM71,0),0)</f>
        <v>0</v>
      </c>
      <c r="EB71" s="9">
        <f>IFERROR(ROUNDUP(+AH71/CP71,0),0)</f>
        <v>0</v>
      </c>
      <c r="EC71" s="9">
        <f>IFERROR(ROUNDUP(+AI71/CS71,0),0)</f>
        <v>0</v>
      </c>
      <c r="ED71" s="9">
        <f>IFERROR(ROUNDUP(+AJ71/CV71,0),0)</f>
        <v>0</v>
      </c>
      <c r="EE71" s="9">
        <f>IFERROR(ROUNDUP(+AK71/CY71,0),0)</f>
        <v>0</v>
      </c>
      <c r="EF71" s="9">
        <f>IFERROR(ROUNDUP(+AL71/DB71,0),0)</f>
        <v>0</v>
      </c>
      <c r="EG71" s="9">
        <f>IFERROR(ROUNDUP(+AM71/DE71,0),0)</f>
        <v>0</v>
      </c>
      <c r="EH71" s="9">
        <f>IFERROR(ROUNDUP(+AN71/DH71,0),0)</f>
        <v>0</v>
      </c>
      <c r="EJ71" s="8">
        <f t="shared" si="305"/>
        <v>0</v>
      </c>
      <c r="EK71" s="9">
        <f t="shared" si="306"/>
        <v>0</v>
      </c>
      <c r="EL71" s="9">
        <f t="shared" si="307"/>
        <v>0</v>
      </c>
      <c r="EM71" s="9">
        <f t="shared" si="308"/>
        <v>0</v>
      </c>
      <c r="EN71" s="9">
        <f t="shared" si="309"/>
        <v>0</v>
      </c>
      <c r="EO71" s="9">
        <f t="shared" si="310"/>
        <v>0</v>
      </c>
      <c r="EP71" s="9">
        <f t="shared" si="275"/>
        <v>0</v>
      </c>
      <c r="EQ71" s="9">
        <f t="shared" si="276"/>
        <v>0</v>
      </c>
      <c r="ER71" s="9">
        <f t="shared" si="277"/>
        <v>0</v>
      </c>
      <c r="ES71" s="9">
        <f t="shared" si="278"/>
        <v>0</v>
      </c>
      <c r="ET71" s="9">
        <f t="shared" si="279"/>
        <v>0</v>
      </c>
      <c r="EU71" s="10">
        <f t="shared" si="280"/>
        <v>0</v>
      </c>
      <c r="EV71" s="9">
        <f t="shared" si="281"/>
        <v>0</v>
      </c>
      <c r="EW71" s="9">
        <f t="shared" si="282"/>
        <v>0</v>
      </c>
      <c r="EX71" s="9">
        <f t="shared" si="283"/>
        <v>0</v>
      </c>
      <c r="EY71" s="9">
        <f t="shared" si="284"/>
        <v>0</v>
      </c>
      <c r="EZ71" s="9">
        <f t="shared" si="285"/>
        <v>0</v>
      </c>
      <c r="FA71" s="9">
        <f t="shared" si="286"/>
        <v>0</v>
      </c>
      <c r="FB71" s="9">
        <f t="shared" si="287"/>
        <v>0</v>
      </c>
      <c r="FC71" s="9">
        <f t="shared" si="288"/>
        <v>0</v>
      </c>
      <c r="FD71" s="9">
        <f t="shared" si="289"/>
        <v>0</v>
      </c>
      <c r="FE71" s="9">
        <f t="shared" si="290"/>
        <v>0</v>
      </c>
      <c r="FF71" s="9">
        <f t="shared" si="291"/>
        <v>0</v>
      </c>
      <c r="FG71" s="9">
        <f t="shared" si="292"/>
        <v>0</v>
      </c>
      <c r="FO71" t="str">
        <f t="shared" si="615"/>
        <v xml:space="preserve">            (98000-24) FLB CHEESY MAC 7.0 TRAYPT3</v>
      </c>
      <c r="FP71" t="str">
        <f t="shared" si="616"/>
        <v xml:space="preserve">            (98000-24) FLB CHEESY MAC 7.0 TRAYPT3</v>
      </c>
      <c r="FQ71" t="str">
        <f t="shared" si="617"/>
        <v xml:space="preserve">            (98000-24) FLB CHEESY MAC 7.0 TRAYPT3</v>
      </c>
      <c r="FR71" t="s">
        <v>873</v>
      </c>
    </row>
    <row r="72" spans="1:174" outlineLevel="2" x14ac:dyDescent="0.25">
      <c r="A72" s="43" t="s">
        <v>50</v>
      </c>
      <c r="B72" s="9">
        <f>SUMIF(Prophix!$Q:$Q,'Fds Units'!$A72,Prophix!D:D)</f>
        <v>0</v>
      </c>
      <c r="C72" s="9">
        <f>SUMIF(Prophix!$Q:$Q,'Fds Units'!$A72,Prophix!E:E)</f>
        <v>0</v>
      </c>
      <c r="D72" s="9">
        <f>SUMIF(Prophix!$Q:$Q,'Fds Units'!$A72,Prophix!F:F)</f>
        <v>0</v>
      </c>
      <c r="E72" s="9">
        <f>SUMIF(Prophix!$Q:$Q,'Fds Units'!$A72,Prophix!G:G)</f>
        <v>0</v>
      </c>
      <c r="F72" s="9">
        <f>SUMIF(Prophix!$Q:$Q,'Fds Units'!$A72,Prophix!H:H)</f>
        <v>0</v>
      </c>
      <c r="G72" s="9">
        <f>SUMIF(Prophix!$Q:$Q,'Fds Units'!$A72,Prophix!I:I)</f>
        <v>0</v>
      </c>
      <c r="H72" s="9">
        <f>SUMIF(Prophix!$Q:$Q,'Fds Units'!$A72,Prophix!J:J)</f>
        <v>0</v>
      </c>
      <c r="I72" s="9">
        <f>SUMIF(Prophix!$Q:$Q,'Fds Units'!$A72,Prophix!K:K)</f>
        <v>0</v>
      </c>
      <c r="J72" s="9">
        <f>SUMIF(Prophix!$Q:$Q,'Fds Units'!$A72,Prophix!L:L)</f>
        <v>0</v>
      </c>
      <c r="K72" s="9">
        <f>SUMIF(Prophix!$Q:$Q,'Fds Units'!$A72,Prophix!M:M)</f>
        <v>0</v>
      </c>
      <c r="L72" s="92">
        <f>_xlfn.XLOOKUP(FO72,Schedule!Z:Z,Schedule!Y:Y,0)</f>
        <v>0</v>
      </c>
      <c r="M72" s="133"/>
      <c r="N72" s="92">
        <f>SUMIF(Schedule!$R:$R,$FP72,Schedule!P:P)</f>
        <v>0</v>
      </c>
      <c r="O72" s="9">
        <f t="shared" si="635"/>
        <v>0</v>
      </c>
      <c r="P72" s="142"/>
      <c r="Q72" s="133">
        <f t="shared" si="636"/>
        <v>0</v>
      </c>
      <c r="R72" s="92">
        <f>SUMIF(Schedule!$R:$R,$FQ72,Schedule!Q:Q)</f>
        <v>0</v>
      </c>
      <c r="S72" s="92"/>
      <c r="T72" s="186">
        <f t="shared" si="637"/>
        <v>0</v>
      </c>
      <c r="U72" s="9"/>
      <c r="V72" s="9"/>
      <c r="W72" s="9"/>
      <c r="X72" s="9">
        <f>U72-W72</f>
        <v>0</v>
      </c>
      <c r="Y72" s="8">
        <v>0</v>
      </c>
      <c r="Z72" s="9">
        <v>0</v>
      </c>
      <c r="AA72" s="9">
        <v>0</v>
      </c>
      <c r="AB72" s="242">
        <f t="shared" si="446"/>
        <v>0</v>
      </c>
      <c r="AC72" s="241">
        <v>0</v>
      </c>
      <c r="AD72" s="165">
        <v>0</v>
      </c>
      <c r="AE72" s="242">
        <v>0</v>
      </c>
      <c r="AF72" s="9">
        <v>0</v>
      </c>
      <c r="AG72" s="9"/>
      <c r="AH72" s="9"/>
      <c r="AI72" s="9"/>
      <c r="AJ72" s="9"/>
      <c r="AK72" s="9"/>
      <c r="AL72" s="9"/>
      <c r="AM72" s="9"/>
      <c r="AN72" s="9"/>
      <c r="AO72" s="59"/>
      <c r="AP72" s="8" t="s">
        <v>73</v>
      </c>
      <c r="AQ72" s="9">
        <v>20000</v>
      </c>
      <c r="AR72" s="10">
        <v>3</v>
      </c>
      <c r="AS72" s="8" t="s">
        <v>73</v>
      </c>
      <c r="AT72" s="9">
        <v>20000</v>
      </c>
      <c r="AU72" s="10">
        <v>3</v>
      </c>
      <c r="AV72" s="8" t="s">
        <v>73</v>
      </c>
      <c r="AW72" s="9">
        <v>20000</v>
      </c>
      <c r="AX72" s="10">
        <v>3</v>
      </c>
      <c r="AY72" s="8" t="s">
        <v>73</v>
      </c>
      <c r="AZ72" s="9">
        <v>20000</v>
      </c>
      <c r="BA72" s="10">
        <v>3</v>
      </c>
      <c r="BB72" s="8" t="s">
        <v>73</v>
      </c>
      <c r="BC72" s="9">
        <v>20000</v>
      </c>
      <c r="BD72" s="10">
        <v>3</v>
      </c>
      <c r="BE72" s="8" t="s">
        <v>73</v>
      </c>
      <c r="BF72" s="9">
        <v>20000</v>
      </c>
      <c r="BG72" s="10">
        <v>3</v>
      </c>
      <c r="BH72" s="8" t="s">
        <v>73</v>
      </c>
      <c r="BI72" s="9">
        <v>20000</v>
      </c>
      <c r="BJ72" s="10">
        <v>3</v>
      </c>
      <c r="BK72" s="8" t="s">
        <v>73</v>
      </c>
      <c r="BL72" s="9">
        <v>20000</v>
      </c>
      <c r="BM72" s="10">
        <v>3</v>
      </c>
      <c r="BN72" s="8" t="s">
        <v>73</v>
      </c>
      <c r="BO72" s="9">
        <v>20000</v>
      </c>
      <c r="BP72" s="10">
        <v>3</v>
      </c>
      <c r="BQ72" s="8" t="s">
        <v>73</v>
      </c>
      <c r="BR72" s="9">
        <v>20000</v>
      </c>
      <c r="BS72" s="10">
        <v>3</v>
      </c>
      <c r="BT72" s="8" t="s">
        <v>73</v>
      </c>
      <c r="BU72" s="9">
        <v>20000</v>
      </c>
      <c r="BV72" s="10">
        <v>3</v>
      </c>
      <c r="BW72" s="8" t="s">
        <v>73</v>
      </c>
      <c r="BX72" s="9">
        <v>20000</v>
      </c>
      <c r="BY72" s="10">
        <v>3</v>
      </c>
      <c r="BZ72" s="8" t="str">
        <f t="shared" si="294"/>
        <v>PT3</v>
      </c>
      <c r="CA72" s="9">
        <f t="shared" si="638"/>
        <v>20000</v>
      </c>
      <c r="CB72" s="10">
        <f t="shared" si="295"/>
        <v>3</v>
      </c>
      <c r="CC72" s="8" t="str">
        <f t="shared" si="296"/>
        <v>PT3</v>
      </c>
      <c r="CD72" s="9">
        <f t="shared" si="297"/>
        <v>20000</v>
      </c>
      <c r="CE72" s="10">
        <f t="shared" si="298"/>
        <v>3</v>
      </c>
      <c r="CF72" s="8" t="str">
        <f t="shared" si="299"/>
        <v>PT3</v>
      </c>
      <c r="CG72" s="9">
        <f t="shared" si="300"/>
        <v>20000</v>
      </c>
      <c r="CH72" s="10">
        <f t="shared" si="301"/>
        <v>3</v>
      </c>
      <c r="CI72" s="8" t="str">
        <f t="shared" si="302"/>
        <v>PT3</v>
      </c>
      <c r="CJ72" s="9">
        <f t="shared" si="303"/>
        <v>20000</v>
      </c>
      <c r="CK72" s="10">
        <f t="shared" si="304"/>
        <v>3</v>
      </c>
      <c r="CL72" s="8" t="str">
        <f t="shared" si="251"/>
        <v>PT3</v>
      </c>
      <c r="CM72" s="9">
        <f t="shared" si="252"/>
        <v>20000</v>
      </c>
      <c r="CN72" s="10">
        <f t="shared" si="253"/>
        <v>3</v>
      </c>
      <c r="CO72" s="8" t="str">
        <f t="shared" si="254"/>
        <v>PT3</v>
      </c>
      <c r="CP72" s="9">
        <f t="shared" si="442"/>
        <v>20000</v>
      </c>
      <c r="CQ72" s="10">
        <f t="shared" si="255"/>
        <v>3</v>
      </c>
      <c r="CR72" s="8" t="str">
        <f t="shared" si="256"/>
        <v>PT3</v>
      </c>
      <c r="CS72" s="9">
        <f t="shared" si="257"/>
        <v>20000</v>
      </c>
      <c r="CT72" s="10">
        <f t="shared" si="258"/>
        <v>3</v>
      </c>
      <c r="CU72" s="8" t="str">
        <f t="shared" si="259"/>
        <v>PT3</v>
      </c>
      <c r="CV72" s="9">
        <f t="shared" si="260"/>
        <v>20000</v>
      </c>
      <c r="CW72" s="10">
        <f t="shared" si="261"/>
        <v>3</v>
      </c>
      <c r="CX72" s="8" t="str">
        <f t="shared" si="262"/>
        <v>PT3</v>
      </c>
      <c r="CY72" s="9">
        <f t="shared" si="263"/>
        <v>20000</v>
      </c>
      <c r="CZ72" s="10">
        <f t="shared" si="264"/>
        <v>3</v>
      </c>
      <c r="DA72" s="8" t="str">
        <f t="shared" si="265"/>
        <v>PT3</v>
      </c>
      <c r="DB72" s="9">
        <f t="shared" si="266"/>
        <v>20000</v>
      </c>
      <c r="DC72" s="10">
        <f t="shared" si="267"/>
        <v>3</v>
      </c>
      <c r="DD72" s="8" t="str">
        <f t="shared" si="268"/>
        <v>PT3</v>
      </c>
      <c r="DE72" s="9">
        <f t="shared" si="269"/>
        <v>20000</v>
      </c>
      <c r="DF72" s="10">
        <f t="shared" si="270"/>
        <v>3</v>
      </c>
      <c r="DG72" s="8" t="str">
        <f t="shared" si="271"/>
        <v>PT3</v>
      </c>
      <c r="DH72" s="9">
        <f t="shared" si="272"/>
        <v>20000</v>
      </c>
      <c r="DI72" s="10">
        <f t="shared" si="273"/>
        <v>3</v>
      </c>
      <c r="DK72" s="8">
        <f>IFERROR(ROUNDUP(+B72/$AQ72,0),0)</f>
        <v>0</v>
      </c>
      <c r="DL72" s="9">
        <f>IFERROR(ROUNDUP(+C72/$AT72,0),0)</f>
        <v>0</v>
      </c>
      <c r="DM72" s="9">
        <f>IFERROR(ROUNDUP(+D72/$AW72,0),0)</f>
        <v>0</v>
      </c>
      <c r="DN72" s="9">
        <f>IFERROR(ROUNDUP(+E72/$AZ72,0),0)</f>
        <v>0</v>
      </c>
      <c r="DO72" s="9">
        <f>IFERROR(ROUNDUP(+F72/$BC72,0),0)</f>
        <v>0</v>
      </c>
      <c r="DP72" s="9">
        <f>IFERROR(ROUNDUP(+G72/$BF72,0),0)</f>
        <v>0</v>
      </c>
      <c r="DQ72" s="9">
        <f>IFERROR(ROUNDUP(+$H72/$BI72,0),0)</f>
        <v>0</v>
      </c>
      <c r="DR72" s="9">
        <f>IFERROR(ROUNDUP(+I72/$BL72,0),0)</f>
        <v>0</v>
      </c>
      <c r="DS72" s="9">
        <f>IFERROR(ROUNDUP(J72/BO72,0),0)</f>
        <v>0</v>
      </c>
      <c r="DT72" s="9">
        <f>IFERROR(ROUNDUP(+K72/BR72,0),0)</f>
        <v>0</v>
      </c>
      <c r="DU72" s="9">
        <f>IFERROR(ROUNDUP(+N72/BU72,0),0)</f>
        <v>0</v>
      </c>
      <c r="DV72" s="10">
        <f>IFERROR(ROUNDUP(+R72/BX72,0),0)</f>
        <v>0</v>
      </c>
      <c r="DW72" s="9">
        <f>IFERROR(ROUNDUP(+U72/CA72,0),0)</f>
        <v>0</v>
      </c>
      <c r="DX72" s="9">
        <f>IFERROR(ROUNDUP(+Y72/CD72,0),0)</f>
        <v>0</v>
      </c>
      <c r="DY72" s="9">
        <f>IFERROR(ROUNDUP(+AE72/CG72,0),0)</f>
        <v>0</v>
      </c>
      <c r="DZ72" s="9">
        <f>IFERROR(ROUNDUP(+AF72/CJ72,0),0)</f>
        <v>0</v>
      </c>
      <c r="EA72" s="9">
        <f>IFERROR(ROUNDUP(+AG72/CM72,0),0)</f>
        <v>0</v>
      </c>
      <c r="EB72" s="9">
        <f>IFERROR(ROUNDUP(+AH72/CP72,0),0)</f>
        <v>0</v>
      </c>
      <c r="EC72" s="9">
        <f>IFERROR(ROUNDUP(+AI72/CS72,0),0)</f>
        <v>0</v>
      </c>
      <c r="ED72" s="9">
        <f>IFERROR(ROUNDUP(+AJ72/CV72,0),0)</f>
        <v>0</v>
      </c>
      <c r="EE72" s="9">
        <f>IFERROR(ROUNDUP(+AK72/CY72,0),0)</f>
        <v>0</v>
      </c>
      <c r="EF72" s="9">
        <f>IFERROR(ROUNDUP(+AL72/DB72,0),0)</f>
        <v>0</v>
      </c>
      <c r="EG72" s="9">
        <f>IFERROR(ROUNDUP(+AM72/DE72,0),0)</f>
        <v>0</v>
      </c>
      <c r="EH72" s="9">
        <f>IFERROR(ROUNDUP(+AN72/DH72,0),0)</f>
        <v>0</v>
      </c>
      <c r="EJ72" s="8">
        <f t="shared" si="305"/>
        <v>0</v>
      </c>
      <c r="EK72" s="9">
        <f t="shared" si="306"/>
        <v>0</v>
      </c>
      <c r="EL72" s="9">
        <f t="shared" si="307"/>
        <v>0</v>
      </c>
      <c r="EM72" s="9">
        <f t="shared" si="308"/>
        <v>0</v>
      </c>
      <c r="EN72" s="9">
        <f t="shared" si="309"/>
        <v>0</v>
      </c>
      <c r="EO72" s="9">
        <f t="shared" si="310"/>
        <v>0</v>
      </c>
      <c r="EP72" s="9">
        <f t="shared" si="275"/>
        <v>0</v>
      </c>
      <c r="EQ72" s="9">
        <f t="shared" si="276"/>
        <v>0</v>
      </c>
      <c r="ER72" s="9">
        <f t="shared" si="277"/>
        <v>0</v>
      </c>
      <c r="ES72" s="9">
        <f t="shared" si="278"/>
        <v>0</v>
      </c>
      <c r="ET72" s="9">
        <f t="shared" si="279"/>
        <v>0</v>
      </c>
      <c r="EU72" s="10">
        <f t="shared" si="280"/>
        <v>0</v>
      </c>
      <c r="EV72" s="9">
        <f t="shared" si="281"/>
        <v>0</v>
      </c>
      <c r="EW72" s="9">
        <f t="shared" si="282"/>
        <v>0</v>
      </c>
      <c r="EX72" s="9">
        <f t="shared" si="283"/>
        <v>0</v>
      </c>
      <c r="EY72" s="9">
        <f t="shared" si="284"/>
        <v>0</v>
      </c>
      <c r="EZ72" s="9">
        <f t="shared" si="285"/>
        <v>0</v>
      </c>
      <c r="FA72" s="9">
        <f t="shared" si="286"/>
        <v>0</v>
      </c>
      <c r="FB72" s="9">
        <f t="shared" si="287"/>
        <v>0</v>
      </c>
      <c r="FC72" s="9">
        <f t="shared" si="288"/>
        <v>0</v>
      </c>
      <c r="FD72" s="9">
        <f t="shared" si="289"/>
        <v>0</v>
      </c>
      <c r="FE72" s="9">
        <f t="shared" si="290"/>
        <v>0</v>
      </c>
      <c r="FF72" s="9">
        <f t="shared" si="291"/>
        <v>0</v>
      </c>
      <c r="FG72" s="9">
        <f t="shared" si="292"/>
        <v>0</v>
      </c>
      <c r="FO72" t="str">
        <f t="shared" si="615"/>
        <v xml:space="preserve">            (98001-24) FLB JAMBALYA 7.0 TRAYPT3</v>
      </c>
      <c r="FP72" t="str">
        <f t="shared" si="616"/>
        <v xml:space="preserve">            (98001-24) FLB JAMBALYA 7.0 TRAYPT3</v>
      </c>
      <c r="FQ72" t="str">
        <f t="shared" si="617"/>
        <v xml:space="preserve">            (98001-24) FLB JAMBALYA 7.0 TRAYPT3</v>
      </c>
      <c r="FR72" t="s">
        <v>874</v>
      </c>
    </row>
    <row r="73" spans="1:174" outlineLevel="2" x14ac:dyDescent="0.25">
      <c r="A73" s="43" t="s">
        <v>51</v>
      </c>
      <c r="B73" s="9">
        <f>SUMIF(Prophix!$Q:$Q,'Fds Units'!$A73,Prophix!D:D)</f>
        <v>0</v>
      </c>
      <c r="C73" s="9">
        <f>SUMIF(Prophix!$Q:$Q,'Fds Units'!$A73,Prophix!E:E)</f>
        <v>0</v>
      </c>
      <c r="D73" s="9">
        <f>SUMIF(Prophix!$Q:$Q,'Fds Units'!$A73,Prophix!F:F)</f>
        <v>0</v>
      </c>
      <c r="E73" s="9">
        <f>SUMIF(Prophix!$Q:$Q,'Fds Units'!$A73,Prophix!G:G)</f>
        <v>0</v>
      </c>
      <c r="F73" s="9">
        <f>SUMIF(Prophix!$Q:$Q,'Fds Units'!$A73,Prophix!H:H)</f>
        <v>0</v>
      </c>
      <c r="G73" s="9">
        <f>SUMIF(Prophix!$Q:$Q,'Fds Units'!$A73,Prophix!I:I)</f>
        <v>0</v>
      </c>
      <c r="H73" s="9">
        <f>SUMIF(Prophix!$Q:$Q,'Fds Units'!$A73,Prophix!J:J)</f>
        <v>0</v>
      </c>
      <c r="I73" s="9">
        <f>SUMIF(Prophix!$Q:$Q,'Fds Units'!$A73,Prophix!K:K)</f>
        <v>0</v>
      </c>
      <c r="J73" s="9">
        <f>SUMIF(Prophix!$Q:$Q,'Fds Units'!$A73,Prophix!L:L)</f>
        <v>0</v>
      </c>
      <c r="K73" s="9">
        <f>SUMIF(Prophix!$Q:$Q,'Fds Units'!$A73,Prophix!M:M)</f>
        <v>0</v>
      </c>
      <c r="L73" s="92">
        <f>_xlfn.XLOOKUP(FO73,Schedule!Z:Z,Schedule!Y:Y,0)</f>
        <v>0</v>
      </c>
      <c r="M73" s="133"/>
      <c r="N73" s="92">
        <f>SUMIF(Schedule!$R:$R,$FP73,Schedule!P:P)</f>
        <v>0</v>
      </c>
      <c r="O73" s="9">
        <f t="shared" si="635"/>
        <v>0</v>
      </c>
      <c r="P73" s="142"/>
      <c r="Q73" s="133">
        <f t="shared" si="636"/>
        <v>0</v>
      </c>
      <c r="R73" s="92">
        <f>SUMIF(Schedule!$R:$R,$FQ73,Schedule!Q:Q)</f>
        <v>0</v>
      </c>
      <c r="S73" s="92"/>
      <c r="T73" s="186">
        <f t="shared" si="637"/>
        <v>0</v>
      </c>
      <c r="U73" s="9"/>
      <c r="V73" s="9"/>
      <c r="W73" s="9"/>
      <c r="X73" s="9">
        <f>U73-W73</f>
        <v>0</v>
      </c>
      <c r="Y73" s="8">
        <v>0</v>
      </c>
      <c r="Z73" s="9">
        <v>0</v>
      </c>
      <c r="AA73" s="9">
        <v>0</v>
      </c>
      <c r="AB73" s="242">
        <f t="shared" si="446"/>
        <v>0</v>
      </c>
      <c r="AC73" s="241">
        <v>0</v>
      </c>
      <c r="AD73" s="165">
        <v>0</v>
      </c>
      <c r="AE73" s="242">
        <v>0</v>
      </c>
      <c r="AF73" s="9">
        <v>0</v>
      </c>
      <c r="AG73" s="9"/>
      <c r="AH73" s="9"/>
      <c r="AI73" s="9"/>
      <c r="AJ73" s="9"/>
      <c r="AK73" s="9"/>
      <c r="AL73" s="9"/>
      <c r="AM73" s="9"/>
      <c r="AN73" s="9"/>
      <c r="AO73" s="59"/>
      <c r="AP73" s="8" t="s">
        <v>73</v>
      </c>
      <c r="AQ73" s="9">
        <v>20000</v>
      </c>
      <c r="AR73" s="10">
        <v>3</v>
      </c>
      <c r="AS73" s="8" t="s">
        <v>73</v>
      </c>
      <c r="AT73" s="9">
        <v>20000</v>
      </c>
      <c r="AU73" s="10">
        <v>3</v>
      </c>
      <c r="AV73" s="8" t="s">
        <v>73</v>
      </c>
      <c r="AW73" s="9">
        <v>20000</v>
      </c>
      <c r="AX73" s="10">
        <v>3</v>
      </c>
      <c r="AY73" s="8" t="s">
        <v>73</v>
      </c>
      <c r="AZ73" s="9">
        <v>20000</v>
      </c>
      <c r="BA73" s="10">
        <v>3</v>
      </c>
      <c r="BB73" s="8" t="s">
        <v>73</v>
      </c>
      <c r="BC73" s="9">
        <v>20000</v>
      </c>
      <c r="BD73" s="10">
        <v>3</v>
      </c>
      <c r="BE73" s="8" t="s">
        <v>73</v>
      </c>
      <c r="BF73" s="9">
        <v>20000</v>
      </c>
      <c r="BG73" s="10">
        <v>3</v>
      </c>
      <c r="BH73" s="8" t="s">
        <v>73</v>
      </c>
      <c r="BI73" s="9">
        <v>20000</v>
      </c>
      <c r="BJ73" s="10">
        <v>3</v>
      </c>
      <c r="BK73" s="8" t="s">
        <v>73</v>
      </c>
      <c r="BL73" s="9">
        <v>20000</v>
      </c>
      <c r="BM73" s="10">
        <v>3</v>
      </c>
      <c r="BN73" s="8" t="s">
        <v>73</v>
      </c>
      <c r="BO73" s="9">
        <v>20000</v>
      </c>
      <c r="BP73" s="10">
        <v>3</v>
      </c>
      <c r="BQ73" s="8" t="s">
        <v>73</v>
      </c>
      <c r="BR73" s="9">
        <v>20000</v>
      </c>
      <c r="BS73" s="10">
        <v>3</v>
      </c>
      <c r="BT73" s="8" t="s">
        <v>73</v>
      </c>
      <c r="BU73" s="9">
        <v>20000</v>
      </c>
      <c r="BV73" s="10">
        <v>3</v>
      </c>
      <c r="BW73" s="8" t="s">
        <v>73</v>
      </c>
      <c r="BX73" s="9">
        <v>20000</v>
      </c>
      <c r="BY73" s="10">
        <v>3</v>
      </c>
      <c r="BZ73" s="8" t="str">
        <f t="shared" si="294"/>
        <v>PT3</v>
      </c>
      <c r="CA73" s="9">
        <f t="shared" si="638"/>
        <v>20000</v>
      </c>
      <c r="CB73" s="10">
        <f t="shared" si="295"/>
        <v>3</v>
      </c>
      <c r="CC73" s="8" t="str">
        <f t="shared" si="296"/>
        <v>PT3</v>
      </c>
      <c r="CD73" s="9">
        <f t="shared" si="297"/>
        <v>20000</v>
      </c>
      <c r="CE73" s="10">
        <f t="shared" si="298"/>
        <v>3</v>
      </c>
      <c r="CF73" s="8" t="str">
        <f t="shared" si="299"/>
        <v>PT3</v>
      </c>
      <c r="CG73" s="9">
        <f t="shared" si="300"/>
        <v>20000</v>
      </c>
      <c r="CH73" s="10">
        <f t="shared" si="301"/>
        <v>3</v>
      </c>
      <c r="CI73" s="8" t="str">
        <f t="shared" si="302"/>
        <v>PT3</v>
      </c>
      <c r="CJ73" s="9">
        <f t="shared" si="303"/>
        <v>20000</v>
      </c>
      <c r="CK73" s="10">
        <f t="shared" si="304"/>
        <v>3</v>
      </c>
      <c r="CL73" s="8" t="str">
        <f t="shared" si="251"/>
        <v>PT3</v>
      </c>
      <c r="CM73" s="9">
        <f t="shared" si="252"/>
        <v>20000</v>
      </c>
      <c r="CN73" s="10">
        <f t="shared" si="253"/>
        <v>3</v>
      </c>
      <c r="CO73" s="8" t="str">
        <f t="shared" si="254"/>
        <v>PT3</v>
      </c>
      <c r="CP73" s="9">
        <f t="shared" si="442"/>
        <v>20000</v>
      </c>
      <c r="CQ73" s="10">
        <f t="shared" si="255"/>
        <v>3</v>
      </c>
      <c r="CR73" s="8" t="str">
        <f t="shared" si="256"/>
        <v>PT3</v>
      </c>
      <c r="CS73" s="9">
        <f t="shared" si="257"/>
        <v>20000</v>
      </c>
      <c r="CT73" s="10">
        <f t="shared" si="258"/>
        <v>3</v>
      </c>
      <c r="CU73" s="8" t="str">
        <f t="shared" si="259"/>
        <v>PT3</v>
      </c>
      <c r="CV73" s="9">
        <f t="shared" si="260"/>
        <v>20000</v>
      </c>
      <c r="CW73" s="10">
        <f t="shared" si="261"/>
        <v>3</v>
      </c>
      <c r="CX73" s="8" t="str">
        <f t="shared" si="262"/>
        <v>PT3</v>
      </c>
      <c r="CY73" s="9">
        <f t="shared" si="263"/>
        <v>20000</v>
      </c>
      <c r="CZ73" s="10">
        <f t="shared" si="264"/>
        <v>3</v>
      </c>
      <c r="DA73" s="8" t="str">
        <f t="shared" si="265"/>
        <v>PT3</v>
      </c>
      <c r="DB73" s="9">
        <f t="shared" si="266"/>
        <v>20000</v>
      </c>
      <c r="DC73" s="10">
        <f t="shared" si="267"/>
        <v>3</v>
      </c>
      <c r="DD73" s="8" t="str">
        <f t="shared" si="268"/>
        <v>PT3</v>
      </c>
      <c r="DE73" s="9">
        <f t="shared" si="269"/>
        <v>20000</v>
      </c>
      <c r="DF73" s="10">
        <f t="shared" si="270"/>
        <v>3</v>
      </c>
      <c r="DG73" s="8" t="str">
        <f t="shared" si="271"/>
        <v>PT3</v>
      </c>
      <c r="DH73" s="9">
        <f t="shared" si="272"/>
        <v>20000</v>
      </c>
      <c r="DI73" s="10">
        <f t="shared" si="273"/>
        <v>3</v>
      </c>
      <c r="DK73" s="8">
        <f>IFERROR(ROUNDUP(+B73/$AQ73,0),0)</f>
        <v>0</v>
      </c>
      <c r="DL73" s="9">
        <f>IFERROR(ROUNDUP(+C73/$AT73,0),0)</f>
        <v>0</v>
      </c>
      <c r="DM73" s="9">
        <f>IFERROR(ROUNDUP(+D73/$AW73,0),0)</f>
        <v>0</v>
      </c>
      <c r="DN73" s="9">
        <f>IFERROR(ROUNDUP(+E73/$AZ73,0),0)</f>
        <v>0</v>
      </c>
      <c r="DO73" s="9">
        <f>IFERROR(ROUNDUP(+F73/$BC73,0),0)</f>
        <v>0</v>
      </c>
      <c r="DP73" s="9">
        <f>IFERROR(ROUNDUP(+G73/$BF73,0),0)</f>
        <v>0</v>
      </c>
      <c r="DQ73" s="9">
        <f>IFERROR(ROUNDUP(+$H73/$BI73,0),0)</f>
        <v>0</v>
      </c>
      <c r="DR73" s="9">
        <f>IFERROR(ROUNDUP(+I73/$BL73,0),0)</f>
        <v>0</v>
      </c>
      <c r="DS73" s="9">
        <f>IFERROR(ROUNDUP(J73/BO73,0),0)</f>
        <v>0</v>
      </c>
      <c r="DT73" s="9">
        <f>IFERROR(ROUNDUP(+K73/BR73,0),0)</f>
        <v>0</v>
      </c>
      <c r="DU73" s="9">
        <f>IFERROR(ROUNDUP(+N73/BU73,0),0)</f>
        <v>0</v>
      </c>
      <c r="DV73" s="10">
        <f>IFERROR(ROUNDUP(+R73/BX73,0),0)</f>
        <v>0</v>
      </c>
      <c r="DW73" s="9">
        <f>IFERROR(ROUNDUP(+U73/CA73,0),0)</f>
        <v>0</v>
      </c>
      <c r="DX73" s="9">
        <f>IFERROR(ROUNDUP(+Y73/CD73,0),0)</f>
        <v>0</v>
      </c>
      <c r="DY73" s="9">
        <f>IFERROR(ROUNDUP(+AE73/CG73,0),0)</f>
        <v>0</v>
      </c>
      <c r="DZ73" s="9">
        <f>IFERROR(ROUNDUP(+AF73/CJ73,0),0)</f>
        <v>0</v>
      </c>
      <c r="EA73" s="9">
        <f>IFERROR(ROUNDUP(+AG73/CM73,0),0)</f>
        <v>0</v>
      </c>
      <c r="EB73" s="9">
        <f>IFERROR(ROUNDUP(+AH73/CP73,0),0)</f>
        <v>0</v>
      </c>
      <c r="EC73" s="9">
        <f>IFERROR(ROUNDUP(+AI73/CS73,0),0)</f>
        <v>0</v>
      </c>
      <c r="ED73" s="9">
        <f>IFERROR(ROUNDUP(+AJ73/CV73,0),0)</f>
        <v>0</v>
      </c>
      <c r="EE73" s="9">
        <f>IFERROR(ROUNDUP(+AK73/CY73,0),0)</f>
        <v>0</v>
      </c>
      <c r="EF73" s="9">
        <f>IFERROR(ROUNDUP(+AL73/DB73,0),0)</f>
        <v>0</v>
      </c>
      <c r="EG73" s="9">
        <f>IFERROR(ROUNDUP(+AM73/DE73,0),0)</f>
        <v>0</v>
      </c>
      <c r="EH73" s="9">
        <f>IFERROR(ROUNDUP(+AN73/DH73,0),0)</f>
        <v>0</v>
      </c>
      <c r="EJ73" s="8">
        <f t="shared" si="305"/>
        <v>0</v>
      </c>
      <c r="EK73" s="9">
        <f t="shared" si="306"/>
        <v>0</v>
      </c>
      <c r="EL73" s="9">
        <f t="shared" si="307"/>
        <v>0</v>
      </c>
      <c r="EM73" s="9">
        <f t="shared" si="308"/>
        <v>0</v>
      </c>
      <c r="EN73" s="9">
        <f t="shared" si="309"/>
        <v>0</v>
      </c>
      <c r="EO73" s="9">
        <f t="shared" si="310"/>
        <v>0</v>
      </c>
      <c r="EP73" s="9">
        <f t="shared" si="275"/>
        <v>0</v>
      </c>
      <c r="EQ73" s="9">
        <f t="shared" si="276"/>
        <v>0</v>
      </c>
      <c r="ER73" s="9">
        <f t="shared" si="277"/>
        <v>0</v>
      </c>
      <c r="ES73" s="9">
        <f t="shared" si="278"/>
        <v>0</v>
      </c>
      <c r="ET73" s="9">
        <f t="shared" si="279"/>
        <v>0</v>
      </c>
      <c r="EU73" s="10">
        <f t="shared" si="280"/>
        <v>0</v>
      </c>
      <c r="EV73" s="9">
        <f t="shared" si="281"/>
        <v>0</v>
      </c>
      <c r="EW73" s="9">
        <f t="shared" si="282"/>
        <v>0</v>
      </c>
      <c r="EX73" s="9">
        <f t="shared" si="283"/>
        <v>0</v>
      </c>
      <c r="EY73" s="9">
        <f t="shared" si="284"/>
        <v>0</v>
      </c>
      <c r="EZ73" s="9">
        <f t="shared" si="285"/>
        <v>0</v>
      </c>
      <c r="FA73" s="9">
        <f t="shared" si="286"/>
        <v>0</v>
      </c>
      <c r="FB73" s="9">
        <f t="shared" si="287"/>
        <v>0</v>
      </c>
      <c r="FC73" s="9">
        <f t="shared" si="288"/>
        <v>0</v>
      </c>
      <c r="FD73" s="9">
        <f t="shared" si="289"/>
        <v>0</v>
      </c>
      <c r="FE73" s="9">
        <f t="shared" si="290"/>
        <v>0</v>
      </c>
      <c r="FF73" s="9">
        <f t="shared" si="291"/>
        <v>0</v>
      </c>
      <c r="FG73" s="9">
        <f t="shared" si="292"/>
        <v>0</v>
      </c>
      <c r="FO73" t="str">
        <f t="shared" si="615"/>
        <v xml:space="preserve">            (98002-24) FLB PASTA FAGIOLI 7.0 OZ. TRAYPT3</v>
      </c>
      <c r="FP73" t="str">
        <f t="shared" si="616"/>
        <v xml:space="preserve">            (98002-24) FLB PASTA FAGIOLI 7.0 OZ. TRAYPT3</v>
      </c>
      <c r="FQ73" t="str">
        <f t="shared" si="617"/>
        <v xml:space="preserve">            (98002-24) FLB PASTA FAGIOLI 7.0 OZ. TRAYPT3</v>
      </c>
      <c r="FR73" t="s">
        <v>875</v>
      </c>
    </row>
    <row r="74" spans="1:174" outlineLevel="2" x14ac:dyDescent="0.25">
      <c r="A74" s="43" t="s">
        <v>52</v>
      </c>
      <c r="B74" s="9">
        <f>SUMIF(Prophix!$Q:$Q,'Fds Units'!$A74,Prophix!D:D)</f>
        <v>0</v>
      </c>
      <c r="C74" s="9">
        <f>SUMIF(Prophix!$Q:$Q,'Fds Units'!$A74,Prophix!E:E)</f>
        <v>0</v>
      </c>
      <c r="D74" s="9">
        <f>SUMIF(Prophix!$Q:$Q,'Fds Units'!$A74,Prophix!F:F)</f>
        <v>0</v>
      </c>
      <c r="E74" s="9">
        <f>SUMIF(Prophix!$Q:$Q,'Fds Units'!$A74,Prophix!G:G)</f>
        <v>0</v>
      </c>
      <c r="F74" s="9">
        <f>SUMIF(Prophix!$Q:$Q,'Fds Units'!$A74,Prophix!H:H)</f>
        <v>0</v>
      </c>
      <c r="G74" s="9">
        <f>SUMIF(Prophix!$Q:$Q,'Fds Units'!$A74,Prophix!I:I)</f>
        <v>0</v>
      </c>
      <c r="H74" s="9">
        <f>SUMIF(Prophix!$Q:$Q,'Fds Units'!$A74,Prophix!J:J)</f>
        <v>0</v>
      </c>
      <c r="I74" s="9">
        <f>SUMIF(Prophix!$Q:$Q,'Fds Units'!$A74,Prophix!K:K)</f>
        <v>0</v>
      </c>
      <c r="J74" s="9">
        <f>SUMIF(Prophix!$Q:$Q,'Fds Units'!$A74,Prophix!L:L)</f>
        <v>0</v>
      </c>
      <c r="K74" s="9">
        <f>SUMIF(Prophix!$Q:$Q,'Fds Units'!$A74,Prophix!M:M)</f>
        <v>0</v>
      </c>
      <c r="L74" s="92">
        <f>_xlfn.XLOOKUP(FO74,Schedule!Z:Z,Schedule!Y:Y,0)</f>
        <v>0</v>
      </c>
      <c r="M74" s="133"/>
      <c r="N74" s="92">
        <f>SUMIF(Schedule!$R:$R,$FP74,Schedule!P:P)</f>
        <v>0</v>
      </c>
      <c r="O74" s="9">
        <f t="shared" si="635"/>
        <v>0</v>
      </c>
      <c r="P74" s="142"/>
      <c r="Q74" s="133">
        <f t="shared" si="636"/>
        <v>0</v>
      </c>
      <c r="R74" s="92">
        <f>SUMIF(Schedule!$R:$R,$FQ74,Schedule!Q:Q)</f>
        <v>0</v>
      </c>
      <c r="S74" s="92"/>
      <c r="T74" s="186">
        <f t="shared" si="637"/>
        <v>0</v>
      </c>
      <c r="U74" s="9"/>
      <c r="V74" s="9"/>
      <c r="W74" s="9"/>
      <c r="X74" s="9">
        <f>U74-W74</f>
        <v>0</v>
      </c>
      <c r="Y74" s="8">
        <v>0</v>
      </c>
      <c r="Z74" s="9">
        <v>0</v>
      </c>
      <c r="AA74" s="9">
        <v>0</v>
      </c>
      <c r="AB74" s="242">
        <f t="shared" si="446"/>
        <v>0</v>
      </c>
      <c r="AC74" s="241">
        <v>0</v>
      </c>
      <c r="AD74" s="165">
        <v>0</v>
      </c>
      <c r="AE74" s="242">
        <v>0</v>
      </c>
      <c r="AF74" s="9">
        <v>0</v>
      </c>
      <c r="AG74" s="9"/>
      <c r="AH74" s="9"/>
      <c r="AI74" s="9"/>
      <c r="AJ74" s="9"/>
      <c r="AK74" s="9"/>
      <c r="AL74" s="9"/>
      <c r="AM74" s="9"/>
      <c r="AN74" s="9"/>
      <c r="AO74" s="59"/>
      <c r="AP74" s="8" t="s">
        <v>73</v>
      </c>
      <c r="AQ74" s="9">
        <v>20000</v>
      </c>
      <c r="AR74" s="10">
        <v>3</v>
      </c>
      <c r="AS74" s="8" t="s">
        <v>73</v>
      </c>
      <c r="AT74" s="9">
        <v>20000</v>
      </c>
      <c r="AU74" s="10">
        <v>3</v>
      </c>
      <c r="AV74" s="8" t="s">
        <v>73</v>
      </c>
      <c r="AW74" s="9">
        <v>20000</v>
      </c>
      <c r="AX74" s="10">
        <v>3</v>
      </c>
      <c r="AY74" s="8" t="s">
        <v>73</v>
      </c>
      <c r="AZ74" s="9">
        <v>20000</v>
      </c>
      <c r="BA74" s="10">
        <v>3</v>
      </c>
      <c r="BB74" s="8" t="s">
        <v>73</v>
      </c>
      <c r="BC74" s="9">
        <v>20000</v>
      </c>
      <c r="BD74" s="10">
        <v>3</v>
      </c>
      <c r="BE74" s="8" t="s">
        <v>73</v>
      </c>
      <c r="BF74" s="9">
        <v>20000</v>
      </c>
      <c r="BG74" s="10">
        <v>3</v>
      </c>
      <c r="BH74" s="8" t="s">
        <v>73</v>
      </c>
      <c r="BI74" s="9">
        <v>20000</v>
      </c>
      <c r="BJ74" s="10">
        <v>3</v>
      </c>
      <c r="BK74" s="8" t="s">
        <v>73</v>
      </c>
      <c r="BL74" s="9">
        <v>20000</v>
      </c>
      <c r="BM74" s="10">
        <v>3</v>
      </c>
      <c r="BN74" s="8" t="s">
        <v>73</v>
      </c>
      <c r="BO74" s="9">
        <v>20000</v>
      </c>
      <c r="BP74" s="10">
        <v>3</v>
      </c>
      <c r="BQ74" s="8" t="s">
        <v>73</v>
      </c>
      <c r="BR74" s="9">
        <v>20000</v>
      </c>
      <c r="BS74" s="10">
        <v>3</v>
      </c>
      <c r="BT74" s="8" t="s">
        <v>73</v>
      </c>
      <c r="BU74" s="9">
        <v>20000</v>
      </c>
      <c r="BV74" s="10">
        <v>3</v>
      </c>
      <c r="BW74" s="8" t="s">
        <v>73</v>
      </c>
      <c r="BX74" s="9">
        <v>20000</v>
      </c>
      <c r="BY74" s="10">
        <v>3</v>
      </c>
      <c r="BZ74" s="8" t="str">
        <f t="shared" si="294"/>
        <v>PT3</v>
      </c>
      <c r="CA74" s="9">
        <f t="shared" si="638"/>
        <v>20000</v>
      </c>
      <c r="CB74" s="10">
        <f t="shared" si="295"/>
        <v>3</v>
      </c>
      <c r="CC74" s="8" t="str">
        <f t="shared" si="296"/>
        <v>PT3</v>
      </c>
      <c r="CD74" s="9">
        <f t="shared" si="297"/>
        <v>20000</v>
      </c>
      <c r="CE74" s="10">
        <f t="shared" si="298"/>
        <v>3</v>
      </c>
      <c r="CF74" s="8" t="str">
        <f t="shared" si="299"/>
        <v>PT3</v>
      </c>
      <c r="CG74" s="9">
        <f t="shared" si="300"/>
        <v>20000</v>
      </c>
      <c r="CH74" s="10">
        <f t="shared" si="301"/>
        <v>3</v>
      </c>
      <c r="CI74" s="8" t="str">
        <f t="shared" si="302"/>
        <v>PT3</v>
      </c>
      <c r="CJ74" s="9">
        <f t="shared" si="303"/>
        <v>20000</v>
      </c>
      <c r="CK74" s="10">
        <f t="shared" si="304"/>
        <v>3</v>
      </c>
      <c r="CL74" s="8" t="str">
        <f t="shared" si="251"/>
        <v>PT3</v>
      </c>
      <c r="CM74" s="9">
        <f t="shared" si="252"/>
        <v>20000</v>
      </c>
      <c r="CN74" s="10">
        <f t="shared" si="253"/>
        <v>3</v>
      </c>
      <c r="CO74" s="8" t="str">
        <f t="shared" si="254"/>
        <v>PT3</v>
      </c>
      <c r="CP74" s="9">
        <f t="shared" si="442"/>
        <v>20000</v>
      </c>
      <c r="CQ74" s="10">
        <f t="shared" si="255"/>
        <v>3</v>
      </c>
      <c r="CR74" s="8" t="str">
        <f t="shared" si="256"/>
        <v>PT3</v>
      </c>
      <c r="CS74" s="9">
        <f t="shared" si="257"/>
        <v>20000</v>
      </c>
      <c r="CT74" s="10">
        <f t="shared" si="258"/>
        <v>3</v>
      </c>
      <c r="CU74" s="8" t="str">
        <f t="shared" si="259"/>
        <v>PT3</v>
      </c>
      <c r="CV74" s="9">
        <f t="shared" si="260"/>
        <v>20000</v>
      </c>
      <c r="CW74" s="10">
        <f t="shared" si="261"/>
        <v>3</v>
      </c>
      <c r="CX74" s="8" t="str">
        <f t="shared" si="262"/>
        <v>PT3</v>
      </c>
      <c r="CY74" s="9">
        <f t="shared" si="263"/>
        <v>20000</v>
      </c>
      <c r="CZ74" s="10">
        <f t="shared" si="264"/>
        <v>3</v>
      </c>
      <c r="DA74" s="8" t="str">
        <f t="shared" si="265"/>
        <v>PT3</v>
      </c>
      <c r="DB74" s="9">
        <f t="shared" si="266"/>
        <v>20000</v>
      </c>
      <c r="DC74" s="10">
        <f t="shared" si="267"/>
        <v>3</v>
      </c>
      <c r="DD74" s="8" t="str">
        <f t="shared" si="268"/>
        <v>PT3</v>
      </c>
      <c r="DE74" s="9">
        <f t="shared" si="269"/>
        <v>20000</v>
      </c>
      <c r="DF74" s="10">
        <f t="shared" si="270"/>
        <v>3</v>
      </c>
      <c r="DG74" s="8" t="str">
        <f t="shared" si="271"/>
        <v>PT3</v>
      </c>
      <c r="DH74" s="9">
        <f t="shared" si="272"/>
        <v>20000</v>
      </c>
      <c r="DI74" s="10">
        <f t="shared" si="273"/>
        <v>3</v>
      </c>
      <c r="DK74" s="8">
        <f>IFERROR(ROUNDUP(+B74/$AQ74,0),0)</f>
        <v>0</v>
      </c>
      <c r="DL74" s="9">
        <f>IFERROR(ROUNDUP(+C74/$AT74,0),0)</f>
        <v>0</v>
      </c>
      <c r="DM74" s="9">
        <f>IFERROR(ROUNDUP(+D74/$AW74,0),0)</f>
        <v>0</v>
      </c>
      <c r="DN74" s="9">
        <f>IFERROR(ROUNDUP(+E74/$AZ74,0),0)</f>
        <v>0</v>
      </c>
      <c r="DO74" s="9">
        <f>IFERROR(ROUNDUP(+F74/$BC74,0),0)</f>
        <v>0</v>
      </c>
      <c r="DP74" s="9">
        <f>IFERROR(ROUNDUP(+G74/$BF74,0),0)</f>
        <v>0</v>
      </c>
      <c r="DQ74" s="9">
        <f>IFERROR(ROUNDUP(+$H74/$BI74,0),0)</f>
        <v>0</v>
      </c>
      <c r="DR74" s="9">
        <f>IFERROR(ROUNDUP(+I74/$BL74,0),0)</f>
        <v>0</v>
      </c>
      <c r="DS74" s="9">
        <f>IFERROR(ROUNDUP(J74/BO74,0),0)</f>
        <v>0</v>
      </c>
      <c r="DT74" s="9">
        <f>IFERROR(ROUNDUP(+K74/BR74,0),0)</f>
        <v>0</v>
      </c>
      <c r="DU74" s="9">
        <f>IFERROR(ROUNDUP(+N74/BU74,0),0)</f>
        <v>0</v>
      </c>
      <c r="DV74" s="10">
        <f>IFERROR(ROUNDUP(+R74/BX74,0),0)</f>
        <v>0</v>
      </c>
      <c r="DW74" s="9">
        <f>IFERROR(ROUNDUP(+U74/CA74,0),0)</f>
        <v>0</v>
      </c>
      <c r="DX74" s="9">
        <f>IFERROR(ROUNDUP(+Y74/CD74,0),0)</f>
        <v>0</v>
      </c>
      <c r="DY74" s="9">
        <f>IFERROR(ROUNDUP(+AE74/CG74,0),0)</f>
        <v>0</v>
      </c>
      <c r="DZ74" s="9">
        <f>IFERROR(ROUNDUP(+AF74/CJ74,0),0)</f>
        <v>0</v>
      </c>
      <c r="EA74" s="9">
        <f>IFERROR(ROUNDUP(+AG74/CM74,0),0)</f>
        <v>0</v>
      </c>
      <c r="EB74" s="9">
        <f>IFERROR(ROUNDUP(+AH74/CP74,0),0)</f>
        <v>0</v>
      </c>
      <c r="EC74" s="9">
        <f>IFERROR(ROUNDUP(+AI74/CS74,0),0)</f>
        <v>0</v>
      </c>
      <c r="ED74" s="9">
        <f>IFERROR(ROUNDUP(+AJ74/CV74,0),0)</f>
        <v>0</v>
      </c>
      <c r="EE74" s="9">
        <f>IFERROR(ROUNDUP(+AK74/CY74,0),0)</f>
        <v>0</v>
      </c>
      <c r="EF74" s="9">
        <f>IFERROR(ROUNDUP(+AL74/DB74,0),0)</f>
        <v>0</v>
      </c>
      <c r="EG74" s="9">
        <f>IFERROR(ROUNDUP(+AM74/DE74,0),0)</f>
        <v>0</v>
      </c>
      <c r="EH74" s="9">
        <f>IFERROR(ROUNDUP(+AN74/DH74,0),0)</f>
        <v>0</v>
      </c>
      <c r="EJ74" s="8">
        <f t="shared" si="305"/>
        <v>0</v>
      </c>
      <c r="EK74" s="9">
        <f t="shared" si="306"/>
        <v>0</v>
      </c>
      <c r="EL74" s="9">
        <f t="shared" si="307"/>
        <v>0</v>
      </c>
      <c r="EM74" s="9">
        <f t="shared" si="308"/>
        <v>0</v>
      </c>
      <c r="EN74" s="9">
        <f t="shared" si="309"/>
        <v>0</v>
      </c>
      <c r="EO74" s="9">
        <f t="shared" si="310"/>
        <v>0</v>
      </c>
      <c r="EP74" s="9">
        <f t="shared" si="275"/>
        <v>0</v>
      </c>
      <c r="EQ74" s="9">
        <f t="shared" si="276"/>
        <v>0</v>
      </c>
      <c r="ER74" s="9">
        <f t="shared" si="277"/>
        <v>0</v>
      </c>
      <c r="ES74" s="9">
        <f t="shared" si="278"/>
        <v>0</v>
      </c>
      <c r="ET74" s="9">
        <f t="shared" si="279"/>
        <v>0</v>
      </c>
      <c r="EU74" s="10">
        <f t="shared" si="280"/>
        <v>0</v>
      </c>
      <c r="EV74" s="9">
        <f t="shared" si="281"/>
        <v>0</v>
      </c>
      <c r="EW74" s="9">
        <f t="shared" si="282"/>
        <v>0</v>
      </c>
      <c r="EX74" s="9">
        <f t="shared" si="283"/>
        <v>0</v>
      </c>
      <c r="EY74" s="9">
        <f t="shared" si="284"/>
        <v>0</v>
      </c>
      <c r="EZ74" s="9">
        <f t="shared" si="285"/>
        <v>0</v>
      </c>
      <c r="FA74" s="9">
        <f t="shared" si="286"/>
        <v>0</v>
      </c>
      <c r="FB74" s="9">
        <f t="shared" si="287"/>
        <v>0</v>
      </c>
      <c r="FC74" s="9">
        <f t="shared" si="288"/>
        <v>0</v>
      </c>
      <c r="FD74" s="9">
        <f t="shared" si="289"/>
        <v>0</v>
      </c>
      <c r="FE74" s="9">
        <f t="shared" si="290"/>
        <v>0</v>
      </c>
      <c r="FF74" s="9">
        <f t="shared" si="291"/>
        <v>0</v>
      </c>
      <c r="FG74" s="9">
        <f t="shared" si="292"/>
        <v>0</v>
      </c>
      <c r="FO74" t="str">
        <f t="shared" si="615"/>
        <v xml:space="preserve">            (98003-24) FLB SOUTHWEST BOWL 7.0 TRAYPT3</v>
      </c>
      <c r="FP74" t="str">
        <f t="shared" si="616"/>
        <v xml:space="preserve">            (98003-24) FLB SOUTHWEST BOWL 7.0 TRAYPT3</v>
      </c>
      <c r="FQ74" t="str">
        <f t="shared" si="617"/>
        <v xml:space="preserve">            (98003-24) FLB SOUTHWEST BOWL 7.0 TRAYPT3</v>
      </c>
      <c r="FR74" t="s">
        <v>876</v>
      </c>
    </row>
    <row r="75" spans="1:174" ht="16.5" customHeight="1" x14ac:dyDescent="0.25">
      <c r="A75" s="43"/>
      <c r="B75" s="9">
        <f>SUMIF(Prophix!$Q:$Q,'Fds Units'!$A75,Prophix!D:D)</f>
        <v>0</v>
      </c>
      <c r="C75" s="9">
        <f>SUMIF(Prophix!$Q:$Q,'Fds Units'!$A75,Prophix!E:E)</f>
        <v>0</v>
      </c>
      <c r="D75" s="9">
        <f>SUMIF(Prophix!$Q:$Q,'Fds Units'!$A75,Prophix!F:F)</f>
        <v>0</v>
      </c>
      <c r="E75" s="9">
        <f>SUMIF(Prophix!$Q:$Q,'Fds Units'!$A75,Prophix!G:G)</f>
        <v>0</v>
      </c>
      <c r="F75" s="9">
        <f>SUMIF(Prophix!$Q:$Q,'Fds Units'!$A75,Prophix!H:H)</f>
        <v>0</v>
      </c>
      <c r="G75" s="9">
        <f>SUMIF(Prophix!$Q:$Q,'Fds Units'!$A75,Prophix!I:I)</f>
        <v>0</v>
      </c>
      <c r="H75" s="9">
        <f>SUMIF(Prophix!$Q:$Q,'Fds Units'!$A75,Prophix!J:J)</f>
        <v>0</v>
      </c>
      <c r="I75" s="9">
        <f>SUMIF(Prophix!$Q:$Q,'Fds Units'!$A75,Prophix!K:K)</f>
        <v>0</v>
      </c>
      <c r="J75" s="9">
        <f>SUMIF(Prophix!$Q:$Q,'Fds Units'!$A75,Prophix!L:L)</f>
        <v>0</v>
      </c>
      <c r="K75" s="9">
        <f>SUMIF(Prophix!$Q:$Q,'Fds Units'!$A75,Prophix!M:M)</f>
        <v>0</v>
      </c>
      <c r="L75" s="9"/>
      <c r="M75" s="133"/>
      <c r="N75" s="9"/>
      <c r="O75" s="9"/>
      <c r="P75" s="142"/>
      <c r="Q75" s="133"/>
      <c r="R75" s="9"/>
      <c r="S75" s="9"/>
      <c r="T75" s="186"/>
      <c r="U75" s="9"/>
      <c r="V75" s="9"/>
      <c r="W75" s="9"/>
      <c r="X75" s="9"/>
      <c r="Y75" s="8"/>
      <c r="Z75" s="9"/>
      <c r="AA75" s="9"/>
      <c r="AB75" s="242">
        <f t="shared" si="446"/>
        <v>0</v>
      </c>
      <c r="AC75" s="241"/>
      <c r="AD75" s="165"/>
      <c r="AE75" s="10"/>
      <c r="AF75" s="9"/>
      <c r="AG75" s="9"/>
      <c r="AH75" s="9"/>
      <c r="AI75" s="9"/>
      <c r="AJ75" s="9"/>
      <c r="AK75" s="9"/>
      <c r="AL75" s="9"/>
      <c r="AM75" s="9"/>
      <c r="AN75" s="9"/>
      <c r="AO75" s="59"/>
      <c r="AP75" s="8"/>
      <c r="AQ75" s="9"/>
      <c r="AR75" s="10"/>
      <c r="AS75" s="8"/>
      <c r="AT75" s="9"/>
      <c r="AU75" s="10"/>
      <c r="AV75" s="8"/>
      <c r="AW75" s="9"/>
      <c r="AX75" s="10"/>
      <c r="AY75" s="8"/>
      <c r="AZ75" s="9"/>
      <c r="BA75" s="10"/>
      <c r="BB75" s="8"/>
      <c r="BC75" s="9"/>
      <c r="BD75" s="10"/>
      <c r="BE75" s="8"/>
      <c r="BF75" s="9"/>
      <c r="BG75" s="10"/>
      <c r="BH75" s="8"/>
      <c r="BI75" s="9"/>
      <c r="BJ75" s="10"/>
      <c r="BK75" s="8"/>
      <c r="BL75" s="9"/>
      <c r="BM75" s="10"/>
      <c r="BN75" s="8"/>
      <c r="BO75" s="9"/>
      <c r="BP75" s="10"/>
      <c r="BQ75" s="8"/>
      <c r="BR75" s="9"/>
      <c r="BS75" s="10"/>
      <c r="BT75" s="8"/>
      <c r="BU75" s="9"/>
      <c r="BV75" s="10"/>
      <c r="BW75" s="8"/>
      <c r="BX75" s="9"/>
      <c r="BY75" s="10"/>
      <c r="BZ75" s="8"/>
      <c r="CA75" s="9"/>
      <c r="CB75" s="10"/>
      <c r="CC75" s="8"/>
      <c r="CD75" s="9"/>
      <c r="CE75" s="10"/>
      <c r="CF75" s="8"/>
      <c r="CG75" s="9"/>
      <c r="CH75" s="10"/>
      <c r="CI75" s="8"/>
      <c r="CJ75" s="9"/>
      <c r="CK75" s="10"/>
      <c r="CL75" s="8"/>
      <c r="CM75" s="9"/>
      <c r="CN75" s="10"/>
      <c r="CO75" s="8"/>
      <c r="CP75" s="9"/>
      <c r="CQ75" s="10"/>
      <c r="CR75" s="8"/>
      <c r="CS75" s="9"/>
      <c r="CT75" s="10"/>
      <c r="CU75" s="8"/>
      <c r="CV75" s="9"/>
      <c r="CW75" s="10"/>
      <c r="CX75" s="8"/>
      <c r="CY75" s="9"/>
      <c r="CZ75" s="10"/>
      <c r="DA75" s="8"/>
      <c r="DB75" s="9"/>
      <c r="DC75" s="10"/>
      <c r="DD75" s="8"/>
      <c r="DE75" s="9"/>
      <c r="DF75" s="10"/>
      <c r="DG75" s="8"/>
      <c r="DH75" s="9"/>
      <c r="DI75" s="10"/>
      <c r="DK75" s="8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10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J75" s="8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10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O75" t="str">
        <f t="shared" si="615"/>
        <v/>
      </c>
      <c r="FP75" t="str">
        <f t="shared" si="616"/>
        <v/>
      </c>
      <c r="FQ75" t="str">
        <f t="shared" si="617"/>
        <v/>
      </c>
      <c r="FR75">
        <v>0</v>
      </c>
    </row>
    <row r="76" spans="1:174" ht="21" x14ac:dyDescent="0.35">
      <c r="A76" s="41" t="s">
        <v>53</v>
      </c>
      <c r="B76" s="14">
        <f t="shared" ref="B76:G76" si="639">+SUM(B77:B80)</f>
        <v>1374874</v>
      </c>
      <c r="C76" s="14">
        <f t="shared" si="639"/>
        <v>558896</v>
      </c>
      <c r="D76" s="14">
        <f t="shared" si="639"/>
        <v>2013402</v>
      </c>
      <c r="E76" s="14">
        <f t="shared" si="639"/>
        <v>2389910</v>
      </c>
      <c r="F76" s="14">
        <f t="shared" si="639"/>
        <v>2051490</v>
      </c>
      <c r="G76" s="14">
        <f t="shared" si="639"/>
        <v>2042244</v>
      </c>
      <c r="H76" s="14">
        <f t="shared" ref="H76:I76" si="640">+SUM(H77:H80)</f>
        <v>2090352</v>
      </c>
      <c r="I76" s="14">
        <f t="shared" si="640"/>
        <v>2187332</v>
      </c>
      <c r="J76" s="14">
        <f t="shared" ref="J76:L76" si="641">+SUM(J77:J80)</f>
        <v>1739870</v>
      </c>
      <c r="K76" s="14">
        <f t="shared" ref="K76" si="642">+SUM(K77:K80)</f>
        <v>1863422</v>
      </c>
      <c r="L76" s="14">
        <f t="shared" si="641"/>
        <v>1848032</v>
      </c>
      <c r="M76" s="111">
        <f t="shared" ref="M76" si="643">+SUM(M77:M80)</f>
        <v>2403612</v>
      </c>
      <c r="N76" s="14">
        <f>+SUM(N77:N80)</f>
        <v>2403612</v>
      </c>
      <c r="O76" s="14">
        <f t="shared" ref="O76" si="644">+SUM(O77:O80)</f>
        <v>-555580</v>
      </c>
      <c r="P76" s="145">
        <f t="shared" ref="P76:Q76" si="645">+SUM(P77:P80)</f>
        <v>0</v>
      </c>
      <c r="Q76" s="111">
        <f t="shared" si="645"/>
        <v>1773212</v>
      </c>
      <c r="R76" s="14">
        <f>+SUM(R77:R80)</f>
        <v>1773212</v>
      </c>
      <c r="S76" s="14">
        <f>+SUM(S77:S80)</f>
        <v>1410416</v>
      </c>
      <c r="T76" s="90">
        <f>S76-R76</f>
        <v>-362796</v>
      </c>
      <c r="U76" s="14">
        <f t="shared" ref="U76:W76" si="646">+SUM(U77:U80)</f>
        <v>1986996</v>
      </c>
      <c r="V76" s="14">
        <f t="shared" si="646"/>
        <v>1787000</v>
      </c>
      <c r="W76" s="14">
        <f t="shared" si="646"/>
        <v>1789008</v>
      </c>
      <c r="X76" s="14">
        <f t="shared" ref="X76:Y76" si="647">+SUM(X77:X80)</f>
        <v>1381027</v>
      </c>
      <c r="Y76" s="13">
        <f t="shared" si="647"/>
        <v>2283588</v>
      </c>
      <c r="Z76" s="14">
        <f t="shared" ref="Z76" si="648">+SUM(Z77:Z80)</f>
        <v>2206988</v>
      </c>
      <c r="AA76" s="14">
        <f t="shared" ref="AA76" si="649">+SUM(AA77:AA80)</f>
        <v>1636130</v>
      </c>
      <c r="AB76" s="15">
        <f>SUM(AB77:AB80)</f>
        <v>-570858</v>
      </c>
      <c r="AC76" s="13">
        <f t="shared" ref="AC76:AI76" si="650">+SUM(AC77:AC80)</f>
        <v>2802024</v>
      </c>
      <c r="AD76" s="14">
        <f t="shared" si="650"/>
        <v>2802024</v>
      </c>
      <c r="AE76" s="15">
        <f t="shared" si="650"/>
        <v>2863004</v>
      </c>
      <c r="AF76" s="14">
        <f t="shared" si="650"/>
        <v>2997012</v>
      </c>
      <c r="AG76" s="14">
        <f t="shared" si="650"/>
        <v>2576052</v>
      </c>
      <c r="AH76" s="14">
        <f t="shared" si="650"/>
        <v>2186004</v>
      </c>
      <c r="AI76" s="14">
        <f t="shared" si="650"/>
        <v>3105012</v>
      </c>
      <c r="AJ76" s="14">
        <f t="shared" ref="AJ76:AK76" si="651">+SUM(AJ77:AJ80)</f>
        <v>2266008</v>
      </c>
      <c r="AK76" s="14">
        <f t="shared" si="651"/>
        <v>1797048</v>
      </c>
      <c r="AL76" s="14">
        <f t="shared" ref="AL76:AN76" si="652">+SUM(AL77:AL80)</f>
        <v>2015004</v>
      </c>
      <c r="AM76" s="14">
        <f t="shared" si="652"/>
        <v>2028048</v>
      </c>
      <c r="AN76" s="14">
        <f t="shared" si="652"/>
        <v>942048</v>
      </c>
      <c r="AO76" s="59"/>
      <c r="AP76" s="13"/>
      <c r="AQ76" s="14"/>
      <c r="AR76" s="15"/>
      <c r="AS76" s="13"/>
      <c r="AT76" s="14"/>
      <c r="AU76" s="15"/>
      <c r="AV76" s="13"/>
      <c r="AW76" s="14"/>
      <c r="AX76" s="15"/>
      <c r="AY76" s="13"/>
      <c r="AZ76" s="14"/>
      <c r="BA76" s="15"/>
      <c r="BB76" s="13"/>
      <c r="BC76" s="14"/>
      <c r="BD76" s="15"/>
      <c r="BE76" s="13"/>
      <c r="BF76" s="14"/>
      <c r="BG76" s="15"/>
      <c r="BH76" s="13"/>
      <c r="BI76" s="14"/>
      <c r="BJ76" s="15"/>
      <c r="BK76" s="13"/>
      <c r="BL76" s="14"/>
      <c r="BM76" s="15"/>
      <c r="BN76" s="13"/>
      <c r="BO76" s="14"/>
      <c r="BP76" s="15"/>
      <c r="BQ76" s="13"/>
      <c r="BR76" s="14"/>
      <c r="BS76" s="15"/>
      <c r="BT76" s="13"/>
      <c r="BU76" s="14"/>
      <c r="BV76" s="15"/>
      <c r="BW76" s="13"/>
      <c r="BX76" s="14"/>
      <c r="BY76" s="15"/>
      <c r="BZ76" s="13"/>
      <c r="CA76" s="14"/>
      <c r="CB76" s="15"/>
      <c r="CC76" s="13"/>
      <c r="CD76" s="14"/>
      <c r="CE76" s="15"/>
      <c r="CF76" s="13"/>
      <c r="CG76" s="14"/>
      <c r="CH76" s="15"/>
      <c r="CI76" s="13"/>
      <c r="CJ76" s="14"/>
      <c r="CK76" s="15"/>
      <c r="CL76" s="13"/>
      <c r="CM76" s="14"/>
      <c r="CN76" s="15"/>
      <c r="CO76" s="13"/>
      <c r="CP76" s="14"/>
      <c r="CQ76" s="15"/>
      <c r="CR76" s="13"/>
      <c r="CS76" s="14"/>
      <c r="CT76" s="15"/>
      <c r="CU76" s="13"/>
      <c r="CV76" s="14"/>
      <c r="CW76" s="15"/>
      <c r="CX76" s="13"/>
      <c r="CY76" s="14"/>
      <c r="CZ76" s="15"/>
      <c r="DA76" s="13"/>
      <c r="DB76" s="14"/>
      <c r="DC76" s="15"/>
      <c r="DD76" s="13"/>
      <c r="DE76" s="14"/>
      <c r="DF76" s="15"/>
      <c r="DG76" s="13"/>
      <c r="DH76" s="14"/>
      <c r="DI76" s="15"/>
      <c r="DK76" s="13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5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J76" s="13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5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O76" t="str">
        <f t="shared" si="615"/>
        <v>Spouted Pouches</v>
      </c>
      <c r="FP76" t="str">
        <f t="shared" si="616"/>
        <v>Spouted Pouches</v>
      </c>
      <c r="FQ76" t="str">
        <f t="shared" si="617"/>
        <v>Spouted Pouches</v>
      </c>
      <c r="FR76">
        <v>0</v>
      </c>
    </row>
    <row r="77" spans="1:174" outlineLevel="2" x14ac:dyDescent="0.25">
      <c r="A77" s="28" t="s">
        <v>54</v>
      </c>
      <c r="B77" s="9">
        <f>SUMIF(Prophix!$Q:$Q,'Fds Units'!$A77,Prophix!D:D)</f>
        <v>661740</v>
      </c>
      <c r="C77" s="9">
        <f>SUMIF(Prophix!$Q:$Q,'Fds Units'!$A77,Prophix!E:E)</f>
        <v>74640</v>
      </c>
      <c r="D77" s="9">
        <f>SUMIF(Prophix!$Q:$Q,'Fds Units'!$A77,Prophix!F:F)</f>
        <v>0</v>
      </c>
      <c r="E77" s="9">
        <f>SUMIF(Prophix!$Q:$Q,'Fds Units'!$A77,Prophix!G:G)</f>
        <v>449856</v>
      </c>
      <c r="F77" s="9">
        <f>SUMIF(Prophix!$Q:$Q,'Fds Units'!$A77,Prophix!H:H)</f>
        <v>60312</v>
      </c>
      <c r="G77" s="9">
        <f>SUMIF(Prophix!$Q:$Q,'Fds Units'!$A77,Prophix!I:I)</f>
        <v>598104</v>
      </c>
      <c r="H77" s="9">
        <f>SUMIF(Prophix!$Q:$Q,'Fds Units'!$A77,Prophix!J:J)</f>
        <v>0</v>
      </c>
      <c r="I77" s="9">
        <f>SUMIF(Prophix!$Q:$Q,'Fds Units'!$A77,Prophix!K:K)</f>
        <v>61056</v>
      </c>
      <c r="J77" s="9">
        <f>SUMIF(Prophix!$Q:$Q,'Fds Units'!$A77,Prophix!L:L)</f>
        <v>676104</v>
      </c>
      <c r="K77" s="9">
        <f>SUMIF(Prophix!$Q:$Q,'Fds Units'!$A77,Prophix!M:M)</f>
        <v>74436</v>
      </c>
      <c r="L77" s="92">
        <v>0</v>
      </c>
      <c r="M77" s="133">
        <v>0</v>
      </c>
      <c r="N77" s="92">
        <f>SUMIF(Schedule!$R:$R,$FP77,Schedule!P:P)</f>
        <v>0</v>
      </c>
      <c r="O77" s="92">
        <f t="shared" ref="O77:O81" si="653">L77-N77</f>
        <v>0</v>
      </c>
      <c r="P77" s="142"/>
      <c r="Q77" s="133">
        <f t="shared" ref="Q77:Q80" si="654">+R77</f>
        <v>0</v>
      </c>
      <c r="R77" s="92"/>
      <c r="S77" s="92"/>
      <c r="T77" s="186">
        <f>S77-R77</f>
        <v>0</v>
      </c>
      <c r="U77" s="117">
        <v>225000</v>
      </c>
      <c r="V77" s="117">
        <v>225000</v>
      </c>
      <c r="W77" s="117">
        <v>225000</v>
      </c>
      <c r="X77" s="9">
        <v>203759</v>
      </c>
      <c r="Y77" s="8">
        <v>150000</v>
      </c>
      <c r="Z77" s="9">
        <v>225000</v>
      </c>
      <c r="AA77" s="9">
        <v>130404</v>
      </c>
      <c r="AB77" s="242">
        <f>AA77-Z77</f>
        <v>-94596</v>
      </c>
      <c r="AC77" s="241">
        <v>0</v>
      </c>
      <c r="AD77" s="165">
        <v>0</v>
      </c>
      <c r="AE77" s="242">
        <v>75000</v>
      </c>
      <c r="AF77" s="66">
        <v>375000</v>
      </c>
      <c r="AG77" s="66">
        <v>150000</v>
      </c>
      <c r="AH77" s="66">
        <v>0</v>
      </c>
      <c r="AI77" s="66">
        <v>525000</v>
      </c>
      <c r="AJ77" s="66">
        <v>0</v>
      </c>
      <c r="AK77" s="66">
        <v>75000</v>
      </c>
      <c r="AL77" s="66">
        <v>375000</v>
      </c>
      <c r="AM77" s="66">
        <v>150000</v>
      </c>
      <c r="AN77" s="66">
        <v>0</v>
      </c>
      <c r="AO77" s="59"/>
      <c r="AP77" s="8" t="s">
        <v>93</v>
      </c>
      <c r="AQ77" s="9">
        <v>150000</v>
      </c>
      <c r="AR77" s="10">
        <v>4</v>
      </c>
      <c r="AS77" s="8" t="s">
        <v>93</v>
      </c>
      <c r="AT77" s="9">
        <v>150000</v>
      </c>
      <c r="AU77" s="10">
        <v>4</v>
      </c>
      <c r="AV77" s="8" t="s">
        <v>93</v>
      </c>
      <c r="AW77" s="9">
        <v>150000</v>
      </c>
      <c r="AX77" s="10">
        <v>4</v>
      </c>
      <c r="AY77" s="8" t="s">
        <v>93</v>
      </c>
      <c r="AZ77" s="9">
        <v>105000</v>
      </c>
      <c r="BA77" s="10">
        <v>4</v>
      </c>
      <c r="BB77" s="8" t="s">
        <v>93</v>
      </c>
      <c r="BC77" s="9">
        <v>75000</v>
      </c>
      <c r="BD77" s="10">
        <v>2</v>
      </c>
      <c r="BE77" s="8" t="s">
        <v>93</v>
      </c>
      <c r="BF77" s="9">
        <f>+G77/7</f>
        <v>85443.428571428565</v>
      </c>
      <c r="BG77" s="10">
        <v>4</v>
      </c>
      <c r="BH77" s="8" t="s">
        <v>93</v>
      </c>
      <c r="BI77" s="9">
        <v>150000</v>
      </c>
      <c r="BJ77" s="10">
        <v>4</v>
      </c>
      <c r="BK77" s="8" t="s">
        <v>93</v>
      </c>
      <c r="BL77" s="9">
        <v>150000</v>
      </c>
      <c r="BM77" s="10">
        <v>4</v>
      </c>
      <c r="BN77" s="8" t="s">
        <v>93</v>
      </c>
      <c r="BO77" s="9">
        <f>+J77/8</f>
        <v>84513</v>
      </c>
      <c r="BP77" s="10">
        <v>4</v>
      </c>
      <c r="BQ77" s="8" t="s">
        <v>93</v>
      </c>
      <c r="BR77" s="9">
        <v>150000</v>
      </c>
      <c r="BS77" s="10">
        <v>4</v>
      </c>
      <c r="BT77" s="8" t="s">
        <v>93</v>
      </c>
      <c r="BU77" s="9">
        <v>150000</v>
      </c>
      <c r="BV77" s="10">
        <v>4</v>
      </c>
      <c r="BW77" s="8" t="s">
        <v>93</v>
      </c>
      <c r="BX77" s="9">
        <v>150000</v>
      </c>
      <c r="BY77" s="10">
        <v>4</v>
      </c>
      <c r="BZ77" s="8" t="s">
        <v>93</v>
      </c>
      <c r="CA77" s="9">
        <f t="shared" ref="CA77:CA80" si="655">+BX77</f>
        <v>150000</v>
      </c>
      <c r="CB77" s="10">
        <f t="shared" ref="CB77:CB80" si="656">+BY77</f>
        <v>4</v>
      </c>
      <c r="CC77" s="8" t="s">
        <v>93</v>
      </c>
      <c r="CD77" s="9">
        <f t="shared" ref="CD77:CD80" si="657">+CA77</f>
        <v>150000</v>
      </c>
      <c r="CE77" s="10">
        <f t="shared" ref="CE77:CE80" si="658">+CB77</f>
        <v>4</v>
      </c>
      <c r="CF77" s="8" t="s">
        <v>93</v>
      </c>
      <c r="CG77" s="9">
        <f t="shared" ref="CG77:CG80" si="659">+CD77</f>
        <v>150000</v>
      </c>
      <c r="CH77" s="10">
        <f t="shared" ref="CH77:CH80" si="660">+CE77</f>
        <v>4</v>
      </c>
      <c r="CI77" s="8" t="s">
        <v>93</v>
      </c>
      <c r="CJ77" s="9">
        <f t="shared" ref="CJ77:CJ80" si="661">+CG77</f>
        <v>150000</v>
      </c>
      <c r="CK77" s="10">
        <f t="shared" ref="CK77:CK80" si="662">+CH77</f>
        <v>4</v>
      </c>
      <c r="CL77" s="8" t="s">
        <v>93</v>
      </c>
      <c r="CM77" s="9">
        <f t="shared" ref="CM77:CM80" si="663">+CJ77</f>
        <v>150000</v>
      </c>
      <c r="CN77" s="10">
        <f t="shared" ref="CN77:CN80" si="664">+CK77</f>
        <v>4</v>
      </c>
      <c r="CO77" s="8" t="s">
        <v>93</v>
      </c>
      <c r="CP77" s="9">
        <f t="shared" ref="CP77:CP80" si="665">+CM77</f>
        <v>150000</v>
      </c>
      <c r="CQ77" s="10">
        <f t="shared" ref="CQ77:CQ80" si="666">+CN77</f>
        <v>4</v>
      </c>
      <c r="CR77" s="8" t="s">
        <v>93</v>
      </c>
      <c r="CS77" s="9">
        <f t="shared" ref="CS77:CS80" si="667">+CP77</f>
        <v>150000</v>
      </c>
      <c r="CT77" s="10">
        <f t="shared" ref="CT77:CT80" si="668">+CQ77</f>
        <v>4</v>
      </c>
      <c r="CU77" s="8" t="s">
        <v>93</v>
      </c>
      <c r="CV77" s="9">
        <f t="shared" ref="CV77:CV80" si="669">+CS77</f>
        <v>150000</v>
      </c>
      <c r="CW77" s="10">
        <f t="shared" ref="CW77:CW80" si="670">+CT77</f>
        <v>4</v>
      </c>
      <c r="CX77" s="8" t="s">
        <v>93</v>
      </c>
      <c r="CY77" s="9">
        <f t="shared" ref="CY77:CY80" si="671">+CV77</f>
        <v>150000</v>
      </c>
      <c r="CZ77" s="10">
        <f t="shared" ref="CZ77:CZ80" si="672">+CW77</f>
        <v>4</v>
      </c>
      <c r="DA77" s="8" t="s">
        <v>93</v>
      </c>
      <c r="DB77" s="9">
        <f t="shared" ref="DB77:DB80" si="673">+CY77</f>
        <v>150000</v>
      </c>
      <c r="DC77" s="10">
        <f t="shared" ref="DC77:DC80" si="674">+CZ77</f>
        <v>4</v>
      </c>
      <c r="DD77" s="8" t="s">
        <v>93</v>
      </c>
      <c r="DE77" s="9">
        <f t="shared" ref="DE77:DE80" si="675">+DB77</f>
        <v>150000</v>
      </c>
      <c r="DF77" s="10">
        <f t="shared" ref="DF77:DF80" si="676">+DC77</f>
        <v>4</v>
      </c>
      <c r="DG77" s="8" t="s">
        <v>93</v>
      </c>
      <c r="DH77" s="9">
        <f t="shared" ref="DH77:DH80" si="677">+DE77</f>
        <v>150000</v>
      </c>
      <c r="DI77" s="10">
        <f t="shared" ref="DI77:DI80" si="678">+DF77</f>
        <v>4</v>
      </c>
      <c r="DK77" s="8">
        <f>IFERROR(ROUNDUP(+B77/$AQ77,0),0)</f>
        <v>5</v>
      </c>
      <c r="DL77" s="9">
        <f>IFERROR(ROUNDUP(+C77/$AT77,0),0)</f>
        <v>1</v>
      </c>
      <c r="DM77" s="9">
        <f>IFERROR(ROUNDUP(+D77/$AW77,0),0)</f>
        <v>0</v>
      </c>
      <c r="DN77" s="9">
        <f>IFERROR(ROUNDUP(+E77/$AZ77,0),0)</f>
        <v>5</v>
      </c>
      <c r="DO77" s="9">
        <f>IFERROR(ROUNDUP(+F77/$BC77,0),0)</f>
        <v>1</v>
      </c>
      <c r="DP77" s="9">
        <f>IFERROR(ROUNDUP(+G77/$BF77,0),0)</f>
        <v>7</v>
      </c>
      <c r="DQ77" s="9">
        <f>IFERROR(ROUNDUP(+$H77/$BI77,0),0)</f>
        <v>0</v>
      </c>
      <c r="DR77" s="116">
        <f>IFERROR(ROUNDUP(+I77/$BL77,0),0)</f>
        <v>1</v>
      </c>
      <c r="DS77" s="9">
        <f>IFERROR(ROUNDUP(J77/BO77,0),0)</f>
        <v>8</v>
      </c>
      <c r="DT77" s="9">
        <f>IFERROR(ROUNDUP(+K77/BR77,0),0)</f>
        <v>1</v>
      </c>
      <c r="DU77" s="9">
        <f>IFERROR(ROUNDUP(+N77/BU77,0),0)</f>
        <v>0</v>
      </c>
      <c r="DV77" s="10">
        <f>IFERROR(ROUNDUP(+R77/BX77,0),0)</f>
        <v>0</v>
      </c>
      <c r="DW77" s="9">
        <f>IFERROR(ROUNDUP(+V77/CA77,0),0)</f>
        <v>2</v>
      </c>
      <c r="DX77" s="9">
        <f>IFERROR(ROUNDUP(+Y77/CD77,0),0)</f>
        <v>1</v>
      </c>
      <c r="DY77" s="9">
        <f>IFERROR(ROUNDUP(+AE77/CG77,0),0)</f>
        <v>1</v>
      </c>
      <c r="DZ77" s="9">
        <f>IFERROR(ROUNDUP(+AF77/CJ77,0),0)</f>
        <v>3</v>
      </c>
      <c r="EA77" s="9">
        <f>IFERROR(ROUNDUP(+AG77/CM77,0),0)</f>
        <v>1</v>
      </c>
      <c r="EB77" s="9">
        <f>IFERROR(ROUNDUP(+AH77/CP77,0),0)</f>
        <v>0</v>
      </c>
      <c r="EC77" s="9">
        <f>IFERROR(ROUNDUP(+AI77/CS77,0),0)</f>
        <v>4</v>
      </c>
      <c r="ED77" s="9">
        <f>IFERROR(ROUNDUP(+AJ77/CV77,0),0)</f>
        <v>0</v>
      </c>
      <c r="EE77" s="9">
        <f>IFERROR(ROUNDUP(+AK77/CY77,0),0)</f>
        <v>1</v>
      </c>
      <c r="EF77" s="9">
        <f>IFERROR(ROUNDUP(+AL77/DB77,0),0)</f>
        <v>3</v>
      </c>
      <c r="EG77" s="9">
        <f>IFERROR(ROUNDUP(+AM77/DE77,0),0)</f>
        <v>1</v>
      </c>
      <c r="EH77" s="9">
        <f>IFERROR(ROUNDUP(+AN77/DH77,0),0)</f>
        <v>0</v>
      </c>
      <c r="EJ77" s="8">
        <f t="shared" ref="EJ77:EJ80" si="679">$AR77*DK77</f>
        <v>20</v>
      </c>
      <c r="EK77" s="9">
        <f t="shared" ref="EK77:EK80" si="680">$AU77*DL77</f>
        <v>4</v>
      </c>
      <c r="EL77" s="9">
        <f t="shared" ref="EL77:EL80" si="681">$AX77*DM77</f>
        <v>0</v>
      </c>
      <c r="EM77" s="9">
        <f t="shared" ref="EM77:EM80" si="682">$BA77*DN77</f>
        <v>20</v>
      </c>
      <c r="EN77" s="9">
        <f t="shared" ref="EN77:EN80" si="683">$BD77*DO77</f>
        <v>2</v>
      </c>
      <c r="EO77" s="9">
        <f t="shared" ref="EO77:EO80" si="684">$BG77*DP77</f>
        <v>28</v>
      </c>
      <c r="EP77" s="9">
        <f>BJ77*DQ77</f>
        <v>0</v>
      </c>
      <c r="EQ77" s="9">
        <f>+BM77*DR77</f>
        <v>4</v>
      </c>
      <c r="ER77" s="9">
        <f>BP77*DS77</f>
        <v>32</v>
      </c>
      <c r="ES77" s="9">
        <f>+BS77*DT77</f>
        <v>4</v>
      </c>
      <c r="ET77" s="9">
        <f>+BV77*DU77</f>
        <v>0</v>
      </c>
      <c r="EU77" s="10">
        <f>+BY77*DV77</f>
        <v>0</v>
      </c>
      <c r="EV77" s="9">
        <f>+CB77*DW77</f>
        <v>8</v>
      </c>
      <c r="EW77" s="9">
        <f>+CE77*DX77</f>
        <v>4</v>
      </c>
      <c r="EX77" s="9">
        <f>+CH77*DY77</f>
        <v>4</v>
      </c>
      <c r="EY77" s="9">
        <f>+CK77*DZ77</f>
        <v>12</v>
      </c>
      <c r="EZ77" s="9">
        <f>+CN77*EA77</f>
        <v>4</v>
      </c>
      <c r="FA77" s="9">
        <f>+CQ77*EB77</f>
        <v>0</v>
      </c>
      <c r="FB77" s="9">
        <f>+CT77*EC77</f>
        <v>16</v>
      </c>
      <c r="FC77" s="9">
        <f>+CW77*ED77</f>
        <v>0</v>
      </c>
      <c r="FD77" s="9">
        <f t="shared" ref="FD77:FD80" si="685">+CZ77*EE77</f>
        <v>4</v>
      </c>
      <c r="FE77" s="9">
        <f t="shared" ref="FE77:FE80" si="686">+DC77*EF77</f>
        <v>12</v>
      </c>
      <c r="FF77" s="9">
        <f t="shared" ref="FF77:FF80" si="687">+DF77*EG77</f>
        <v>4</v>
      </c>
      <c r="FG77" s="9">
        <f t="shared" ref="FG77:FG80" si="688">+DI77*EH77</f>
        <v>0</v>
      </c>
      <c r="FO77" t="str">
        <f t="shared" si="615"/>
        <v>BeechnutS6/S7</v>
      </c>
      <c r="FP77" t="str">
        <f t="shared" si="616"/>
        <v>BeechnutS6/S7</v>
      </c>
      <c r="FQ77" t="str">
        <f t="shared" si="617"/>
        <v>BeechnutS6/S7</v>
      </c>
      <c r="FR77">
        <v>0</v>
      </c>
    </row>
    <row r="78" spans="1:174" outlineLevel="2" x14ac:dyDescent="0.25">
      <c r="A78" s="28" t="s">
        <v>55</v>
      </c>
      <c r="B78" s="9">
        <f>SUMIF(Prophix!$Q:$Q,'Fds Units'!$A78,Prophix!D:D)</f>
        <v>407940</v>
      </c>
      <c r="C78" s="9">
        <f>SUMIF(Prophix!$Q:$Q,'Fds Units'!$A78,Prophix!E:E)</f>
        <v>115824</v>
      </c>
      <c r="D78" s="9">
        <f>SUMIF(Prophix!$Q:$Q,'Fds Units'!$A78,Prophix!F:F)</f>
        <v>536172</v>
      </c>
      <c r="E78" s="9">
        <f>SUMIF(Prophix!$Q:$Q,'Fds Units'!$A78,Prophix!G:G)</f>
        <v>260932</v>
      </c>
      <c r="F78" s="9">
        <f>SUMIF(Prophix!$Q:$Q,'Fds Units'!$A78,Prophix!H:H)</f>
        <v>326544</v>
      </c>
      <c r="G78" s="9">
        <f>SUMIF(Prophix!$Q:$Q,'Fds Units'!$A78,Prophix!I:I)</f>
        <v>180252</v>
      </c>
      <c r="H78" s="9">
        <f>SUMIF(Prophix!$Q:$Q,'Fds Units'!$A78,Prophix!J:J)</f>
        <v>146340</v>
      </c>
      <c r="I78" s="9">
        <f>SUMIF(Prophix!$Q:$Q,'Fds Units'!$A78,Prophix!K:K)</f>
        <v>523296</v>
      </c>
      <c r="J78" s="9">
        <f>SUMIF(Prophix!$Q:$Q,'Fds Units'!$A78,Prophix!L:L)</f>
        <v>0</v>
      </c>
      <c r="K78" s="9">
        <f>SUMIF(Prophix!$Q:$Q,'Fds Units'!$A78,Prophix!M:M)</f>
        <v>57840</v>
      </c>
      <c r="L78" s="92">
        <v>198192</v>
      </c>
      <c r="M78" s="133">
        <f>+N78</f>
        <v>320016</v>
      </c>
      <c r="N78" s="92">
        <v>320016</v>
      </c>
      <c r="O78" s="92">
        <f t="shared" si="653"/>
        <v>-121824</v>
      </c>
      <c r="P78" s="142"/>
      <c r="Q78" s="133">
        <f t="shared" si="654"/>
        <v>307212</v>
      </c>
      <c r="R78" s="92">
        <v>307212</v>
      </c>
      <c r="S78" s="92">
        <v>253896</v>
      </c>
      <c r="T78" s="186">
        <f>S78-R78</f>
        <v>-53316</v>
      </c>
      <c r="U78" s="117">
        <v>160008</v>
      </c>
      <c r="V78" s="117">
        <v>202008</v>
      </c>
      <c r="W78" s="117">
        <v>160008</v>
      </c>
      <c r="X78" s="9">
        <v>106201</v>
      </c>
      <c r="Y78" s="8">
        <v>235608</v>
      </c>
      <c r="Z78" s="9">
        <v>80004</v>
      </c>
      <c r="AA78" s="9">
        <v>65232</v>
      </c>
      <c r="AB78" s="242">
        <f>AA78-Z78</f>
        <v>-14772</v>
      </c>
      <c r="AC78" s="241">
        <v>540024</v>
      </c>
      <c r="AD78" s="165">
        <v>540024</v>
      </c>
      <c r="AE78" s="242">
        <v>540024</v>
      </c>
      <c r="AF78" s="66">
        <v>360012</v>
      </c>
      <c r="AG78" s="66">
        <v>320052</v>
      </c>
      <c r="AH78" s="66">
        <v>80004</v>
      </c>
      <c r="AI78" s="66">
        <v>240012</v>
      </c>
      <c r="AJ78" s="66">
        <v>160008</v>
      </c>
      <c r="AK78" s="66">
        <v>240048</v>
      </c>
      <c r="AL78" s="66">
        <v>80004</v>
      </c>
      <c r="AM78" s="66">
        <v>240048</v>
      </c>
      <c r="AN78" s="66">
        <v>240048</v>
      </c>
      <c r="AO78" s="59"/>
      <c r="AP78" s="8" t="s">
        <v>93</v>
      </c>
      <c r="AQ78" s="9">
        <v>150000</v>
      </c>
      <c r="AR78" s="10">
        <v>4</v>
      </c>
      <c r="AS78" s="8" t="s">
        <v>93</v>
      </c>
      <c r="AT78" s="9">
        <v>75000</v>
      </c>
      <c r="AU78" s="10">
        <v>4</v>
      </c>
      <c r="AV78" s="8" t="s">
        <v>93</v>
      </c>
      <c r="AW78" s="9">
        <v>90000</v>
      </c>
      <c r="AX78" s="10">
        <v>2</v>
      </c>
      <c r="AY78" s="8" t="s">
        <v>93</v>
      </c>
      <c r="AZ78" s="9">
        <v>95000</v>
      </c>
      <c r="BA78" s="10">
        <v>4</v>
      </c>
      <c r="BB78" s="8" t="s">
        <v>93</v>
      </c>
      <c r="BC78" s="9">
        <v>150000</v>
      </c>
      <c r="BD78" s="10">
        <v>4</v>
      </c>
      <c r="BE78" s="8" t="s">
        <v>93</v>
      </c>
      <c r="BF78" s="9">
        <f>+G78/3</f>
        <v>60084</v>
      </c>
      <c r="BG78" s="10">
        <v>2</v>
      </c>
      <c r="BH78" s="8" t="s">
        <v>93</v>
      </c>
      <c r="BI78" s="9">
        <f>+H78/2</f>
        <v>73170</v>
      </c>
      <c r="BJ78" s="10">
        <v>4</v>
      </c>
      <c r="BK78" s="8" t="s">
        <v>93</v>
      </c>
      <c r="BL78" s="9">
        <f>+I78/7</f>
        <v>74756.571428571435</v>
      </c>
      <c r="BM78" s="10">
        <v>4</v>
      </c>
      <c r="BN78" s="8" t="s">
        <v>93</v>
      </c>
      <c r="BO78" s="9">
        <v>150000</v>
      </c>
      <c r="BP78" s="10">
        <v>4</v>
      </c>
      <c r="BQ78" s="8" t="s">
        <v>93</v>
      </c>
      <c r="BR78" s="9">
        <v>150000</v>
      </c>
      <c r="BS78" s="10">
        <v>4</v>
      </c>
      <c r="BT78" s="8" t="s">
        <v>93</v>
      </c>
      <c r="BU78" s="9">
        <v>150000</v>
      </c>
      <c r="BV78" s="10">
        <v>4</v>
      </c>
      <c r="BW78" s="8" t="s">
        <v>93</v>
      </c>
      <c r="BX78" s="9">
        <v>150000</v>
      </c>
      <c r="BY78" s="10">
        <v>4</v>
      </c>
      <c r="BZ78" s="8" t="s">
        <v>93</v>
      </c>
      <c r="CA78" s="9">
        <f t="shared" si="655"/>
        <v>150000</v>
      </c>
      <c r="CB78" s="10">
        <f t="shared" si="656"/>
        <v>4</v>
      </c>
      <c r="CC78" s="8" t="s">
        <v>93</v>
      </c>
      <c r="CD78" s="9">
        <f t="shared" si="657"/>
        <v>150000</v>
      </c>
      <c r="CE78" s="10">
        <f t="shared" si="658"/>
        <v>4</v>
      </c>
      <c r="CF78" s="8" t="s">
        <v>93</v>
      </c>
      <c r="CG78" s="9">
        <f t="shared" si="659"/>
        <v>150000</v>
      </c>
      <c r="CH78" s="10">
        <f t="shared" si="660"/>
        <v>4</v>
      </c>
      <c r="CI78" s="8" t="s">
        <v>93</v>
      </c>
      <c r="CJ78" s="9">
        <f t="shared" si="661"/>
        <v>150000</v>
      </c>
      <c r="CK78" s="10">
        <f t="shared" si="662"/>
        <v>4</v>
      </c>
      <c r="CL78" s="8" t="s">
        <v>93</v>
      </c>
      <c r="CM78" s="9">
        <f t="shared" si="663"/>
        <v>150000</v>
      </c>
      <c r="CN78" s="10">
        <f t="shared" si="664"/>
        <v>4</v>
      </c>
      <c r="CO78" s="8" t="s">
        <v>93</v>
      </c>
      <c r="CP78" s="9">
        <f t="shared" si="665"/>
        <v>150000</v>
      </c>
      <c r="CQ78" s="10">
        <f t="shared" si="666"/>
        <v>4</v>
      </c>
      <c r="CR78" s="8" t="s">
        <v>93</v>
      </c>
      <c r="CS78" s="9">
        <f t="shared" si="667"/>
        <v>150000</v>
      </c>
      <c r="CT78" s="10">
        <f t="shared" si="668"/>
        <v>4</v>
      </c>
      <c r="CU78" s="8" t="s">
        <v>93</v>
      </c>
      <c r="CV78" s="9">
        <f t="shared" si="669"/>
        <v>150000</v>
      </c>
      <c r="CW78" s="10">
        <f t="shared" si="670"/>
        <v>4</v>
      </c>
      <c r="CX78" s="8" t="s">
        <v>93</v>
      </c>
      <c r="CY78" s="9">
        <f t="shared" si="671"/>
        <v>150000</v>
      </c>
      <c r="CZ78" s="10">
        <f t="shared" si="672"/>
        <v>4</v>
      </c>
      <c r="DA78" s="8" t="s">
        <v>93</v>
      </c>
      <c r="DB78" s="9">
        <f t="shared" si="673"/>
        <v>150000</v>
      </c>
      <c r="DC78" s="10">
        <f t="shared" si="674"/>
        <v>4</v>
      </c>
      <c r="DD78" s="8" t="s">
        <v>93</v>
      </c>
      <c r="DE78" s="9">
        <f t="shared" si="675"/>
        <v>150000</v>
      </c>
      <c r="DF78" s="10">
        <f t="shared" si="676"/>
        <v>4</v>
      </c>
      <c r="DG78" s="8" t="s">
        <v>93</v>
      </c>
      <c r="DH78" s="9">
        <f t="shared" si="677"/>
        <v>150000</v>
      </c>
      <c r="DI78" s="10">
        <f t="shared" si="678"/>
        <v>4</v>
      </c>
      <c r="DK78" s="8">
        <f>IFERROR(ROUNDUP(+B78/$AQ78,0),0)</f>
        <v>3</v>
      </c>
      <c r="DL78" s="9">
        <f>IFERROR(ROUNDUP(+C78/$AT78,0),0)</f>
        <v>2</v>
      </c>
      <c r="DM78" s="9">
        <f>IFERROR(ROUNDUP(+D78/$AW78,0),0)</f>
        <v>6</v>
      </c>
      <c r="DN78" s="9">
        <f>IFERROR(ROUNDUP(+E78/$AZ78,0),0)</f>
        <v>3</v>
      </c>
      <c r="DO78" s="9">
        <f>IFERROR(ROUNDUP(+F78/$BC78,0),0)</f>
        <v>3</v>
      </c>
      <c r="DP78" s="9">
        <f>IFERROR(ROUNDUP(+G78/$BF78,0),0)</f>
        <v>3</v>
      </c>
      <c r="DQ78" s="9">
        <f>IFERROR(ROUNDUP(+$H78/$BI78,0),0)</f>
        <v>2</v>
      </c>
      <c r="DR78" s="116">
        <f>IFERROR(ROUNDUP(+I78/$BL78,0),0)</f>
        <v>7</v>
      </c>
      <c r="DS78" s="9">
        <f>IFERROR(ROUNDUP(J78/BO78,0),0)</f>
        <v>0</v>
      </c>
      <c r="DT78" s="9">
        <f>IFERROR(ROUNDUP(+K78/BR78,0),0)</f>
        <v>1</v>
      </c>
      <c r="DU78" s="9">
        <f>IFERROR(ROUNDUP(+N78/BU78,0),0)</f>
        <v>3</v>
      </c>
      <c r="DV78" s="10">
        <v>3</v>
      </c>
      <c r="DW78" s="9">
        <f>IFERROR(ROUNDUP(+V78/CA78,0),0)</f>
        <v>2</v>
      </c>
      <c r="DX78" s="9">
        <f>IFERROR(ROUNDUP(+Y78/CD78,0),0)</f>
        <v>2</v>
      </c>
      <c r="DY78" s="9">
        <f>IFERROR(ROUNDUP(+AE78/CG78,0),0)</f>
        <v>4</v>
      </c>
      <c r="DZ78" s="9">
        <f>IFERROR(ROUNDUP(+AF78/CJ78,0),0)</f>
        <v>3</v>
      </c>
      <c r="EA78" s="9">
        <f>IFERROR(ROUNDUP(+AG78/CM78,0),0)</f>
        <v>3</v>
      </c>
      <c r="EB78" s="9">
        <f>IFERROR(ROUNDUP(+AH78/CP78,0),0)</f>
        <v>1</v>
      </c>
      <c r="EC78" s="9">
        <f>IFERROR(ROUNDUP(+AI78/CS78,0),0)</f>
        <v>2</v>
      </c>
      <c r="ED78" s="9">
        <f>IFERROR(ROUNDUP(+AJ78/CV78,0),0)</f>
        <v>2</v>
      </c>
      <c r="EE78" s="9">
        <f>IFERROR(ROUNDUP(+AK78/CY78,0),0)</f>
        <v>2</v>
      </c>
      <c r="EF78" s="9">
        <f>IFERROR(ROUNDUP(+AL78/DB78,0),0)</f>
        <v>1</v>
      </c>
      <c r="EG78" s="9">
        <f>IFERROR(ROUNDUP(+AM78/DE78,0),0)</f>
        <v>2</v>
      </c>
      <c r="EH78" s="9">
        <f>IFERROR(ROUNDUP(+AN78/DH78,0),0)</f>
        <v>2</v>
      </c>
      <c r="EJ78" s="8">
        <f t="shared" si="679"/>
        <v>12</v>
      </c>
      <c r="EK78" s="9">
        <f t="shared" si="680"/>
        <v>8</v>
      </c>
      <c r="EL78" s="9">
        <f t="shared" si="681"/>
        <v>12</v>
      </c>
      <c r="EM78" s="9">
        <f t="shared" si="682"/>
        <v>12</v>
      </c>
      <c r="EN78" s="9">
        <f t="shared" si="683"/>
        <v>12</v>
      </c>
      <c r="EO78" s="9">
        <f t="shared" si="684"/>
        <v>6</v>
      </c>
      <c r="EP78" s="9">
        <f>BJ78*DQ78</f>
        <v>8</v>
      </c>
      <c r="EQ78" s="9">
        <f>+BM78*DR78</f>
        <v>28</v>
      </c>
      <c r="ER78" s="9">
        <f>BP78*DS78</f>
        <v>0</v>
      </c>
      <c r="ES78" s="9">
        <f>+BS78*DT78</f>
        <v>4</v>
      </c>
      <c r="ET78" s="9">
        <f>+BV78*DU78</f>
        <v>12</v>
      </c>
      <c r="EU78" s="10">
        <f>+BY78*DV78</f>
        <v>12</v>
      </c>
      <c r="EV78" s="9">
        <f>+CB78*DW78</f>
        <v>8</v>
      </c>
      <c r="EW78" s="9">
        <f>+CE78*DX78</f>
        <v>8</v>
      </c>
      <c r="EX78" s="9">
        <f>+CH78*DY78</f>
        <v>16</v>
      </c>
      <c r="EY78" s="9">
        <f>+CK78*DZ78</f>
        <v>12</v>
      </c>
      <c r="EZ78" s="9">
        <f>+CN78*EA78</f>
        <v>12</v>
      </c>
      <c r="FA78" s="9">
        <f>+CQ78*EB78</f>
        <v>4</v>
      </c>
      <c r="FB78" s="9">
        <f>+CT78*EC78</f>
        <v>8</v>
      </c>
      <c r="FC78" s="9">
        <f>+CW78*ED78</f>
        <v>8</v>
      </c>
      <c r="FD78" s="9">
        <f t="shared" si="685"/>
        <v>8</v>
      </c>
      <c r="FE78" s="9">
        <f t="shared" si="686"/>
        <v>4</v>
      </c>
      <c r="FF78" s="9">
        <f t="shared" si="687"/>
        <v>8</v>
      </c>
      <c r="FG78" s="9">
        <f t="shared" si="688"/>
        <v>8</v>
      </c>
      <c r="FO78" t="str">
        <f t="shared" si="615"/>
        <v>Hain CelestialS6/S7</v>
      </c>
      <c r="FP78" t="str">
        <f t="shared" si="616"/>
        <v>Hain CelestialS6/S7</v>
      </c>
      <c r="FQ78" t="str">
        <f t="shared" si="617"/>
        <v>Hain CelestialS6/S7</v>
      </c>
      <c r="FR78">
        <v>0</v>
      </c>
    </row>
    <row r="79" spans="1:174" outlineLevel="2" x14ac:dyDescent="0.25">
      <c r="A79" s="28" t="s">
        <v>56</v>
      </c>
      <c r="B79" s="9">
        <f>SUMIF(Prophix!$Q:$Q,'Fds Units'!$A79,Prophix!D:D)</f>
        <v>305194</v>
      </c>
      <c r="C79" s="9">
        <f>SUMIF(Prophix!$Q:$Q,'Fds Units'!$A79,Prophix!E:E)</f>
        <v>368432</v>
      </c>
      <c r="D79" s="9">
        <f>SUMIF(Prophix!$Q:$Q,'Fds Units'!$A79,Prophix!F:F)</f>
        <v>1414182</v>
      </c>
      <c r="E79" s="9">
        <f>SUMIF(Prophix!$Q:$Q,'Fds Units'!$A79,Prophix!G:G)</f>
        <v>1679122</v>
      </c>
      <c r="F79" s="9">
        <f>SUMIF(Prophix!$Q:$Q,'Fds Units'!$A79,Prophix!H:H)</f>
        <v>1664634</v>
      </c>
      <c r="G79" s="9">
        <f>SUMIF(Prophix!$Q:$Q,'Fds Units'!$A79,Prophix!I:I)</f>
        <v>1184016</v>
      </c>
      <c r="H79" s="9">
        <f>SUMIF(Prophix!$Q:$Q,'Fds Units'!$A79,Prophix!J:J)</f>
        <v>1872768</v>
      </c>
      <c r="I79" s="9">
        <f>SUMIF(Prophix!$Q:$Q,'Fds Units'!$A79,Prophix!K:K)</f>
        <v>1602980</v>
      </c>
      <c r="J79" s="9">
        <f>SUMIF(Prophix!$Q:$Q,'Fds Units'!$A79,Prophix!L:L)</f>
        <v>1063766</v>
      </c>
      <c r="K79" s="9">
        <f>SUMIF(Prophix!$Q:$Q,'Fds Units'!$A79,Prophix!M:M)</f>
        <v>1731146</v>
      </c>
      <c r="L79" s="92">
        <v>1649840</v>
      </c>
      <c r="M79" s="133">
        <f>+N79</f>
        <v>2083596</v>
      </c>
      <c r="N79" s="92">
        <v>2083596</v>
      </c>
      <c r="O79" s="92">
        <f t="shared" si="653"/>
        <v>-433756</v>
      </c>
      <c r="P79" s="142"/>
      <c r="Q79" s="133">
        <f>+R79</f>
        <v>1466000</v>
      </c>
      <c r="R79" s="92">
        <v>1466000</v>
      </c>
      <c r="S79" s="92">
        <v>1156520</v>
      </c>
      <c r="T79" s="186">
        <f>S79-R79</f>
        <v>-309480</v>
      </c>
      <c r="U79" s="117">
        <v>1601988</v>
      </c>
      <c r="V79" s="117">
        <v>1359992</v>
      </c>
      <c r="W79" s="117">
        <v>1404000</v>
      </c>
      <c r="X79" s="9">
        <v>1071067</v>
      </c>
      <c r="Y79" s="8">
        <v>1897980</v>
      </c>
      <c r="Z79" s="9">
        <v>1901984</v>
      </c>
      <c r="AA79" s="9">
        <v>1440494</v>
      </c>
      <c r="AB79" s="242">
        <f>AA79-Z79</f>
        <v>-461490</v>
      </c>
      <c r="AC79" s="241">
        <v>2262000</v>
      </c>
      <c r="AD79" s="165">
        <v>2262000</v>
      </c>
      <c r="AE79" s="242">
        <v>2247980</v>
      </c>
      <c r="AF79" s="66">
        <v>2262000</v>
      </c>
      <c r="AG79" s="66">
        <v>2106000</v>
      </c>
      <c r="AH79" s="66">
        <v>2106000</v>
      </c>
      <c r="AI79" s="66">
        <v>2340000</v>
      </c>
      <c r="AJ79" s="66">
        <v>2106000</v>
      </c>
      <c r="AK79" s="66">
        <v>1482000</v>
      </c>
      <c r="AL79" s="66">
        <v>1560000</v>
      </c>
      <c r="AM79" s="66">
        <v>1638000</v>
      </c>
      <c r="AN79" s="66">
        <v>702000</v>
      </c>
      <c r="AO79" s="59"/>
      <c r="AP79" s="8" t="s">
        <v>93</v>
      </c>
      <c r="AQ79" s="9">
        <v>60000</v>
      </c>
      <c r="AR79" s="10">
        <v>2</v>
      </c>
      <c r="AS79" s="8" t="s">
        <v>93</v>
      </c>
      <c r="AT79" s="9">
        <v>55000</v>
      </c>
      <c r="AU79" s="10">
        <v>4</v>
      </c>
      <c r="AV79" s="8" t="s">
        <v>93</v>
      </c>
      <c r="AW79" s="9">
        <v>85000</v>
      </c>
      <c r="AX79" s="10">
        <v>2</v>
      </c>
      <c r="AY79" s="8" t="s">
        <v>93</v>
      </c>
      <c r="AZ79" s="9">
        <v>85000</v>
      </c>
      <c r="BA79" s="10">
        <v>4</v>
      </c>
      <c r="BB79" s="8" t="s">
        <v>93</v>
      </c>
      <c r="BC79" s="9">
        <f>+F79/15</f>
        <v>110975.6</v>
      </c>
      <c r="BD79" s="10">
        <v>4</v>
      </c>
      <c r="BE79" s="8" t="s">
        <v>93</v>
      </c>
      <c r="BF79" s="9">
        <f>+G79/14</f>
        <v>84572.571428571435</v>
      </c>
      <c r="BG79" s="10">
        <v>2</v>
      </c>
      <c r="BH79" s="8" t="s">
        <v>93</v>
      </c>
      <c r="BI79" s="9">
        <f>+H79/21</f>
        <v>89179.428571428565</v>
      </c>
      <c r="BJ79" s="10">
        <v>4</v>
      </c>
      <c r="BK79" s="8" t="s">
        <v>93</v>
      </c>
      <c r="BL79" s="9">
        <f>+I79/14</f>
        <v>114498.57142857143</v>
      </c>
      <c r="BM79" s="10">
        <v>4</v>
      </c>
      <c r="BN79" s="8" t="s">
        <v>93</v>
      </c>
      <c r="BO79" s="9">
        <f>+J79/13</f>
        <v>81828.153846153844</v>
      </c>
      <c r="BP79" s="10">
        <v>4</v>
      </c>
      <c r="BQ79" s="8" t="s">
        <v>93</v>
      </c>
      <c r="BR79" s="9">
        <v>150000</v>
      </c>
      <c r="BS79" s="10">
        <v>4</v>
      </c>
      <c r="BT79" s="8" t="s">
        <v>93</v>
      </c>
      <c r="BU79" s="9">
        <f>+R79/15</f>
        <v>97733.333333333328</v>
      </c>
      <c r="BV79" s="10">
        <v>4</v>
      </c>
      <c r="BW79" s="8" t="s">
        <v>93</v>
      </c>
      <c r="BX79" s="9">
        <v>150000</v>
      </c>
      <c r="BY79" s="10">
        <v>4</v>
      </c>
      <c r="BZ79" s="8" t="s">
        <v>93</v>
      </c>
      <c r="CA79" s="9">
        <f t="shared" si="655"/>
        <v>150000</v>
      </c>
      <c r="CB79" s="10">
        <f t="shared" si="656"/>
        <v>4</v>
      </c>
      <c r="CC79" s="8" t="s">
        <v>93</v>
      </c>
      <c r="CD79" s="9">
        <f t="shared" si="657"/>
        <v>150000</v>
      </c>
      <c r="CE79" s="10">
        <f t="shared" si="658"/>
        <v>4</v>
      </c>
      <c r="CF79" s="8" t="s">
        <v>93</v>
      </c>
      <c r="CG79" s="9">
        <f t="shared" si="659"/>
        <v>150000</v>
      </c>
      <c r="CH79" s="10">
        <f t="shared" si="660"/>
        <v>4</v>
      </c>
      <c r="CI79" s="8" t="s">
        <v>93</v>
      </c>
      <c r="CJ79" s="9">
        <f t="shared" si="661"/>
        <v>150000</v>
      </c>
      <c r="CK79" s="10">
        <f t="shared" si="662"/>
        <v>4</v>
      </c>
      <c r="CL79" s="8" t="s">
        <v>93</v>
      </c>
      <c r="CM79" s="9">
        <f t="shared" si="663"/>
        <v>150000</v>
      </c>
      <c r="CN79" s="10">
        <f t="shared" si="664"/>
        <v>4</v>
      </c>
      <c r="CO79" s="8" t="s">
        <v>93</v>
      </c>
      <c r="CP79" s="9">
        <f t="shared" si="665"/>
        <v>150000</v>
      </c>
      <c r="CQ79" s="10">
        <f t="shared" si="666"/>
        <v>4</v>
      </c>
      <c r="CR79" s="8" t="s">
        <v>93</v>
      </c>
      <c r="CS79" s="9">
        <f t="shared" si="667"/>
        <v>150000</v>
      </c>
      <c r="CT79" s="10">
        <f t="shared" si="668"/>
        <v>4</v>
      </c>
      <c r="CU79" s="8" t="s">
        <v>93</v>
      </c>
      <c r="CV79" s="9">
        <f t="shared" si="669"/>
        <v>150000</v>
      </c>
      <c r="CW79" s="10">
        <f t="shared" si="670"/>
        <v>4</v>
      </c>
      <c r="CX79" s="8" t="s">
        <v>93</v>
      </c>
      <c r="CY79" s="9">
        <f t="shared" si="671"/>
        <v>150000</v>
      </c>
      <c r="CZ79" s="10">
        <f t="shared" si="672"/>
        <v>4</v>
      </c>
      <c r="DA79" s="8" t="s">
        <v>93</v>
      </c>
      <c r="DB79" s="9">
        <f t="shared" si="673"/>
        <v>150000</v>
      </c>
      <c r="DC79" s="10">
        <f t="shared" si="674"/>
        <v>4</v>
      </c>
      <c r="DD79" s="8" t="s">
        <v>93</v>
      </c>
      <c r="DE79" s="9">
        <f t="shared" si="675"/>
        <v>150000</v>
      </c>
      <c r="DF79" s="10">
        <f t="shared" si="676"/>
        <v>4</v>
      </c>
      <c r="DG79" s="8" t="s">
        <v>93</v>
      </c>
      <c r="DH79" s="9">
        <f t="shared" si="677"/>
        <v>150000</v>
      </c>
      <c r="DI79" s="10">
        <f t="shared" si="678"/>
        <v>4</v>
      </c>
      <c r="DK79" s="8">
        <f>IFERROR(ROUNDUP(+B79/$AQ79,0),0)</f>
        <v>6</v>
      </c>
      <c r="DL79" s="9">
        <f>IFERROR(ROUNDUP(+C79/$AT79,0),0)</f>
        <v>7</v>
      </c>
      <c r="DM79" s="9">
        <f>IFERROR(ROUNDUP(+D79/$AW79,0),0)</f>
        <v>17</v>
      </c>
      <c r="DN79" s="9">
        <v>18</v>
      </c>
      <c r="DO79" s="9">
        <f>IFERROR(ROUNDUP(+F79/$BC79,0),0)</f>
        <v>15</v>
      </c>
      <c r="DP79" s="9">
        <f>IFERROR(ROUNDUP(+G79/$BF79,0),0)</f>
        <v>14</v>
      </c>
      <c r="DQ79" s="9">
        <f>IFERROR(ROUNDUP(+$H79/$BI79,0),0)</f>
        <v>21</v>
      </c>
      <c r="DR79" s="116">
        <f>IFERROR(ROUNDUP(+I79/$BL79,0),0)</f>
        <v>14</v>
      </c>
      <c r="DS79" s="9">
        <f>IFERROR(ROUNDUP(J79/BO79,0),0)</f>
        <v>13</v>
      </c>
      <c r="DT79" s="9">
        <v>23</v>
      </c>
      <c r="DU79" s="9">
        <v>16</v>
      </c>
      <c r="DV79" s="10">
        <v>13</v>
      </c>
      <c r="DW79" s="9">
        <f>IFERROR(ROUNDUP(+V79/CA79,0),0)</f>
        <v>10</v>
      </c>
      <c r="DX79" s="9">
        <f>IFERROR(ROUNDUP(+Y79/CD79,0),0)</f>
        <v>13</v>
      </c>
      <c r="DY79" s="9">
        <f>IFERROR(ROUNDUP(+AE79/CG79,0),0)</f>
        <v>15</v>
      </c>
      <c r="DZ79" s="9">
        <f>IFERROR(ROUNDUP(+AF79/CJ79,0),0)</f>
        <v>16</v>
      </c>
      <c r="EA79" s="9">
        <f>IFERROR(ROUNDUP(+AG79/CM79,0),0)</f>
        <v>15</v>
      </c>
      <c r="EB79" s="9">
        <f>IFERROR(ROUNDUP(+AH79/CP79,0),0)</f>
        <v>15</v>
      </c>
      <c r="EC79" s="9">
        <f>IFERROR(ROUNDUP(+AI79/CS79,0),0)</f>
        <v>16</v>
      </c>
      <c r="ED79" s="9">
        <f>IFERROR(ROUNDUP(+AJ79/CV79,0),0)</f>
        <v>15</v>
      </c>
      <c r="EE79" s="9">
        <f>IFERROR(ROUNDUP(+AK79/CY79,0),0)</f>
        <v>10</v>
      </c>
      <c r="EF79" s="9">
        <f>IFERROR(ROUNDUP(+AL79/DB79,0),0)</f>
        <v>11</v>
      </c>
      <c r="EG79" s="9">
        <f>IFERROR(ROUNDUP(+AM79/DE79,0),0)</f>
        <v>11</v>
      </c>
      <c r="EH79" s="9">
        <f>IFERROR(ROUNDUP(+AN79/DH79,0),0)</f>
        <v>5</v>
      </c>
      <c r="EJ79" s="8">
        <f t="shared" si="679"/>
        <v>12</v>
      </c>
      <c r="EK79" s="9">
        <f t="shared" si="680"/>
        <v>28</v>
      </c>
      <c r="EL79" s="9">
        <f t="shared" si="681"/>
        <v>34</v>
      </c>
      <c r="EM79" s="9">
        <f t="shared" si="682"/>
        <v>72</v>
      </c>
      <c r="EN79" s="9">
        <f t="shared" si="683"/>
        <v>60</v>
      </c>
      <c r="EO79" s="9">
        <f t="shared" si="684"/>
        <v>28</v>
      </c>
      <c r="EP79" s="9">
        <f>BJ79*DQ79</f>
        <v>84</v>
      </c>
      <c r="EQ79" s="9">
        <f>+BM79*DR79</f>
        <v>56</v>
      </c>
      <c r="ER79" s="9">
        <f>BP79*DS79</f>
        <v>52</v>
      </c>
      <c r="ES79" s="9">
        <f>+BS79*DT79</f>
        <v>92</v>
      </c>
      <c r="ET79" s="9">
        <f>+BV79*DU79</f>
        <v>64</v>
      </c>
      <c r="EU79" s="10">
        <f>+BY79*DV79</f>
        <v>52</v>
      </c>
      <c r="EV79" s="9">
        <f>+CB79*DW79</f>
        <v>40</v>
      </c>
      <c r="EW79" s="9">
        <f>+CE79*DX79</f>
        <v>52</v>
      </c>
      <c r="EX79" s="9">
        <f>+CH79*DY79</f>
        <v>60</v>
      </c>
      <c r="EY79" s="9">
        <f>+CK79*DZ79</f>
        <v>64</v>
      </c>
      <c r="EZ79" s="9">
        <f>+CN79*EA79</f>
        <v>60</v>
      </c>
      <c r="FA79" s="9">
        <f>+CQ79*EB79</f>
        <v>60</v>
      </c>
      <c r="FB79" s="9">
        <f>+CT79*EC79</f>
        <v>64</v>
      </c>
      <c r="FC79" s="9">
        <f>+CW79*ED79</f>
        <v>60</v>
      </c>
      <c r="FD79" s="9">
        <f t="shared" si="685"/>
        <v>40</v>
      </c>
      <c r="FE79" s="9">
        <f t="shared" si="686"/>
        <v>44</v>
      </c>
      <c r="FF79" s="9">
        <f t="shared" si="687"/>
        <v>44</v>
      </c>
      <c r="FG79" s="9">
        <f t="shared" si="688"/>
        <v>20</v>
      </c>
      <c r="FO79" t="str">
        <f t="shared" si="615"/>
        <v>SerenityS6/S7</v>
      </c>
      <c r="FP79" t="str">
        <f t="shared" si="616"/>
        <v>SerenityS6/S7</v>
      </c>
      <c r="FQ79" t="str">
        <f t="shared" si="617"/>
        <v>SerenityS6/S7</v>
      </c>
      <c r="FR79">
        <v>0</v>
      </c>
    </row>
    <row r="80" spans="1:174" outlineLevel="2" x14ac:dyDescent="0.25">
      <c r="A80" s="28" t="s">
        <v>57</v>
      </c>
      <c r="B80" s="9">
        <f>SUMIF(Prophix!$Q:$Q,'Fds Units'!$A80,Prophix!D:D)</f>
        <v>0</v>
      </c>
      <c r="C80" s="9">
        <f>SUMIF(Prophix!$Q:$Q,'Fds Units'!$A80,Prophix!E:E)</f>
        <v>0</v>
      </c>
      <c r="D80" s="9">
        <f>SUMIF(Prophix!$Q:$Q,'Fds Units'!$A80,Prophix!F:F)</f>
        <v>63048</v>
      </c>
      <c r="E80" s="9">
        <f>SUMIF(Prophix!$Q:$Q,'Fds Units'!$A80,Prophix!G:G)</f>
        <v>0</v>
      </c>
      <c r="F80" s="9">
        <f>SUMIF(Prophix!$Q:$Q,'Fds Units'!$A80,Prophix!H:H)</f>
        <v>0</v>
      </c>
      <c r="G80" s="9">
        <f>SUMIF(Prophix!$Q:$Q,'Fds Units'!$A80,Prophix!I:I)</f>
        <v>79872</v>
      </c>
      <c r="H80" s="9">
        <f>SUMIF(Prophix!$Q:$Q,'Fds Units'!$A80,Prophix!J:J)</f>
        <v>71244</v>
      </c>
      <c r="I80" s="9">
        <f>SUMIF(Prophix!$Q:$Q,'Fds Units'!$A80,Prophix!K:K)</f>
        <v>0</v>
      </c>
      <c r="J80" s="9">
        <f>SUMIF(Prophix!$Q:$Q,'Fds Units'!$A80,Prophix!L:L)</f>
        <v>0</v>
      </c>
      <c r="K80" s="9">
        <f>SUMIF(Prophix!$Q:$Q,'Fds Units'!$A80,Prophix!M:M)</f>
        <v>0</v>
      </c>
      <c r="L80" s="92"/>
      <c r="M80" s="133">
        <f t="shared" ref="M80" si="689">+L80+N80</f>
        <v>0</v>
      </c>
      <c r="N80" s="92">
        <f>SUMIF(Schedule!$R:$R,$FP80,Schedule!P:P)</f>
        <v>0</v>
      </c>
      <c r="O80" s="92">
        <f t="shared" si="653"/>
        <v>0</v>
      </c>
      <c r="P80" s="142"/>
      <c r="Q80" s="133">
        <f t="shared" si="654"/>
        <v>0</v>
      </c>
      <c r="R80" s="92"/>
      <c r="S80" s="92"/>
      <c r="T80" s="186">
        <f t="shared" ref="T80" si="690">+R80-Q80</f>
        <v>0</v>
      </c>
      <c r="U80" s="66"/>
      <c r="V80" s="66"/>
      <c r="W80" s="66"/>
      <c r="X80" s="9"/>
      <c r="Y80" s="45"/>
      <c r="AA80" s="66"/>
      <c r="AB80" s="46"/>
      <c r="AC80" s="45"/>
      <c r="AE80" s="242">
        <v>0</v>
      </c>
      <c r="AF80" s="66"/>
      <c r="AG80" s="66"/>
      <c r="AH80" s="66"/>
      <c r="AI80" s="66"/>
      <c r="AJ80" s="66"/>
      <c r="AK80" s="66"/>
      <c r="AL80" s="66"/>
      <c r="AM80" s="66"/>
      <c r="AN80" s="66"/>
      <c r="AO80" s="59"/>
      <c r="AP80" s="8" t="s">
        <v>93</v>
      </c>
      <c r="AQ80" s="9">
        <v>150000</v>
      </c>
      <c r="AR80" s="10">
        <v>4</v>
      </c>
      <c r="AS80" s="8" t="s">
        <v>93</v>
      </c>
      <c r="AT80" s="9">
        <v>150000</v>
      </c>
      <c r="AU80" s="10">
        <v>4</v>
      </c>
      <c r="AV80" s="8" t="s">
        <v>93</v>
      </c>
      <c r="AW80" s="9">
        <v>75000</v>
      </c>
      <c r="AX80" s="10">
        <v>2</v>
      </c>
      <c r="AY80" s="8" t="s">
        <v>93</v>
      </c>
      <c r="AZ80" s="9">
        <v>150000</v>
      </c>
      <c r="BA80" s="10">
        <v>4</v>
      </c>
      <c r="BB80" s="8" t="s">
        <v>93</v>
      </c>
      <c r="BC80" s="9">
        <v>80004</v>
      </c>
      <c r="BD80" s="10">
        <v>2</v>
      </c>
      <c r="BE80" s="8" t="s">
        <v>93</v>
      </c>
      <c r="BF80" s="9">
        <f>+G80/1</f>
        <v>79872</v>
      </c>
      <c r="BG80" s="10">
        <v>4</v>
      </c>
      <c r="BH80" s="8" t="s">
        <v>93</v>
      </c>
      <c r="BI80" s="9">
        <v>150000</v>
      </c>
      <c r="BJ80" s="10">
        <v>4</v>
      </c>
      <c r="BK80" s="8" t="s">
        <v>93</v>
      </c>
      <c r="BL80" s="9">
        <v>150000</v>
      </c>
      <c r="BM80" s="10">
        <v>4</v>
      </c>
      <c r="BN80" s="8" t="s">
        <v>93</v>
      </c>
      <c r="BO80" s="9">
        <v>150000</v>
      </c>
      <c r="BP80" s="10">
        <v>4</v>
      </c>
      <c r="BQ80" s="8" t="s">
        <v>93</v>
      </c>
      <c r="BR80" s="9">
        <v>150000</v>
      </c>
      <c r="BS80" s="10">
        <v>4</v>
      </c>
      <c r="BT80" s="8" t="s">
        <v>93</v>
      </c>
      <c r="BU80" s="9">
        <v>150000</v>
      </c>
      <c r="BV80" s="10">
        <v>4</v>
      </c>
      <c r="BW80" s="8" t="s">
        <v>93</v>
      </c>
      <c r="BX80" s="9">
        <v>150000</v>
      </c>
      <c r="BY80" s="10">
        <v>4</v>
      </c>
      <c r="BZ80" s="8" t="s">
        <v>93</v>
      </c>
      <c r="CA80" s="9">
        <f t="shared" si="655"/>
        <v>150000</v>
      </c>
      <c r="CB80" s="10">
        <f t="shared" si="656"/>
        <v>4</v>
      </c>
      <c r="CC80" s="8" t="s">
        <v>93</v>
      </c>
      <c r="CD80" s="9">
        <f t="shared" si="657"/>
        <v>150000</v>
      </c>
      <c r="CE80" s="10">
        <f t="shared" si="658"/>
        <v>4</v>
      </c>
      <c r="CF80" s="8" t="s">
        <v>93</v>
      </c>
      <c r="CG80" s="9">
        <f t="shared" si="659"/>
        <v>150000</v>
      </c>
      <c r="CH80" s="10">
        <f t="shared" si="660"/>
        <v>4</v>
      </c>
      <c r="CI80" s="8" t="s">
        <v>93</v>
      </c>
      <c r="CJ80" s="9">
        <f t="shared" si="661"/>
        <v>150000</v>
      </c>
      <c r="CK80" s="10">
        <f t="shared" si="662"/>
        <v>4</v>
      </c>
      <c r="CL80" s="8" t="s">
        <v>93</v>
      </c>
      <c r="CM80" s="9">
        <f t="shared" si="663"/>
        <v>150000</v>
      </c>
      <c r="CN80" s="10">
        <f t="shared" si="664"/>
        <v>4</v>
      </c>
      <c r="CO80" s="8" t="s">
        <v>93</v>
      </c>
      <c r="CP80" s="9">
        <f t="shared" si="665"/>
        <v>150000</v>
      </c>
      <c r="CQ80" s="10">
        <f t="shared" si="666"/>
        <v>4</v>
      </c>
      <c r="CR80" s="8" t="s">
        <v>93</v>
      </c>
      <c r="CS80" s="9">
        <f t="shared" si="667"/>
        <v>150000</v>
      </c>
      <c r="CT80" s="10">
        <f t="shared" si="668"/>
        <v>4</v>
      </c>
      <c r="CU80" s="8" t="s">
        <v>93</v>
      </c>
      <c r="CV80" s="9">
        <f t="shared" si="669"/>
        <v>150000</v>
      </c>
      <c r="CW80" s="10">
        <f t="shared" si="670"/>
        <v>4</v>
      </c>
      <c r="CX80" s="8" t="s">
        <v>93</v>
      </c>
      <c r="CY80" s="9">
        <f t="shared" si="671"/>
        <v>150000</v>
      </c>
      <c r="CZ80" s="10">
        <f t="shared" si="672"/>
        <v>4</v>
      </c>
      <c r="DA80" s="8" t="s">
        <v>93</v>
      </c>
      <c r="DB80" s="9">
        <f t="shared" si="673"/>
        <v>150000</v>
      </c>
      <c r="DC80" s="10">
        <f t="shared" si="674"/>
        <v>4</v>
      </c>
      <c r="DD80" s="8" t="s">
        <v>93</v>
      </c>
      <c r="DE80" s="9">
        <f t="shared" si="675"/>
        <v>150000</v>
      </c>
      <c r="DF80" s="10">
        <f t="shared" si="676"/>
        <v>4</v>
      </c>
      <c r="DG80" s="8" t="s">
        <v>93</v>
      </c>
      <c r="DH80" s="9">
        <f t="shared" si="677"/>
        <v>150000</v>
      </c>
      <c r="DI80" s="10">
        <f t="shared" si="678"/>
        <v>4</v>
      </c>
      <c r="DK80" s="8">
        <f>IFERROR(ROUNDUP(+B80/$AQ80,0),0)</f>
        <v>0</v>
      </c>
      <c r="DL80" s="9">
        <f>IFERROR(ROUNDUP(+C80/$AT80,0),0)</f>
        <v>0</v>
      </c>
      <c r="DM80" s="9">
        <f>IFERROR(ROUNDUP(+D80/$AW80,0),0)</f>
        <v>1</v>
      </c>
      <c r="DN80" s="9">
        <f>IFERROR(ROUNDUP(+E80/$AZ80,0),0)</f>
        <v>0</v>
      </c>
      <c r="DO80" s="9">
        <f>IFERROR(ROUNDUP(+F80/$BC80,0),0)</f>
        <v>0</v>
      </c>
      <c r="DP80" s="9">
        <f>IFERROR(ROUNDUP(+G80/$BF80,0),0)</f>
        <v>1</v>
      </c>
      <c r="DQ80" s="9">
        <f>IFERROR(ROUNDUP(+$H80/$BI80,0),0)</f>
        <v>1</v>
      </c>
      <c r="DR80" s="9">
        <f>IFERROR(ROUNDUP(+I80/$BL80,0),0)</f>
        <v>0</v>
      </c>
      <c r="DS80" s="9">
        <f>IFERROR(ROUNDUP(J80/BO80,0),0)</f>
        <v>0</v>
      </c>
      <c r="DT80" s="9">
        <f>IFERROR(ROUNDUP(+K80/BR80,0),0)</f>
        <v>0</v>
      </c>
      <c r="DU80" s="9">
        <f>IFERROR(ROUNDUP(+N80/BU80,0),0)</f>
        <v>0</v>
      </c>
      <c r="DV80" s="10">
        <f>IFERROR(ROUNDUP(+R80/BX80,0),0)</f>
        <v>0</v>
      </c>
      <c r="DW80" s="9">
        <f>IFERROR(ROUNDUP(+U80/CA80,0),0)</f>
        <v>0</v>
      </c>
      <c r="DX80" s="9">
        <f>IFERROR(ROUNDUP(+Y80/CD80,0),0)</f>
        <v>0</v>
      </c>
      <c r="DY80" s="9">
        <f>IFERROR(ROUNDUP(+AE80/CG80,0),0)</f>
        <v>0</v>
      </c>
      <c r="DZ80" s="9">
        <f>IFERROR(ROUNDUP(+AF80/CJ80,0),0)</f>
        <v>0</v>
      </c>
      <c r="EA80" s="9">
        <f>IFERROR(ROUNDUP(+AG80/CM80,0),0)</f>
        <v>0</v>
      </c>
      <c r="EB80" s="9">
        <f>IFERROR(ROUNDUP(+AH80/CP80,0),0)</f>
        <v>0</v>
      </c>
      <c r="EC80" s="9">
        <f>IFERROR(ROUNDUP(+AI80/CS80,0),0)</f>
        <v>0</v>
      </c>
      <c r="ED80" s="9">
        <f>IFERROR(ROUNDUP(+AJ80/CV80,0),0)</f>
        <v>0</v>
      </c>
      <c r="EE80" s="9">
        <f>IFERROR(ROUNDUP(+AK80/CY80,0),0)</f>
        <v>0</v>
      </c>
      <c r="EF80" s="9">
        <f>IFERROR(ROUNDUP(+AL80/DB80,0),0)</f>
        <v>0</v>
      </c>
      <c r="EG80" s="9">
        <f>IFERROR(ROUNDUP(+AM80/DE80,0),0)</f>
        <v>0</v>
      </c>
      <c r="EH80" s="9">
        <f>IFERROR(ROUNDUP(+AN80/DH80,0),0)</f>
        <v>0</v>
      </c>
      <c r="EJ80" s="8">
        <f t="shared" si="679"/>
        <v>0</v>
      </c>
      <c r="EK80" s="9">
        <f t="shared" si="680"/>
        <v>0</v>
      </c>
      <c r="EL80" s="9">
        <f t="shared" si="681"/>
        <v>2</v>
      </c>
      <c r="EM80" s="9">
        <f t="shared" si="682"/>
        <v>0</v>
      </c>
      <c r="EN80" s="9">
        <f t="shared" si="683"/>
        <v>0</v>
      </c>
      <c r="EO80" s="9">
        <f t="shared" si="684"/>
        <v>4</v>
      </c>
      <c r="EP80" s="9">
        <f>BJ80*DQ80</f>
        <v>4</v>
      </c>
      <c r="EQ80" s="9">
        <f>+BM80*DR80</f>
        <v>0</v>
      </c>
      <c r="ER80" s="9">
        <f>BP80*DS80</f>
        <v>0</v>
      </c>
      <c r="ES80" s="9">
        <f>+BS80*DT80</f>
        <v>0</v>
      </c>
      <c r="ET80" s="9">
        <f>+BV80*DU80</f>
        <v>0</v>
      </c>
      <c r="EU80" s="10">
        <f>+BY80*DV80</f>
        <v>0</v>
      </c>
      <c r="EV80" s="9">
        <f>+CB80*DW80</f>
        <v>0</v>
      </c>
      <c r="EW80" s="9">
        <f>+CE80*DX80</f>
        <v>0</v>
      </c>
      <c r="EX80" s="9">
        <f>+CH80*DY80</f>
        <v>0</v>
      </c>
      <c r="EY80" s="9">
        <f>+CK80*DZ80</f>
        <v>0</v>
      </c>
      <c r="EZ80" s="9">
        <f>+CN80*EA80</f>
        <v>0</v>
      </c>
      <c r="FA80" s="9">
        <f>+CQ80*EB80</f>
        <v>0</v>
      </c>
      <c r="FB80" s="9">
        <f>+CT80*EC80</f>
        <v>0</v>
      </c>
      <c r="FC80" s="9">
        <f>+CW80*ED80</f>
        <v>0</v>
      </c>
      <c r="FD80" s="9">
        <f t="shared" si="685"/>
        <v>0</v>
      </c>
      <c r="FE80" s="9">
        <f t="shared" si="686"/>
        <v>0</v>
      </c>
      <c r="FF80" s="9">
        <f t="shared" si="687"/>
        <v>0</v>
      </c>
      <c r="FG80" s="9">
        <f t="shared" si="688"/>
        <v>0</v>
      </c>
      <c r="FO80" t="str">
        <f t="shared" si="615"/>
        <v>SunMaidS6/S7</v>
      </c>
      <c r="FP80" t="str">
        <f t="shared" si="616"/>
        <v>SunMaidS6/S7</v>
      </c>
      <c r="FQ80" t="str">
        <f t="shared" si="617"/>
        <v>SunMaidS6/S7</v>
      </c>
      <c r="FR80">
        <v>0</v>
      </c>
    </row>
    <row r="81" spans="1:174" ht="14.25" customHeight="1" x14ac:dyDescent="0.25">
      <c r="A81" s="28" t="s">
        <v>822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133"/>
      <c r="N81" s="9"/>
      <c r="O81" s="92">
        <f t="shared" si="653"/>
        <v>0</v>
      </c>
      <c r="P81" s="142"/>
      <c r="Q81" s="133"/>
      <c r="R81" s="9"/>
      <c r="S81" s="9"/>
      <c r="T81" s="186"/>
      <c r="U81" s="9"/>
      <c r="V81" s="9"/>
      <c r="W81" s="9"/>
      <c r="X81" s="9"/>
      <c r="Y81" s="8"/>
      <c r="Z81" s="9"/>
      <c r="AA81" s="9"/>
      <c r="AB81" s="10"/>
      <c r="AC81" s="8"/>
      <c r="AD81" s="9"/>
      <c r="AE81" s="10"/>
      <c r="AF81" s="9"/>
      <c r="AG81" s="9"/>
      <c r="AH81" s="9"/>
      <c r="AI81" s="9"/>
      <c r="AJ81" s="9"/>
      <c r="AK81" s="9"/>
      <c r="AL81" s="9"/>
      <c r="AM81" s="9"/>
      <c r="AN81" s="9"/>
      <c r="AO81" s="59"/>
      <c r="AP81" s="8"/>
      <c r="AQ81" s="9"/>
      <c r="AR81" s="10"/>
      <c r="AS81" s="8"/>
      <c r="AT81" s="9"/>
      <c r="AU81" s="10"/>
      <c r="AV81" s="8"/>
      <c r="AW81" s="9"/>
      <c r="AX81" s="10"/>
      <c r="AY81" s="8"/>
      <c r="AZ81" s="9"/>
      <c r="BA81" s="10"/>
      <c r="BB81" s="8"/>
      <c r="BC81" s="9"/>
      <c r="BD81" s="10"/>
      <c r="BE81" s="8"/>
      <c r="BF81" s="9"/>
      <c r="BG81" s="10"/>
      <c r="BH81" s="8"/>
      <c r="BI81" s="9"/>
      <c r="BJ81" s="10"/>
      <c r="BK81" s="8"/>
      <c r="BL81" s="9"/>
      <c r="BM81" s="10"/>
      <c r="BN81" s="8"/>
      <c r="BO81" s="9"/>
      <c r="BP81" s="10"/>
      <c r="BQ81" s="8"/>
      <c r="BR81" s="9"/>
      <c r="BS81" s="10"/>
      <c r="BT81" s="8"/>
      <c r="BU81" s="9"/>
      <c r="BV81" s="10"/>
      <c r="BW81" s="8"/>
      <c r="BX81" s="9"/>
      <c r="BY81" s="10"/>
      <c r="BZ81" s="8"/>
      <c r="CA81" s="9"/>
      <c r="CB81" s="10"/>
      <c r="CC81" s="8"/>
      <c r="CD81" s="9"/>
      <c r="CE81" s="10"/>
      <c r="CF81" s="8"/>
      <c r="CG81" s="9"/>
      <c r="CH81" s="10"/>
      <c r="CI81" s="8"/>
      <c r="CJ81" s="9"/>
      <c r="CK81" s="10"/>
      <c r="CL81" s="8"/>
      <c r="CM81" s="9"/>
      <c r="CN81" s="10"/>
      <c r="CO81" s="8"/>
      <c r="CP81" s="9"/>
      <c r="CQ81" s="10"/>
      <c r="CR81" s="8"/>
      <c r="CS81" s="9"/>
      <c r="CT81" s="10"/>
      <c r="CU81" s="8"/>
      <c r="CV81" s="9"/>
      <c r="CW81" s="10"/>
      <c r="CX81" s="8"/>
      <c r="CY81" s="9"/>
      <c r="CZ81" s="10"/>
      <c r="DA81" s="8"/>
      <c r="DB81" s="9"/>
      <c r="DC81" s="10"/>
      <c r="DD81" s="8"/>
      <c r="DE81" s="9"/>
      <c r="DF81" s="10"/>
      <c r="DG81" s="8"/>
      <c r="DH81" s="9"/>
      <c r="DI81" s="10"/>
      <c r="DK81" s="8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10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J81" s="8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10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O81" t="str">
        <f t="shared" si="615"/>
        <v>Simmons</v>
      </c>
      <c r="FP81" t="str">
        <f t="shared" si="616"/>
        <v>Simmons</v>
      </c>
      <c r="FQ81" t="str">
        <f t="shared" si="617"/>
        <v>Simmons</v>
      </c>
      <c r="FR81">
        <v>0</v>
      </c>
    </row>
    <row r="82" spans="1:174" ht="21" x14ac:dyDescent="0.35">
      <c r="A82" s="41" t="s">
        <v>58</v>
      </c>
      <c r="B82" s="14">
        <f t="shared" ref="B82:AI82" si="691">SUM(B83:B97)</f>
        <v>4443098</v>
      </c>
      <c r="C82" s="14">
        <f t="shared" si="691"/>
        <v>4723012</v>
      </c>
      <c r="D82" s="14">
        <f t="shared" si="691"/>
        <v>2785152</v>
      </c>
      <c r="E82" s="14">
        <f t="shared" si="691"/>
        <v>2388924</v>
      </c>
      <c r="F82" s="14">
        <f t="shared" ref="F82:G82" si="692">SUM(F83:F97)</f>
        <v>2153584</v>
      </c>
      <c r="G82" s="14">
        <f t="shared" si="692"/>
        <v>1890924</v>
      </c>
      <c r="H82" s="14">
        <f t="shared" ref="H82:I82" si="693">SUM(H83:H97)</f>
        <v>1902264</v>
      </c>
      <c r="I82" s="14">
        <f t="shared" si="693"/>
        <v>1666524</v>
      </c>
      <c r="J82" s="14">
        <f t="shared" ref="J82:L82" si="694">SUM(J83:J97)</f>
        <v>1797850</v>
      </c>
      <c r="K82" s="14">
        <f t="shared" ref="K82" si="695">SUM(K83:K97)</f>
        <v>2833266</v>
      </c>
      <c r="L82" s="14">
        <f t="shared" si="694"/>
        <v>1829400</v>
      </c>
      <c r="M82" s="111">
        <f t="shared" si="691"/>
        <v>2002860</v>
      </c>
      <c r="N82" s="14">
        <f t="shared" ref="N82" si="696">SUM(N83:N97)</f>
        <v>2002860</v>
      </c>
      <c r="O82" s="14">
        <f t="shared" si="691"/>
        <v>-173460</v>
      </c>
      <c r="P82" s="145">
        <f t="shared" ref="P82:Q82" si="697">SUM(P83:P97)</f>
        <v>0</v>
      </c>
      <c r="Q82" s="111">
        <f t="shared" si="697"/>
        <v>3015336</v>
      </c>
      <c r="R82" s="14">
        <f t="shared" ref="R82:S82" si="698">SUM(R83:R97)</f>
        <v>3015336</v>
      </c>
      <c r="S82" s="14">
        <f t="shared" si="698"/>
        <v>2637702</v>
      </c>
      <c r="T82" s="90">
        <f>S82-R82</f>
        <v>-377634</v>
      </c>
      <c r="U82" s="14">
        <f t="shared" ref="U82:W82" si="699">SUM(U83:U97)</f>
        <v>1825068</v>
      </c>
      <c r="V82" s="14">
        <f t="shared" si="699"/>
        <v>1874268</v>
      </c>
      <c r="W82" s="14">
        <f t="shared" si="699"/>
        <v>2468076</v>
      </c>
      <c r="X82" s="14">
        <f t="shared" si="691"/>
        <v>1476745</v>
      </c>
      <c r="Y82" s="13">
        <f t="shared" ref="Y82:Z82" si="700">SUM(Y83:Y97)</f>
        <v>3477072</v>
      </c>
      <c r="Z82" s="14">
        <f t="shared" si="700"/>
        <v>3712092</v>
      </c>
      <c r="AA82" s="14">
        <f t="shared" ref="AA82" si="701">SUM(AA83:AA97)</f>
        <v>2597844</v>
      </c>
      <c r="AB82" s="15">
        <f>SUM(AB83:AB97)</f>
        <v>-1114248</v>
      </c>
      <c r="AC82" s="13">
        <f t="shared" si="691"/>
        <v>3055692</v>
      </c>
      <c r="AD82" s="14">
        <f t="shared" si="691"/>
        <v>3055692</v>
      </c>
      <c r="AE82" s="15">
        <f t="shared" si="691"/>
        <v>2233860</v>
      </c>
      <c r="AF82" s="14">
        <f t="shared" si="691"/>
        <v>3274104</v>
      </c>
      <c r="AG82" s="14">
        <f t="shared" si="691"/>
        <v>2366028</v>
      </c>
      <c r="AH82" s="14">
        <f t="shared" si="691"/>
        <v>2333076</v>
      </c>
      <c r="AI82" s="14">
        <f t="shared" si="691"/>
        <v>2417608</v>
      </c>
      <c r="AJ82" s="14">
        <f t="shared" ref="AJ82:AK82" si="702">SUM(AJ83:AJ97)</f>
        <v>2928060</v>
      </c>
      <c r="AK82" s="14">
        <f t="shared" si="702"/>
        <v>2175084</v>
      </c>
      <c r="AL82" s="14">
        <f t="shared" ref="AL82:AN82" si="703">SUM(AL83:AL97)</f>
        <v>3686064</v>
      </c>
      <c r="AM82" s="14">
        <f t="shared" si="703"/>
        <v>1758060</v>
      </c>
      <c r="AN82" s="14">
        <f t="shared" si="703"/>
        <v>1936056</v>
      </c>
      <c r="AO82" s="59"/>
      <c r="AP82" s="13"/>
      <c r="AQ82" s="14"/>
      <c r="AR82" s="15"/>
      <c r="AS82" s="13"/>
      <c r="AT82" s="14"/>
      <c r="AU82" s="15"/>
      <c r="AV82" s="13"/>
      <c r="AW82" s="14"/>
      <c r="AX82" s="15"/>
      <c r="AY82" s="13"/>
      <c r="AZ82" s="14"/>
      <c r="BA82" s="15"/>
      <c r="BB82" s="13"/>
      <c r="BC82" s="14"/>
      <c r="BD82" s="15"/>
      <c r="BE82" s="13"/>
      <c r="BF82" s="14"/>
      <c r="BG82" s="15"/>
      <c r="BH82" s="13"/>
      <c r="BI82" s="14"/>
      <c r="BJ82" s="15"/>
      <c r="BK82" s="13"/>
      <c r="BL82" s="14"/>
      <c r="BM82" s="15"/>
      <c r="BN82" s="13"/>
      <c r="BO82" s="14"/>
      <c r="BP82" s="15"/>
      <c r="BQ82" s="13"/>
      <c r="BR82" s="14"/>
      <c r="BS82" s="15"/>
      <c r="BT82" s="13"/>
      <c r="BU82" s="14"/>
      <c r="BV82" s="15"/>
      <c r="BW82" s="13"/>
      <c r="BX82" s="14"/>
      <c r="BY82" s="15"/>
      <c r="BZ82" s="13"/>
      <c r="CA82" s="14"/>
      <c r="CB82" s="15"/>
      <c r="CC82" s="13"/>
      <c r="CD82" s="14"/>
      <c r="CE82" s="15"/>
      <c r="CF82" s="13"/>
      <c r="CG82" s="14"/>
      <c r="CH82" s="15"/>
      <c r="CI82" s="13"/>
      <c r="CJ82" s="14"/>
      <c r="CK82" s="15"/>
      <c r="CL82" s="13"/>
      <c r="CM82" s="14"/>
      <c r="CN82" s="15"/>
      <c r="CO82" s="13"/>
      <c r="CP82" s="14"/>
      <c r="CQ82" s="15"/>
      <c r="CR82" s="13"/>
      <c r="CS82" s="14"/>
      <c r="CT82" s="15"/>
      <c r="CU82" s="13"/>
      <c r="CV82" s="14"/>
      <c r="CW82" s="15"/>
      <c r="CX82" s="13"/>
      <c r="CY82" s="14"/>
      <c r="CZ82" s="15"/>
      <c r="DA82" s="13"/>
      <c r="DB82" s="14"/>
      <c r="DC82" s="15"/>
      <c r="DD82" s="13"/>
      <c r="DE82" s="14"/>
      <c r="DF82" s="15"/>
      <c r="DG82" s="13"/>
      <c r="DH82" s="14"/>
      <c r="DI82" s="15"/>
      <c r="DK82" s="13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5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J82" s="13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5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O82" t="str">
        <f t="shared" si="615"/>
        <v>Commercial Pouch</v>
      </c>
      <c r="FP82" t="str">
        <f t="shared" si="616"/>
        <v>Commercial Pouch</v>
      </c>
      <c r="FQ82" t="str">
        <f t="shared" si="617"/>
        <v>Commercial Pouch</v>
      </c>
      <c r="FR82">
        <v>0</v>
      </c>
    </row>
    <row r="83" spans="1:174" outlineLevel="2" x14ac:dyDescent="0.25">
      <c r="A83" s="28" t="s">
        <v>152</v>
      </c>
      <c r="B83" s="9">
        <f>SUMIF(Prophix!$Q:$Q,'Fds Units'!$A83,Prophix!D:D)</f>
        <v>323490</v>
      </c>
      <c r="C83" s="9">
        <f>SUMIF(Prophix!$Q:$Q,'Fds Units'!$A83,Prophix!E:E)</f>
        <v>0</v>
      </c>
      <c r="D83" s="9">
        <f>SUMIF(Prophix!$Q:$Q,'Fds Units'!$A83,Prophix!F:F)</f>
        <v>0</v>
      </c>
      <c r="E83" s="9">
        <f>SUMIF(Prophix!$Q:$Q,'Fds Units'!$A83,Prophix!G:G)</f>
        <v>0</v>
      </c>
      <c r="F83" s="9">
        <f>SUMIF(Prophix!$Q:$Q,'Fds Units'!$A83,Prophix!H:H)</f>
        <v>0</v>
      </c>
      <c r="G83" s="9">
        <f>SUMIF(Prophix!$Q:$Q,'Fds Units'!$A83,Prophix!I:I)</f>
        <v>0</v>
      </c>
      <c r="H83" s="9">
        <f>SUMIF(Prophix!$Q:$Q,'Fds Units'!$A83,Prophix!J:J)</f>
        <v>0</v>
      </c>
      <c r="I83" s="9">
        <f>SUMIF(Prophix!$Q:$Q,'Fds Units'!$A83,Prophix!K:K)</f>
        <v>0</v>
      </c>
      <c r="J83" s="9">
        <f>SUMIF(Prophix!$Q:$Q,'Fds Units'!$A83,Prophix!L:L)</f>
        <v>0</v>
      </c>
      <c r="K83" s="9">
        <f>SUMIF(Prophix!$Q:$Q,'Fds Units'!$A83,Prophix!M:M)</f>
        <v>0</v>
      </c>
      <c r="L83" s="92">
        <v>0</v>
      </c>
      <c r="M83" s="133">
        <f t="shared" ref="M83:M97" si="704">+N83</f>
        <v>0</v>
      </c>
      <c r="N83" s="92">
        <f>SUMIF(Schedule!$R:$R,$FP83,Schedule!P:P)</f>
        <v>0</v>
      </c>
      <c r="O83" s="9">
        <f t="shared" ref="O83:O84" si="705">+N83-M83</f>
        <v>0</v>
      </c>
      <c r="P83" s="142"/>
      <c r="Q83" s="133">
        <f t="shared" ref="Q83:Q85" si="706">+R83</f>
        <v>0</v>
      </c>
      <c r="R83" s="92"/>
      <c r="S83" s="92"/>
      <c r="T83" s="186">
        <f>S83-R83</f>
        <v>0</v>
      </c>
      <c r="U83" s="66"/>
      <c r="V83" s="66"/>
      <c r="W83" s="66">
        <v>0</v>
      </c>
      <c r="X83" s="9"/>
      <c r="Y83" s="109"/>
      <c r="Z83" s="9">
        <v>0</v>
      </c>
      <c r="AA83" s="9">
        <v>0</v>
      </c>
      <c r="AB83" s="242">
        <f>AA83-Z83</f>
        <v>0</v>
      </c>
      <c r="AC83" s="241">
        <v>0</v>
      </c>
      <c r="AD83" s="165"/>
      <c r="AE83" s="242">
        <v>0</v>
      </c>
      <c r="AF83" s="66"/>
      <c r="AG83" s="66"/>
      <c r="AH83" s="66"/>
      <c r="AI83" s="66"/>
      <c r="AJ83" s="66"/>
      <c r="AK83" s="66"/>
      <c r="AL83" s="66"/>
      <c r="AM83" s="66"/>
      <c r="AN83" s="66"/>
      <c r="AO83" s="59"/>
      <c r="AP83" s="8" t="s">
        <v>78</v>
      </c>
      <c r="AQ83" s="9">
        <v>60000</v>
      </c>
      <c r="AR83" s="10">
        <v>8</v>
      </c>
      <c r="AS83" s="8" t="s">
        <v>78</v>
      </c>
      <c r="AT83" s="9">
        <v>85000</v>
      </c>
      <c r="AU83" s="10">
        <v>8</v>
      </c>
      <c r="AV83" s="8" t="s">
        <v>78</v>
      </c>
      <c r="AW83" s="9">
        <v>85000</v>
      </c>
      <c r="AX83" s="10">
        <v>8</v>
      </c>
      <c r="AY83" s="8" t="s">
        <v>78</v>
      </c>
      <c r="AZ83" s="9">
        <v>85000</v>
      </c>
      <c r="BA83" s="10">
        <v>8</v>
      </c>
      <c r="BB83" s="8" t="s">
        <v>78</v>
      </c>
      <c r="BC83" s="9">
        <v>85000</v>
      </c>
      <c r="BD83" s="10">
        <v>8</v>
      </c>
      <c r="BE83" s="8" t="s">
        <v>78</v>
      </c>
      <c r="BF83" s="9">
        <v>85000</v>
      </c>
      <c r="BG83" s="10">
        <v>8</v>
      </c>
      <c r="BH83" s="8" t="s">
        <v>78</v>
      </c>
      <c r="BI83" s="9">
        <v>85000</v>
      </c>
      <c r="BJ83" s="10">
        <v>8</v>
      </c>
      <c r="BK83" s="8" t="s">
        <v>78</v>
      </c>
      <c r="BL83" s="9">
        <v>85000</v>
      </c>
      <c r="BM83" s="10">
        <v>8</v>
      </c>
      <c r="BN83" s="8" t="s">
        <v>78</v>
      </c>
      <c r="BO83" s="9">
        <v>85000</v>
      </c>
      <c r="BP83" s="10">
        <v>8</v>
      </c>
      <c r="BQ83" s="8" t="s">
        <v>78</v>
      </c>
      <c r="BR83" s="9">
        <v>85000</v>
      </c>
      <c r="BS83" s="10">
        <v>8</v>
      </c>
      <c r="BT83" s="8" t="s">
        <v>78</v>
      </c>
      <c r="BU83" s="9">
        <v>85000</v>
      </c>
      <c r="BV83" s="10">
        <v>8</v>
      </c>
      <c r="BW83" s="8" t="s">
        <v>78</v>
      </c>
      <c r="BX83" s="9">
        <v>85000</v>
      </c>
      <c r="BY83" s="10">
        <v>8</v>
      </c>
      <c r="BZ83" s="8" t="s">
        <v>78</v>
      </c>
      <c r="CA83" s="9">
        <f t="shared" ref="CA83:CA96" si="707">+BX83</f>
        <v>85000</v>
      </c>
      <c r="CB83" s="10">
        <f t="shared" ref="CB83:CB96" si="708">+BY83</f>
        <v>8</v>
      </c>
      <c r="CC83" s="8" t="s">
        <v>78</v>
      </c>
      <c r="CD83" s="9">
        <f t="shared" ref="CD83:CD96" si="709">+CA83</f>
        <v>85000</v>
      </c>
      <c r="CE83" s="10">
        <f t="shared" ref="CE83:CE96" si="710">+CB83</f>
        <v>8</v>
      </c>
      <c r="CF83" s="8" t="s">
        <v>78</v>
      </c>
      <c r="CG83" s="9">
        <f t="shared" ref="CG83:CG96" si="711">+CD83</f>
        <v>85000</v>
      </c>
      <c r="CH83" s="10">
        <f t="shared" ref="CH83:CH96" si="712">+CE83</f>
        <v>8</v>
      </c>
      <c r="CI83" s="8" t="s">
        <v>78</v>
      </c>
      <c r="CJ83" s="9">
        <f t="shared" ref="CJ83:CJ96" si="713">+CG83</f>
        <v>85000</v>
      </c>
      <c r="CK83" s="10">
        <f t="shared" ref="CK83:CK96" si="714">+CH83</f>
        <v>8</v>
      </c>
      <c r="CL83" s="8" t="s">
        <v>78</v>
      </c>
      <c r="CM83" s="9">
        <f t="shared" ref="CM83:CM96" si="715">+CJ83</f>
        <v>85000</v>
      </c>
      <c r="CN83" s="10">
        <f t="shared" ref="CN83:CN96" si="716">+CK83</f>
        <v>8</v>
      </c>
      <c r="CO83" s="8" t="s">
        <v>78</v>
      </c>
      <c r="CP83" s="9">
        <f t="shared" ref="CP83:CP96" si="717">+CM83</f>
        <v>85000</v>
      </c>
      <c r="CQ83" s="10">
        <f t="shared" ref="CQ83:CQ96" si="718">+CN83</f>
        <v>8</v>
      </c>
      <c r="CR83" s="8" t="s">
        <v>78</v>
      </c>
      <c r="CS83" s="9">
        <f t="shared" ref="CS83:CS96" si="719">+CP83</f>
        <v>85000</v>
      </c>
      <c r="CT83" s="10">
        <f t="shared" ref="CT83:CT96" si="720">+CQ83</f>
        <v>8</v>
      </c>
      <c r="CU83" s="8" t="s">
        <v>78</v>
      </c>
      <c r="CV83" s="9">
        <f t="shared" ref="CV83:CV96" si="721">+CS83</f>
        <v>85000</v>
      </c>
      <c r="CW83" s="10">
        <f t="shared" ref="CW83:CW96" si="722">+CT83</f>
        <v>8</v>
      </c>
      <c r="CX83" s="8" t="s">
        <v>78</v>
      </c>
      <c r="CY83" s="9">
        <f t="shared" ref="CY83:CY96" si="723">+CV83</f>
        <v>85000</v>
      </c>
      <c r="CZ83" s="10">
        <f t="shared" ref="CZ83:CZ96" si="724">+CW83</f>
        <v>8</v>
      </c>
      <c r="DA83" s="8" t="s">
        <v>78</v>
      </c>
      <c r="DB83" s="9">
        <f t="shared" ref="DB83:DB96" si="725">+CY83</f>
        <v>85000</v>
      </c>
      <c r="DC83" s="10">
        <f t="shared" ref="DC83:DC96" si="726">+CZ83</f>
        <v>8</v>
      </c>
      <c r="DD83" s="8" t="s">
        <v>78</v>
      </c>
      <c r="DE83" s="9">
        <f t="shared" ref="DE83:DE96" si="727">+DB83</f>
        <v>85000</v>
      </c>
      <c r="DF83" s="10">
        <f t="shared" ref="DF83:DF96" si="728">+DC83</f>
        <v>8</v>
      </c>
      <c r="DG83" s="8" t="s">
        <v>78</v>
      </c>
      <c r="DH83" s="9">
        <f t="shared" ref="DH83:DH96" si="729">+DE83</f>
        <v>85000</v>
      </c>
      <c r="DI83" s="10">
        <f t="shared" ref="DI83:DI96" si="730">+DF83</f>
        <v>8</v>
      </c>
      <c r="DK83" s="72">
        <f t="shared" ref="DK83:DK97" si="731">IFERROR(ROUNDUP(+B83/$AQ83,0),0)</f>
        <v>6</v>
      </c>
      <c r="DL83" s="67">
        <f t="shared" ref="DL83:DL97" si="732">IFERROR(ROUNDUP(+C83/$AT83,0),0)</f>
        <v>0</v>
      </c>
      <c r="DM83" s="67">
        <f t="shared" ref="DM83:DM97" si="733">IFERROR(ROUNDUP(+D83/$AW83,0),0)</f>
        <v>0</v>
      </c>
      <c r="DN83" s="67">
        <f t="shared" ref="DN83:DN91" si="734">IFERROR(ROUNDUP(+E83/$AZ83,0),0)</f>
        <v>0</v>
      </c>
      <c r="DO83" s="67">
        <f t="shared" ref="DO83:DO97" si="735">IFERROR(ROUNDUP(+F83/$BC83,0),0)</f>
        <v>0</v>
      </c>
      <c r="DP83" s="67">
        <f t="shared" ref="DP83:DP97" si="736">IFERROR(ROUNDUP(+G83/$BF83,0),0)</f>
        <v>0</v>
      </c>
      <c r="DQ83" s="9">
        <f t="shared" ref="DQ83:DQ97" si="737">IFERROR(ROUNDUP(+$H83/$BI83,0),0)</f>
        <v>0</v>
      </c>
      <c r="DR83" s="9">
        <f t="shared" ref="DR83:DR97" si="738">IFERROR(ROUNDUP(+I83/$BL83,0),0)</f>
        <v>0</v>
      </c>
      <c r="DS83" s="9">
        <f t="shared" ref="DS83:DS97" si="739">IFERROR(ROUNDUP(J83/BO83,0),0)</f>
        <v>0</v>
      </c>
      <c r="DT83" s="9">
        <f t="shared" ref="DT83:DT93" si="740">IFERROR(ROUNDUP(+K83/BR83,0),0)</f>
        <v>0</v>
      </c>
      <c r="DU83" s="9">
        <f>IFERROR(ROUNDUP(+N83/BU83,0),0)</f>
        <v>0</v>
      </c>
      <c r="DV83" s="10">
        <f t="shared" ref="DV83:DV97" si="741">IFERROR(ROUNDUP(+R83/BX83,0),0)</f>
        <v>0</v>
      </c>
      <c r="DW83" s="9">
        <f t="shared" ref="DW83:DW97" si="742">IFERROR(ROUNDUP(+V83/CA83,0),0)</f>
        <v>0</v>
      </c>
      <c r="DX83" s="9">
        <f t="shared" ref="DX83:DX97" si="743">IFERROR(ROUNDUP(+Y83/CD83,0),0)</f>
        <v>0</v>
      </c>
      <c r="DY83" s="9">
        <f t="shared" ref="DY83:DY97" si="744">IFERROR(ROUNDUP(+AE83/CG83,0),0)</f>
        <v>0</v>
      </c>
      <c r="DZ83" s="9">
        <f t="shared" ref="DZ83:DZ97" si="745">IFERROR(ROUNDUP(+AF83/CJ83,0),0)</f>
        <v>0</v>
      </c>
      <c r="EA83" s="9">
        <f t="shared" ref="EA83:EA97" si="746">IFERROR(ROUNDUP(+AG83/CM83,0),0)</f>
        <v>0</v>
      </c>
      <c r="EB83" s="9">
        <f t="shared" ref="EB83:EB97" si="747">IFERROR(ROUNDUP(+AH83/CP83,0),0)</f>
        <v>0</v>
      </c>
      <c r="EC83" s="9">
        <f t="shared" ref="EC83:EC97" si="748">IFERROR(ROUNDUP(+AI83/CS83,0),0)</f>
        <v>0</v>
      </c>
      <c r="ED83" s="9">
        <f t="shared" ref="ED83:ED97" si="749">IFERROR(ROUNDUP(+AJ83/CV83,0),0)</f>
        <v>0</v>
      </c>
      <c r="EE83" s="9">
        <f t="shared" ref="EE83:EE97" si="750">IFERROR(ROUNDUP(+AK83/CY83,0),0)</f>
        <v>0</v>
      </c>
      <c r="EF83" s="9">
        <f t="shared" ref="EF83:EF97" si="751">IFERROR(ROUNDUP(+AL83/DB83,0),0)</f>
        <v>0</v>
      </c>
      <c r="EG83" s="9">
        <f t="shared" ref="EG83:EG97" si="752">IFERROR(ROUNDUP(+AM83/DE83,0),0)</f>
        <v>0</v>
      </c>
      <c r="EH83" s="9">
        <f t="shared" ref="EH83:EH97" si="753">IFERROR(ROUNDUP(+AN83/DH83,0),0)</f>
        <v>0</v>
      </c>
      <c r="EJ83" s="8">
        <f t="shared" ref="EJ83:EJ97" si="754">$AR83*DK83</f>
        <v>48</v>
      </c>
      <c r="EK83" s="9">
        <f t="shared" ref="EK83:EK97" si="755">$AU83*DL83</f>
        <v>0</v>
      </c>
      <c r="EL83" s="9">
        <f t="shared" ref="EL83:EL97" si="756">$AX83*DM83</f>
        <v>0</v>
      </c>
      <c r="EM83" s="9">
        <f t="shared" ref="EM83:EM97" si="757">$BA83*DN83</f>
        <v>0</v>
      </c>
      <c r="EN83" s="9">
        <f t="shared" ref="EN83:EN97" si="758">$BD83*DO83</f>
        <v>0</v>
      </c>
      <c r="EO83" s="9">
        <f t="shared" ref="EO83:EO97" si="759">$BG83*DP83</f>
        <v>0</v>
      </c>
      <c r="EP83" s="9">
        <f t="shared" ref="EP83:EP97" si="760">BJ83*DQ83</f>
        <v>0</v>
      </c>
      <c r="EQ83" s="9">
        <f t="shared" ref="EQ83:EQ97" si="761">+BM83*DR83</f>
        <v>0</v>
      </c>
      <c r="ER83" s="9">
        <f t="shared" ref="ER83:ER97" si="762">BP83*DS83</f>
        <v>0</v>
      </c>
      <c r="ES83" s="9">
        <f t="shared" ref="ES83:ES97" si="763">+BS83*DT83</f>
        <v>0</v>
      </c>
      <c r="ET83" s="9">
        <f t="shared" ref="ET83:ET97" si="764">+BV83*DU83</f>
        <v>0</v>
      </c>
      <c r="EU83" s="10">
        <f t="shared" ref="EU83:EU97" si="765">+BY83*DV83</f>
        <v>0</v>
      </c>
      <c r="EV83" s="9">
        <f t="shared" ref="EV83:EV97" si="766">+CB83*DW83</f>
        <v>0</v>
      </c>
      <c r="EW83" s="9">
        <f t="shared" ref="EW83:EW97" si="767">+CE83*DX83</f>
        <v>0</v>
      </c>
      <c r="EX83" s="9">
        <f t="shared" ref="EX83:EX97" si="768">+CH83*DY83</f>
        <v>0</v>
      </c>
      <c r="EY83" s="9">
        <f t="shared" ref="EY83:EY97" si="769">+CK83*DZ83</f>
        <v>0</v>
      </c>
      <c r="EZ83" s="9">
        <f t="shared" ref="EZ83:EZ97" si="770">+CN83*EA83</f>
        <v>0</v>
      </c>
      <c r="FA83" s="9">
        <f t="shared" ref="FA83:FA97" si="771">+CQ83*EB83</f>
        <v>0</v>
      </c>
      <c r="FB83" s="9">
        <f t="shared" ref="FB83:FB97" si="772">+CT83*EC83</f>
        <v>0</v>
      </c>
      <c r="FC83" s="9">
        <f t="shared" ref="FC83:FC97" si="773">+CW83*ED83</f>
        <v>0</v>
      </c>
      <c r="FD83" s="9">
        <f t="shared" ref="FD83:FD97" si="774">+CZ83*EE83</f>
        <v>0</v>
      </c>
      <c r="FE83" s="9">
        <f t="shared" ref="FE83:FE97" si="775">+DC83*EF83</f>
        <v>0</v>
      </c>
      <c r="FF83" s="9">
        <f t="shared" ref="FF83:FF97" si="776">+DF83*EG83</f>
        <v>0</v>
      </c>
      <c r="FG83" s="9">
        <f t="shared" ref="FG83:FG97" si="777">+DI83*EH83</f>
        <v>0</v>
      </c>
      <c r="FO83" t="str">
        <f t="shared" si="615"/>
        <v>CampbellsY4S/Y5</v>
      </c>
      <c r="FP83" t="str">
        <f t="shared" si="616"/>
        <v>CampbellsY4S/Y5</v>
      </c>
      <c r="FQ83" t="str">
        <f t="shared" si="617"/>
        <v>CampbellsY4S/Y5</v>
      </c>
      <c r="FR83">
        <v>0</v>
      </c>
    </row>
    <row r="84" spans="1:174" outlineLevel="2" x14ac:dyDescent="0.25">
      <c r="A84" s="28" t="s">
        <v>59</v>
      </c>
      <c r="B84" s="9">
        <f>SUMIF(Prophix!$Q:$Q,'Fds Units'!$A84,Prophix!D:D)</f>
        <v>76344</v>
      </c>
      <c r="C84" s="9">
        <f>SUMIF(Prophix!$Q:$Q,'Fds Units'!$A84,Prophix!E:E)</f>
        <v>110886</v>
      </c>
      <c r="D84" s="9">
        <f>SUMIF(Prophix!$Q:$Q,'Fds Units'!$A84,Prophix!F:F)</f>
        <v>107892</v>
      </c>
      <c r="E84" s="9">
        <f>SUMIF(Prophix!$Q:$Q,'Fds Units'!$A84,Prophix!G:G)</f>
        <v>0</v>
      </c>
      <c r="F84" s="9">
        <f>SUMIF(Prophix!$Q:$Q,'Fds Units'!$A84,Prophix!H:H)</f>
        <v>0</v>
      </c>
      <c r="G84" s="9">
        <f>SUMIF(Prophix!$Q:$Q,'Fds Units'!$A84,Prophix!I:I)</f>
        <v>0</v>
      </c>
      <c r="H84" s="9">
        <f>SUMIF(Prophix!$Q:$Q,'Fds Units'!$A84,Prophix!J:J)</f>
        <v>0</v>
      </c>
      <c r="I84" s="9">
        <f>SUMIF(Prophix!$Q:$Q,'Fds Units'!$A84,Prophix!K:K)</f>
        <v>0</v>
      </c>
      <c r="J84" s="9">
        <f>SUMIF(Prophix!$Q:$Q,'Fds Units'!$A84,Prophix!L:L)</f>
        <v>0</v>
      </c>
      <c r="K84" s="9">
        <f>SUMIF(Prophix!$Q:$Q,'Fds Units'!$A84,Prophix!M:M)</f>
        <v>0</v>
      </c>
      <c r="L84" s="92">
        <v>0</v>
      </c>
      <c r="M84" s="133">
        <f t="shared" si="704"/>
        <v>0</v>
      </c>
      <c r="N84" s="92">
        <f>SUMIF(Schedule!$R:$R,$FP84,Schedule!P:P)</f>
        <v>0</v>
      </c>
      <c r="O84" s="9">
        <f t="shared" si="705"/>
        <v>0</v>
      </c>
      <c r="P84" s="142"/>
      <c r="Q84" s="133">
        <f>+R84</f>
        <v>0</v>
      </c>
      <c r="R84" s="92"/>
      <c r="S84" s="92"/>
      <c r="T84" s="186">
        <f t="shared" ref="T84:T98" si="778">S84-R84</f>
        <v>0</v>
      </c>
      <c r="U84" s="168"/>
      <c r="V84" s="168"/>
      <c r="W84" s="168">
        <v>0</v>
      </c>
      <c r="X84" s="9"/>
      <c r="Y84" s="109"/>
      <c r="Z84" s="9">
        <v>0</v>
      </c>
      <c r="AA84" s="9">
        <v>0</v>
      </c>
      <c r="AB84" s="242">
        <f t="shared" ref="AB84:AB97" si="779">AA84-Z84</f>
        <v>0</v>
      </c>
      <c r="AC84" s="241">
        <v>0</v>
      </c>
      <c r="AD84" s="165"/>
      <c r="AE84" s="242">
        <v>0</v>
      </c>
      <c r="AF84" s="66"/>
      <c r="AG84" s="66"/>
      <c r="AH84" s="66"/>
      <c r="AI84" s="66"/>
      <c r="AJ84" s="66"/>
      <c r="AK84" s="66"/>
      <c r="AL84" s="66"/>
      <c r="AM84" s="66"/>
      <c r="AN84" s="66"/>
      <c r="AO84" s="59"/>
      <c r="AP84" s="8" t="s">
        <v>79</v>
      </c>
      <c r="AQ84" s="9">
        <v>30000</v>
      </c>
      <c r="AR84" s="10">
        <v>4</v>
      </c>
      <c r="AS84" s="8" t="s">
        <v>79</v>
      </c>
      <c r="AT84" s="9">
        <v>35000</v>
      </c>
      <c r="AU84" s="10">
        <v>4</v>
      </c>
      <c r="AV84" s="8" t="s">
        <v>79</v>
      </c>
      <c r="AW84" s="9">
        <v>30000</v>
      </c>
      <c r="AX84" s="10">
        <v>4</v>
      </c>
      <c r="AY84" s="8" t="s">
        <v>79</v>
      </c>
      <c r="AZ84" s="9">
        <v>39000</v>
      </c>
      <c r="BA84" s="10">
        <v>4</v>
      </c>
      <c r="BB84" s="8" t="s">
        <v>79</v>
      </c>
      <c r="BC84" s="9">
        <v>39000</v>
      </c>
      <c r="BD84" s="10">
        <v>4</v>
      </c>
      <c r="BE84" s="8" t="s">
        <v>79</v>
      </c>
      <c r="BF84" s="9">
        <v>39000</v>
      </c>
      <c r="BG84" s="10">
        <v>4</v>
      </c>
      <c r="BH84" s="8" t="s">
        <v>79</v>
      </c>
      <c r="BI84" s="9">
        <v>39000</v>
      </c>
      <c r="BJ84" s="10">
        <v>4</v>
      </c>
      <c r="BK84" s="8" t="s">
        <v>79</v>
      </c>
      <c r="BL84" s="9">
        <v>39000</v>
      </c>
      <c r="BM84" s="10">
        <v>4</v>
      </c>
      <c r="BN84" s="8" t="s">
        <v>79</v>
      </c>
      <c r="BO84" s="9">
        <v>39000</v>
      </c>
      <c r="BP84" s="10">
        <v>4</v>
      </c>
      <c r="BQ84" s="8" t="s">
        <v>79</v>
      </c>
      <c r="BR84" s="9">
        <v>39000</v>
      </c>
      <c r="BS84" s="10">
        <v>4</v>
      </c>
      <c r="BT84" s="8" t="s">
        <v>79</v>
      </c>
      <c r="BU84" s="9">
        <v>39000</v>
      </c>
      <c r="BV84" s="10">
        <v>4</v>
      </c>
      <c r="BW84" s="8" t="s">
        <v>79</v>
      </c>
      <c r="BX84" s="9">
        <v>39000</v>
      </c>
      <c r="BY84" s="10">
        <v>4</v>
      </c>
      <c r="BZ84" s="8" t="s">
        <v>79</v>
      </c>
      <c r="CA84" s="9">
        <f t="shared" si="707"/>
        <v>39000</v>
      </c>
      <c r="CB84" s="10">
        <f t="shared" si="708"/>
        <v>4</v>
      </c>
      <c r="CC84" s="8" t="s">
        <v>79</v>
      </c>
      <c r="CD84" s="9">
        <f t="shared" si="709"/>
        <v>39000</v>
      </c>
      <c r="CE84" s="10">
        <f t="shared" si="710"/>
        <v>4</v>
      </c>
      <c r="CF84" s="8" t="s">
        <v>79</v>
      </c>
      <c r="CG84" s="9">
        <f t="shared" si="711"/>
        <v>39000</v>
      </c>
      <c r="CH84" s="10">
        <f t="shared" si="712"/>
        <v>4</v>
      </c>
      <c r="CI84" s="8" t="s">
        <v>79</v>
      </c>
      <c r="CJ84" s="9">
        <f t="shared" si="713"/>
        <v>39000</v>
      </c>
      <c r="CK84" s="10">
        <f t="shared" si="714"/>
        <v>4</v>
      </c>
      <c r="CL84" s="8" t="s">
        <v>79</v>
      </c>
      <c r="CM84" s="9">
        <f t="shared" si="715"/>
        <v>39000</v>
      </c>
      <c r="CN84" s="10">
        <f t="shared" si="716"/>
        <v>4</v>
      </c>
      <c r="CO84" s="8" t="s">
        <v>79</v>
      </c>
      <c r="CP84" s="9">
        <f t="shared" si="717"/>
        <v>39000</v>
      </c>
      <c r="CQ84" s="10">
        <f t="shared" si="718"/>
        <v>4</v>
      </c>
      <c r="CR84" s="8" t="s">
        <v>79</v>
      </c>
      <c r="CS84" s="9">
        <f t="shared" si="719"/>
        <v>39000</v>
      </c>
      <c r="CT84" s="10">
        <f t="shared" si="720"/>
        <v>4</v>
      </c>
      <c r="CU84" s="8" t="s">
        <v>79</v>
      </c>
      <c r="CV84" s="9">
        <f t="shared" si="721"/>
        <v>39000</v>
      </c>
      <c r="CW84" s="10">
        <f t="shared" si="722"/>
        <v>4</v>
      </c>
      <c r="CX84" s="8" t="s">
        <v>79</v>
      </c>
      <c r="CY84" s="9">
        <f t="shared" si="723"/>
        <v>39000</v>
      </c>
      <c r="CZ84" s="10">
        <f t="shared" si="724"/>
        <v>4</v>
      </c>
      <c r="DA84" s="8" t="s">
        <v>79</v>
      </c>
      <c r="DB84" s="9">
        <f t="shared" si="725"/>
        <v>39000</v>
      </c>
      <c r="DC84" s="10">
        <f t="shared" si="726"/>
        <v>4</v>
      </c>
      <c r="DD84" s="8" t="s">
        <v>79</v>
      </c>
      <c r="DE84" s="9">
        <f t="shared" si="727"/>
        <v>39000</v>
      </c>
      <c r="DF84" s="10">
        <f t="shared" si="728"/>
        <v>4</v>
      </c>
      <c r="DG84" s="8" t="s">
        <v>79</v>
      </c>
      <c r="DH84" s="9">
        <f t="shared" si="729"/>
        <v>39000</v>
      </c>
      <c r="DI84" s="10">
        <f t="shared" si="730"/>
        <v>4</v>
      </c>
      <c r="DK84" s="8">
        <f t="shared" si="731"/>
        <v>3</v>
      </c>
      <c r="DL84" s="9">
        <f t="shared" si="732"/>
        <v>4</v>
      </c>
      <c r="DM84" s="9">
        <f t="shared" si="733"/>
        <v>4</v>
      </c>
      <c r="DN84" s="9">
        <f t="shared" si="734"/>
        <v>0</v>
      </c>
      <c r="DO84" s="9">
        <f t="shared" si="735"/>
        <v>0</v>
      </c>
      <c r="DP84" s="9">
        <f t="shared" si="736"/>
        <v>0</v>
      </c>
      <c r="DQ84" s="9">
        <f t="shared" si="737"/>
        <v>0</v>
      </c>
      <c r="DR84" s="9">
        <f t="shared" si="738"/>
        <v>0</v>
      </c>
      <c r="DS84" s="9">
        <f t="shared" si="739"/>
        <v>0</v>
      </c>
      <c r="DT84" s="9">
        <f t="shared" si="740"/>
        <v>0</v>
      </c>
      <c r="DU84" s="9">
        <f>IFERROR(ROUNDUP(+N84/BU84,0),0)</f>
        <v>0</v>
      </c>
      <c r="DV84" s="10">
        <f t="shared" si="741"/>
        <v>0</v>
      </c>
      <c r="DW84" s="9">
        <f t="shared" si="742"/>
        <v>0</v>
      </c>
      <c r="DX84" s="9">
        <f t="shared" si="743"/>
        <v>0</v>
      </c>
      <c r="DY84" s="9">
        <f t="shared" si="744"/>
        <v>0</v>
      </c>
      <c r="DZ84" s="9">
        <f t="shared" si="745"/>
        <v>0</v>
      </c>
      <c r="EA84" s="9">
        <f t="shared" si="746"/>
        <v>0</v>
      </c>
      <c r="EB84" s="9">
        <f t="shared" si="747"/>
        <v>0</v>
      </c>
      <c r="EC84" s="9">
        <f t="shared" si="748"/>
        <v>0</v>
      </c>
      <c r="ED84" s="9">
        <f t="shared" si="749"/>
        <v>0</v>
      </c>
      <c r="EE84" s="9">
        <f t="shared" si="750"/>
        <v>0</v>
      </c>
      <c r="EF84" s="9">
        <f t="shared" si="751"/>
        <v>0</v>
      </c>
      <c r="EG84" s="9">
        <f t="shared" si="752"/>
        <v>0</v>
      </c>
      <c r="EH84" s="9">
        <f t="shared" si="753"/>
        <v>0</v>
      </c>
      <c r="EJ84" s="8">
        <f t="shared" si="754"/>
        <v>12</v>
      </c>
      <c r="EK84" s="9">
        <f t="shared" si="755"/>
        <v>16</v>
      </c>
      <c r="EL84" s="9">
        <f t="shared" si="756"/>
        <v>16</v>
      </c>
      <c r="EM84" s="9">
        <f t="shared" si="757"/>
        <v>0</v>
      </c>
      <c r="EN84" s="9">
        <f t="shared" si="758"/>
        <v>0</v>
      </c>
      <c r="EO84" s="9">
        <f t="shared" si="759"/>
        <v>0</v>
      </c>
      <c r="EP84" s="9">
        <f t="shared" si="760"/>
        <v>0</v>
      </c>
      <c r="EQ84" s="9">
        <f t="shared" si="761"/>
        <v>0</v>
      </c>
      <c r="ER84" s="9">
        <f t="shared" si="762"/>
        <v>0</v>
      </c>
      <c r="ES84" s="9">
        <f t="shared" si="763"/>
        <v>0</v>
      </c>
      <c r="ET84" s="9">
        <f t="shared" si="764"/>
        <v>0</v>
      </c>
      <c r="EU84" s="10">
        <f t="shared" si="765"/>
        <v>0</v>
      </c>
      <c r="EV84" s="9">
        <f t="shared" si="766"/>
        <v>0</v>
      </c>
      <c r="EW84" s="9">
        <f t="shared" si="767"/>
        <v>0</v>
      </c>
      <c r="EX84" s="9">
        <f t="shared" si="768"/>
        <v>0</v>
      </c>
      <c r="EY84" s="9">
        <f t="shared" si="769"/>
        <v>0</v>
      </c>
      <c r="EZ84" s="9">
        <f t="shared" si="770"/>
        <v>0</v>
      </c>
      <c r="FA84" s="9">
        <f t="shared" si="771"/>
        <v>0</v>
      </c>
      <c r="FB84" s="9">
        <f t="shared" si="772"/>
        <v>0</v>
      </c>
      <c r="FC84" s="9">
        <f t="shared" si="773"/>
        <v>0</v>
      </c>
      <c r="FD84" s="9">
        <f t="shared" si="774"/>
        <v>0</v>
      </c>
      <c r="FE84" s="9">
        <f t="shared" si="775"/>
        <v>0</v>
      </c>
      <c r="FF84" s="9">
        <f t="shared" si="776"/>
        <v>0</v>
      </c>
      <c r="FG84" s="9">
        <f t="shared" si="777"/>
        <v>0</v>
      </c>
      <c r="FO84" t="str">
        <f t="shared" si="615"/>
        <v>Cauli RiceY4N</v>
      </c>
      <c r="FP84" t="str">
        <f t="shared" si="616"/>
        <v>Cauli RiceY4N</v>
      </c>
      <c r="FQ84" t="str">
        <f t="shared" si="617"/>
        <v>Cauli RiceY4N</v>
      </c>
      <c r="FR84">
        <v>0</v>
      </c>
    </row>
    <row r="85" spans="1:174" outlineLevel="2" x14ac:dyDescent="0.25">
      <c r="A85" s="28" t="s">
        <v>60</v>
      </c>
      <c r="B85" s="9">
        <f>SUMIF(Prophix!$Q:$Q,'Fds Units'!$A85,Prophix!D:D)</f>
        <v>0</v>
      </c>
      <c r="C85" s="9">
        <f>SUMIF(Prophix!$Q:$Q,'Fds Units'!$A85,Prophix!E:E)</f>
        <v>245958</v>
      </c>
      <c r="D85" s="9">
        <f>SUMIF(Prophix!$Q:$Q,'Fds Units'!$A85,Prophix!F:F)</f>
        <v>238056</v>
      </c>
      <c r="E85" s="9">
        <f>SUMIF(Prophix!$Q:$Q,'Fds Units'!$A85,Prophix!G:G)</f>
        <v>0</v>
      </c>
      <c r="F85" s="9">
        <f>SUMIF(Prophix!$Q:$Q,'Fds Units'!$A85,Prophix!H:H)</f>
        <v>0</v>
      </c>
      <c r="G85" s="9">
        <f>SUMIF(Prophix!$Q:$Q,'Fds Units'!$A85,Prophix!I:I)</f>
        <v>0</v>
      </c>
      <c r="H85" s="9">
        <f>SUMIF(Prophix!$Q:$Q,'Fds Units'!$A85,Prophix!J:J)</f>
        <v>366060</v>
      </c>
      <c r="I85" s="9">
        <f>SUMIF(Prophix!$Q:$Q,'Fds Units'!$A85,Prophix!K:K)</f>
        <v>294432</v>
      </c>
      <c r="J85" s="9">
        <f>SUMIF(Prophix!$Q:$Q,'Fds Units'!$A85,Prophix!L:L)</f>
        <v>0</v>
      </c>
      <c r="K85" s="9">
        <f>SUMIF(Prophix!$Q:$Q,'Fds Units'!$A85,Prophix!M:M)</f>
        <v>797046</v>
      </c>
      <c r="L85" s="92">
        <v>357054</v>
      </c>
      <c r="M85" s="133">
        <f t="shared" si="704"/>
        <v>352800</v>
      </c>
      <c r="N85" s="92">
        <v>352800</v>
      </c>
      <c r="O85" s="92">
        <f t="shared" ref="O85:O98" si="780">L85-N85</f>
        <v>4254</v>
      </c>
      <c r="P85" s="142"/>
      <c r="Q85" s="133">
        <f t="shared" si="706"/>
        <v>0</v>
      </c>
      <c r="R85" s="92"/>
      <c r="S85" s="92"/>
      <c r="T85" s="186">
        <f t="shared" si="778"/>
        <v>0</v>
      </c>
      <c r="U85" s="168"/>
      <c r="V85" s="168"/>
      <c r="W85" s="168">
        <v>0</v>
      </c>
      <c r="X85" s="9"/>
      <c r="Y85" s="8">
        <v>810000</v>
      </c>
      <c r="Z85" s="9">
        <v>810000</v>
      </c>
      <c r="AA85" s="9">
        <v>582252</v>
      </c>
      <c r="AB85" s="242">
        <f t="shared" si="779"/>
        <v>-227748</v>
      </c>
      <c r="AC85" s="241">
        <v>360000</v>
      </c>
      <c r="AD85" s="165">
        <v>360000</v>
      </c>
      <c r="AE85" s="242">
        <v>360000</v>
      </c>
      <c r="AF85" s="168">
        <v>0</v>
      </c>
      <c r="AG85" s="168">
        <v>810000</v>
      </c>
      <c r="AH85" s="168">
        <v>0</v>
      </c>
      <c r="AI85" s="168">
        <v>0</v>
      </c>
      <c r="AJ85" s="168">
        <v>720000</v>
      </c>
      <c r="AK85" s="168">
        <v>0</v>
      </c>
      <c r="AL85" s="168">
        <v>720000</v>
      </c>
      <c r="AM85" s="168">
        <v>0</v>
      </c>
      <c r="AN85" s="168">
        <v>0</v>
      </c>
      <c r="AO85" s="59"/>
      <c r="AP85" s="8" t="s">
        <v>78</v>
      </c>
      <c r="AQ85" s="9">
        <v>90000</v>
      </c>
      <c r="AR85" s="10">
        <v>8</v>
      </c>
      <c r="AS85" s="8" t="s">
        <v>78</v>
      </c>
      <c r="AT85" s="9">
        <v>75000</v>
      </c>
      <c r="AU85" s="10">
        <v>8</v>
      </c>
      <c r="AV85" s="8" t="s">
        <v>78</v>
      </c>
      <c r="AW85" s="9">
        <v>75000</v>
      </c>
      <c r="AX85" s="10">
        <v>8</v>
      </c>
      <c r="AY85" s="8" t="s">
        <v>78</v>
      </c>
      <c r="AZ85" s="9">
        <v>90000</v>
      </c>
      <c r="BA85" s="10">
        <v>8</v>
      </c>
      <c r="BB85" s="8" t="s">
        <v>78</v>
      </c>
      <c r="BC85" s="9">
        <v>90000</v>
      </c>
      <c r="BD85" s="10">
        <v>8</v>
      </c>
      <c r="BE85" s="8" t="s">
        <v>78</v>
      </c>
      <c r="BF85" s="9">
        <v>90000</v>
      </c>
      <c r="BG85" s="10">
        <v>8</v>
      </c>
      <c r="BH85" s="8" t="s">
        <v>78</v>
      </c>
      <c r="BI85" s="9">
        <v>90000</v>
      </c>
      <c r="BJ85" s="10">
        <v>8</v>
      </c>
      <c r="BK85" s="8" t="s">
        <v>78</v>
      </c>
      <c r="BL85" s="9">
        <v>90000</v>
      </c>
      <c r="BM85" s="10">
        <v>8</v>
      </c>
      <c r="BN85" s="8" t="s">
        <v>78</v>
      </c>
      <c r="BO85" s="9">
        <v>90000</v>
      </c>
      <c r="BP85" s="10">
        <v>8</v>
      </c>
      <c r="BQ85" s="8" t="s">
        <v>78</v>
      </c>
      <c r="BR85" s="9">
        <v>90000</v>
      </c>
      <c r="BS85" s="10">
        <v>8</v>
      </c>
      <c r="BT85" s="8" t="s">
        <v>78</v>
      </c>
      <c r="BU85" s="9">
        <v>90000</v>
      </c>
      <c r="BV85" s="10">
        <v>8</v>
      </c>
      <c r="BW85" s="8" t="s">
        <v>78</v>
      </c>
      <c r="BX85" s="9">
        <v>90000</v>
      </c>
      <c r="BY85" s="10">
        <v>8</v>
      </c>
      <c r="BZ85" s="8" t="s">
        <v>78</v>
      </c>
      <c r="CA85" s="9">
        <f t="shared" si="707"/>
        <v>90000</v>
      </c>
      <c r="CB85" s="10">
        <f t="shared" si="708"/>
        <v>8</v>
      </c>
      <c r="CC85" s="8" t="s">
        <v>78</v>
      </c>
      <c r="CD85" s="9">
        <f t="shared" si="709"/>
        <v>90000</v>
      </c>
      <c r="CE85" s="10">
        <f t="shared" si="710"/>
        <v>8</v>
      </c>
      <c r="CF85" s="8" t="s">
        <v>78</v>
      </c>
      <c r="CG85" s="9">
        <f t="shared" si="711"/>
        <v>90000</v>
      </c>
      <c r="CH85" s="10">
        <f t="shared" si="712"/>
        <v>8</v>
      </c>
      <c r="CI85" s="8" t="s">
        <v>78</v>
      </c>
      <c r="CJ85" s="9">
        <f t="shared" si="713"/>
        <v>90000</v>
      </c>
      <c r="CK85" s="10">
        <f t="shared" si="714"/>
        <v>8</v>
      </c>
      <c r="CL85" s="8" t="s">
        <v>78</v>
      </c>
      <c r="CM85" s="9">
        <f t="shared" si="715"/>
        <v>90000</v>
      </c>
      <c r="CN85" s="10">
        <f t="shared" si="716"/>
        <v>8</v>
      </c>
      <c r="CO85" s="8" t="s">
        <v>78</v>
      </c>
      <c r="CP85" s="9">
        <f t="shared" si="717"/>
        <v>90000</v>
      </c>
      <c r="CQ85" s="10">
        <f t="shared" si="718"/>
        <v>8</v>
      </c>
      <c r="CR85" s="8" t="s">
        <v>78</v>
      </c>
      <c r="CS85" s="9">
        <f t="shared" si="719"/>
        <v>90000</v>
      </c>
      <c r="CT85" s="10">
        <f t="shared" si="720"/>
        <v>8</v>
      </c>
      <c r="CU85" s="8" t="s">
        <v>78</v>
      </c>
      <c r="CV85" s="9">
        <f t="shared" si="721"/>
        <v>90000</v>
      </c>
      <c r="CW85" s="10">
        <f t="shared" si="722"/>
        <v>8</v>
      </c>
      <c r="CX85" s="8" t="s">
        <v>78</v>
      </c>
      <c r="CY85" s="9">
        <f t="shared" si="723"/>
        <v>90000</v>
      </c>
      <c r="CZ85" s="10">
        <f t="shared" si="724"/>
        <v>8</v>
      </c>
      <c r="DA85" s="8" t="s">
        <v>78</v>
      </c>
      <c r="DB85" s="9">
        <f t="shared" si="725"/>
        <v>90000</v>
      </c>
      <c r="DC85" s="10">
        <f t="shared" si="726"/>
        <v>8</v>
      </c>
      <c r="DD85" s="8" t="s">
        <v>78</v>
      </c>
      <c r="DE85" s="9">
        <f t="shared" si="727"/>
        <v>90000</v>
      </c>
      <c r="DF85" s="10">
        <f t="shared" si="728"/>
        <v>8</v>
      </c>
      <c r="DG85" s="8" t="s">
        <v>78</v>
      </c>
      <c r="DH85" s="9">
        <f t="shared" si="729"/>
        <v>90000</v>
      </c>
      <c r="DI85" s="10">
        <f t="shared" si="730"/>
        <v>8</v>
      </c>
      <c r="DK85" s="8">
        <f t="shared" si="731"/>
        <v>0</v>
      </c>
      <c r="DL85" s="67">
        <f t="shared" si="732"/>
        <v>4</v>
      </c>
      <c r="DM85" s="67">
        <f t="shared" si="733"/>
        <v>4</v>
      </c>
      <c r="DN85" s="67">
        <f t="shared" si="734"/>
        <v>0</v>
      </c>
      <c r="DO85" s="67">
        <f t="shared" si="735"/>
        <v>0</v>
      </c>
      <c r="DP85" s="67">
        <f t="shared" si="736"/>
        <v>0</v>
      </c>
      <c r="DQ85" s="9">
        <f t="shared" si="737"/>
        <v>5</v>
      </c>
      <c r="DR85" s="116">
        <f t="shared" si="738"/>
        <v>4</v>
      </c>
      <c r="DS85" s="9">
        <f t="shared" si="739"/>
        <v>0</v>
      </c>
      <c r="DT85" s="9">
        <f t="shared" si="740"/>
        <v>9</v>
      </c>
      <c r="DU85" s="9">
        <v>4</v>
      </c>
      <c r="DV85" s="10">
        <f t="shared" si="741"/>
        <v>0</v>
      </c>
      <c r="DW85" s="9">
        <f t="shared" si="742"/>
        <v>0</v>
      </c>
      <c r="DX85" s="9">
        <f t="shared" si="743"/>
        <v>9</v>
      </c>
      <c r="DY85" s="9">
        <f t="shared" si="744"/>
        <v>4</v>
      </c>
      <c r="DZ85" s="9">
        <f t="shared" si="745"/>
        <v>0</v>
      </c>
      <c r="EA85" s="9">
        <f t="shared" si="746"/>
        <v>9</v>
      </c>
      <c r="EB85" s="9">
        <f t="shared" si="747"/>
        <v>0</v>
      </c>
      <c r="EC85" s="9">
        <f t="shared" si="748"/>
        <v>0</v>
      </c>
      <c r="ED85" s="9">
        <f t="shared" si="749"/>
        <v>8</v>
      </c>
      <c r="EE85" s="9">
        <f t="shared" si="750"/>
        <v>0</v>
      </c>
      <c r="EF85" s="9">
        <f t="shared" si="751"/>
        <v>8</v>
      </c>
      <c r="EG85" s="9">
        <f t="shared" si="752"/>
        <v>0</v>
      </c>
      <c r="EH85" s="9">
        <f t="shared" si="753"/>
        <v>0</v>
      </c>
      <c r="EJ85" s="8">
        <f t="shared" si="754"/>
        <v>0</v>
      </c>
      <c r="EK85" s="9">
        <f t="shared" si="755"/>
        <v>32</v>
      </c>
      <c r="EL85" s="9">
        <f t="shared" si="756"/>
        <v>32</v>
      </c>
      <c r="EM85" s="9">
        <f t="shared" si="757"/>
        <v>0</v>
      </c>
      <c r="EN85" s="9">
        <f t="shared" si="758"/>
        <v>0</v>
      </c>
      <c r="EO85" s="9">
        <f t="shared" si="759"/>
        <v>0</v>
      </c>
      <c r="EP85" s="9">
        <f t="shared" si="760"/>
        <v>40</v>
      </c>
      <c r="EQ85" s="9">
        <f t="shared" si="761"/>
        <v>32</v>
      </c>
      <c r="ER85" s="9">
        <f t="shared" si="762"/>
        <v>0</v>
      </c>
      <c r="ES85" s="9">
        <f t="shared" si="763"/>
        <v>72</v>
      </c>
      <c r="ET85" s="9">
        <f t="shared" si="764"/>
        <v>32</v>
      </c>
      <c r="EU85" s="10">
        <f t="shared" si="765"/>
        <v>0</v>
      </c>
      <c r="EV85" s="9">
        <f t="shared" si="766"/>
        <v>0</v>
      </c>
      <c r="EW85" s="9">
        <f t="shared" si="767"/>
        <v>72</v>
      </c>
      <c r="EX85" s="9">
        <f t="shared" si="768"/>
        <v>32</v>
      </c>
      <c r="EY85" s="9">
        <f t="shared" si="769"/>
        <v>0</v>
      </c>
      <c r="EZ85" s="9">
        <f t="shared" si="770"/>
        <v>72</v>
      </c>
      <c r="FA85" s="9">
        <f t="shared" si="771"/>
        <v>0</v>
      </c>
      <c r="FB85" s="9">
        <f t="shared" si="772"/>
        <v>0</v>
      </c>
      <c r="FC85" s="9">
        <f t="shared" si="773"/>
        <v>64</v>
      </c>
      <c r="FD85" s="9">
        <f t="shared" si="774"/>
        <v>0</v>
      </c>
      <c r="FE85" s="9">
        <f t="shared" si="775"/>
        <v>64</v>
      </c>
      <c r="FF85" s="9">
        <f t="shared" si="776"/>
        <v>0</v>
      </c>
      <c r="FG85" s="9">
        <f t="shared" si="777"/>
        <v>0</v>
      </c>
      <c r="FO85" t="str">
        <f t="shared" si="615"/>
        <v>My Own MealsY4S/Y5</v>
      </c>
      <c r="FP85" t="str">
        <f t="shared" si="616"/>
        <v>My Own MealsY4S/Y5</v>
      </c>
      <c r="FQ85" t="str">
        <f t="shared" si="617"/>
        <v>My Own MealsY4S/Y5</v>
      </c>
      <c r="FR85">
        <v>0</v>
      </c>
    </row>
    <row r="86" spans="1:174" outlineLevel="2" x14ac:dyDescent="0.25">
      <c r="A86" s="28" t="s">
        <v>61</v>
      </c>
      <c r="B86" s="9">
        <f>SUMIF(Prophix!$Q:$Q,'Fds Units'!$A86,Prophix!D:D)</f>
        <v>102848</v>
      </c>
      <c r="C86" s="9">
        <f>SUMIF(Prophix!$Q:$Q,'Fds Units'!$A86,Prophix!E:E)</f>
        <v>9568</v>
      </c>
      <c r="D86" s="9">
        <f>SUMIF(Prophix!$Q:$Q,'Fds Units'!$A86,Prophix!F:F)</f>
        <v>0</v>
      </c>
      <c r="E86" s="9">
        <f>SUMIF(Prophix!$Q:$Q,'Fds Units'!$A86,Prophix!G:G)</f>
        <v>0</v>
      </c>
      <c r="F86" s="9">
        <f>SUMIF(Prophix!$Q:$Q,'Fds Units'!$A86,Prophix!H:H)</f>
        <v>304000</v>
      </c>
      <c r="G86" s="9">
        <f>SUMIF(Prophix!$Q:$Q,'Fds Units'!$A86,Prophix!I:I)</f>
        <v>0</v>
      </c>
      <c r="H86" s="9">
        <f>SUMIF(Prophix!$Q:$Q,'Fds Units'!$A86,Prophix!J:J)</f>
        <v>0</v>
      </c>
      <c r="I86" s="9">
        <f>SUMIF(Prophix!$Q:$Q,'Fds Units'!$A86,Prophix!K:K)</f>
        <v>0</v>
      </c>
      <c r="J86" s="9">
        <f>SUMIF(Prophix!$Q:$Q,'Fds Units'!$A86,Prophix!L:L)</f>
        <v>278752</v>
      </c>
      <c r="K86" s="9">
        <f>SUMIF(Prophix!$Q:$Q,'Fds Units'!$A86,Prophix!M:M)</f>
        <v>0</v>
      </c>
      <c r="L86" s="92"/>
      <c r="M86" s="133">
        <f t="shared" si="704"/>
        <v>0</v>
      </c>
      <c r="N86" s="92">
        <f>SUMIF(Schedule!$R:$R,$FP86,Schedule!P:P)</f>
        <v>0</v>
      </c>
      <c r="O86" s="92">
        <f t="shared" si="780"/>
        <v>0</v>
      </c>
      <c r="P86" s="142"/>
      <c r="Q86" s="133">
        <f>+R86</f>
        <v>0</v>
      </c>
      <c r="R86" s="92"/>
      <c r="S86" s="92"/>
      <c r="T86" s="186">
        <f t="shared" si="778"/>
        <v>0</v>
      </c>
      <c r="U86" s="168"/>
      <c r="V86" s="168"/>
      <c r="W86" s="168">
        <v>0</v>
      </c>
      <c r="X86" s="9"/>
      <c r="Y86" s="109"/>
      <c r="Z86" s="9">
        <v>0</v>
      </c>
      <c r="AA86" s="9">
        <v>0</v>
      </c>
      <c r="AB86" s="242">
        <f t="shared" si="779"/>
        <v>0</v>
      </c>
      <c r="AC86" s="241">
        <v>0</v>
      </c>
      <c r="AD86" s="165">
        <v>0</v>
      </c>
      <c r="AE86" s="242">
        <v>0</v>
      </c>
      <c r="AF86" s="168">
        <v>0</v>
      </c>
      <c r="AG86" s="168">
        <v>0</v>
      </c>
      <c r="AH86" s="168">
        <v>0</v>
      </c>
      <c r="AI86" s="168">
        <v>167536</v>
      </c>
      <c r="AJ86" s="168">
        <v>0</v>
      </c>
      <c r="AK86" s="168">
        <v>0</v>
      </c>
      <c r="AL86" s="168">
        <v>0</v>
      </c>
      <c r="AM86" s="168">
        <v>0</v>
      </c>
      <c r="AN86" s="168">
        <v>0</v>
      </c>
      <c r="AO86" s="59"/>
      <c r="AP86" s="8" t="s">
        <v>78</v>
      </c>
      <c r="AQ86" s="9">
        <v>90000</v>
      </c>
      <c r="AR86" s="10">
        <v>8</v>
      </c>
      <c r="AS86" s="8" t="s">
        <v>78</v>
      </c>
      <c r="AT86" s="9">
        <v>90000</v>
      </c>
      <c r="AU86" s="10">
        <v>8</v>
      </c>
      <c r="AV86" s="8" t="s">
        <v>78</v>
      </c>
      <c r="AW86" s="9">
        <v>90000</v>
      </c>
      <c r="AX86" s="10">
        <v>8</v>
      </c>
      <c r="AY86" s="8" t="s">
        <v>78</v>
      </c>
      <c r="AZ86" s="9">
        <v>90000</v>
      </c>
      <c r="BA86" s="10">
        <v>8</v>
      </c>
      <c r="BB86" s="8" t="s">
        <v>78</v>
      </c>
      <c r="BC86" s="9">
        <v>90000</v>
      </c>
      <c r="BD86" s="10">
        <v>8</v>
      </c>
      <c r="BE86" s="8" t="s">
        <v>78</v>
      </c>
      <c r="BF86" s="9">
        <v>90000</v>
      </c>
      <c r="BG86" s="10">
        <v>8</v>
      </c>
      <c r="BH86" s="8" t="s">
        <v>78</v>
      </c>
      <c r="BI86" s="9">
        <v>90000</v>
      </c>
      <c r="BJ86" s="10">
        <v>8</v>
      </c>
      <c r="BK86" s="8" t="s">
        <v>78</v>
      </c>
      <c r="BL86" s="9">
        <v>90000</v>
      </c>
      <c r="BM86" s="10">
        <v>8</v>
      </c>
      <c r="BN86" s="8" t="s">
        <v>78</v>
      </c>
      <c r="BO86" s="9">
        <v>90000</v>
      </c>
      <c r="BP86" s="10">
        <v>8</v>
      </c>
      <c r="BQ86" s="8" t="s">
        <v>78</v>
      </c>
      <c r="BR86" s="9">
        <v>90000</v>
      </c>
      <c r="BS86" s="10">
        <v>8</v>
      </c>
      <c r="BT86" s="8" t="s">
        <v>78</v>
      </c>
      <c r="BU86" s="9">
        <v>90000</v>
      </c>
      <c r="BV86" s="10">
        <v>8</v>
      </c>
      <c r="BW86" s="8" t="s">
        <v>78</v>
      </c>
      <c r="BX86" s="9">
        <v>90000</v>
      </c>
      <c r="BY86" s="10">
        <v>8</v>
      </c>
      <c r="BZ86" s="8" t="s">
        <v>78</v>
      </c>
      <c r="CA86" s="9">
        <f t="shared" si="707"/>
        <v>90000</v>
      </c>
      <c r="CB86" s="10">
        <f t="shared" si="708"/>
        <v>8</v>
      </c>
      <c r="CC86" s="8" t="s">
        <v>78</v>
      </c>
      <c r="CD86" s="9">
        <f t="shared" si="709"/>
        <v>90000</v>
      </c>
      <c r="CE86" s="10">
        <f t="shared" si="710"/>
        <v>8</v>
      </c>
      <c r="CF86" s="8" t="s">
        <v>78</v>
      </c>
      <c r="CG86" s="9">
        <f t="shared" si="711"/>
        <v>90000</v>
      </c>
      <c r="CH86" s="10">
        <f t="shared" si="712"/>
        <v>8</v>
      </c>
      <c r="CI86" s="8" t="s">
        <v>78</v>
      </c>
      <c r="CJ86" s="9">
        <f t="shared" si="713"/>
        <v>90000</v>
      </c>
      <c r="CK86" s="10">
        <f t="shared" si="714"/>
        <v>8</v>
      </c>
      <c r="CL86" s="8" t="s">
        <v>78</v>
      </c>
      <c r="CM86" s="9">
        <f t="shared" si="715"/>
        <v>90000</v>
      </c>
      <c r="CN86" s="10">
        <f t="shared" si="716"/>
        <v>8</v>
      </c>
      <c r="CO86" s="8" t="s">
        <v>78</v>
      </c>
      <c r="CP86" s="9">
        <f t="shared" si="717"/>
        <v>90000</v>
      </c>
      <c r="CQ86" s="10">
        <f t="shared" si="718"/>
        <v>8</v>
      </c>
      <c r="CR86" s="8" t="s">
        <v>78</v>
      </c>
      <c r="CS86" s="9">
        <f t="shared" si="719"/>
        <v>90000</v>
      </c>
      <c r="CT86" s="10">
        <f t="shared" si="720"/>
        <v>8</v>
      </c>
      <c r="CU86" s="8" t="s">
        <v>78</v>
      </c>
      <c r="CV86" s="9">
        <f t="shared" si="721"/>
        <v>90000</v>
      </c>
      <c r="CW86" s="10">
        <f t="shared" si="722"/>
        <v>8</v>
      </c>
      <c r="CX86" s="8" t="s">
        <v>78</v>
      </c>
      <c r="CY86" s="9">
        <f t="shared" si="723"/>
        <v>90000</v>
      </c>
      <c r="CZ86" s="10">
        <f t="shared" si="724"/>
        <v>8</v>
      </c>
      <c r="DA86" s="8" t="s">
        <v>78</v>
      </c>
      <c r="DB86" s="9">
        <f t="shared" si="725"/>
        <v>90000</v>
      </c>
      <c r="DC86" s="10">
        <f t="shared" si="726"/>
        <v>8</v>
      </c>
      <c r="DD86" s="8" t="s">
        <v>78</v>
      </c>
      <c r="DE86" s="9">
        <f t="shared" si="727"/>
        <v>90000</v>
      </c>
      <c r="DF86" s="10">
        <f t="shared" si="728"/>
        <v>8</v>
      </c>
      <c r="DG86" s="8" t="s">
        <v>78</v>
      </c>
      <c r="DH86" s="9">
        <f t="shared" si="729"/>
        <v>90000</v>
      </c>
      <c r="DI86" s="10">
        <f t="shared" si="730"/>
        <v>8</v>
      </c>
      <c r="DK86" s="72">
        <f t="shared" si="731"/>
        <v>2</v>
      </c>
      <c r="DL86" s="67">
        <f t="shared" si="732"/>
        <v>1</v>
      </c>
      <c r="DM86" s="67">
        <f t="shared" si="733"/>
        <v>0</v>
      </c>
      <c r="DN86" s="67">
        <f t="shared" si="734"/>
        <v>0</v>
      </c>
      <c r="DO86" s="67">
        <f t="shared" si="735"/>
        <v>4</v>
      </c>
      <c r="DP86" s="67">
        <f t="shared" si="736"/>
        <v>0</v>
      </c>
      <c r="DQ86" s="9">
        <f t="shared" si="737"/>
        <v>0</v>
      </c>
      <c r="DR86" s="9">
        <f t="shared" si="738"/>
        <v>0</v>
      </c>
      <c r="DS86" s="9">
        <f t="shared" si="739"/>
        <v>4</v>
      </c>
      <c r="DT86" s="9">
        <f t="shared" si="740"/>
        <v>0</v>
      </c>
      <c r="DU86" s="9">
        <f>IFERROR(ROUNDUP(+N86/BU86,0),0)</f>
        <v>0</v>
      </c>
      <c r="DV86" s="10">
        <f t="shared" si="741"/>
        <v>0</v>
      </c>
      <c r="DW86" s="9">
        <f t="shared" si="742"/>
        <v>0</v>
      </c>
      <c r="DX86" s="9">
        <f t="shared" si="743"/>
        <v>0</v>
      </c>
      <c r="DY86" s="9">
        <f t="shared" si="744"/>
        <v>0</v>
      </c>
      <c r="DZ86" s="9">
        <f t="shared" si="745"/>
        <v>0</v>
      </c>
      <c r="EA86" s="9">
        <f t="shared" si="746"/>
        <v>0</v>
      </c>
      <c r="EB86" s="9">
        <f t="shared" si="747"/>
        <v>0</v>
      </c>
      <c r="EC86" s="9">
        <f t="shared" si="748"/>
        <v>2</v>
      </c>
      <c r="ED86" s="9">
        <f t="shared" si="749"/>
        <v>0</v>
      </c>
      <c r="EE86" s="9">
        <f t="shared" si="750"/>
        <v>0</v>
      </c>
      <c r="EF86" s="9">
        <f t="shared" si="751"/>
        <v>0</v>
      </c>
      <c r="EG86" s="9">
        <f t="shared" si="752"/>
        <v>0</v>
      </c>
      <c r="EH86" s="9">
        <f t="shared" si="753"/>
        <v>0</v>
      </c>
      <c r="EJ86" s="8">
        <f t="shared" si="754"/>
        <v>16</v>
      </c>
      <c r="EK86" s="9">
        <f t="shared" si="755"/>
        <v>8</v>
      </c>
      <c r="EL86" s="9">
        <f t="shared" si="756"/>
        <v>0</v>
      </c>
      <c r="EM86" s="9">
        <f t="shared" si="757"/>
        <v>0</v>
      </c>
      <c r="EN86" s="9">
        <f t="shared" si="758"/>
        <v>32</v>
      </c>
      <c r="EO86" s="9">
        <f t="shared" si="759"/>
        <v>0</v>
      </c>
      <c r="EP86" s="9">
        <f t="shared" si="760"/>
        <v>0</v>
      </c>
      <c r="EQ86" s="9">
        <f t="shared" si="761"/>
        <v>0</v>
      </c>
      <c r="ER86" s="9">
        <f t="shared" si="762"/>
        <v>32</v>
      </c>
      <c r="ES86" s="9">
        <f t="shared" si="763"/>
        <v>0</v>
      </c>
      <c r="ET86" s="9">
        <f t="shared" si="764"/>
        <v>0</v>
      </c>
      <c r="EU86" s="10">
        <f t="shared" si="765"/>
        <v>0</v>
      </c>
      <c r="EV86" s="9">
        <f t="shared" si="766"/>
        <v>0</v>
      </c>
      <c r="EW86" s="9">
        <f t="shared" si="767"/>
        <v>0</v>
      </c>
      <c r="EX86" s="9">
        <f t="shared" si="768"/>
        <v>0</v>
      </c>
      <c r="EY86" s="9">
        <f t="shared" si="769"/>
        <v>0</v>
      </c>
      <c r="EZ86" s="9">
        <f t="shared" si="770"/>
        <v>0</v>
      </c>
      <c r="FA86" s="9">
        <f t="shared" si="771"/>
        <v>0</v>
      </c>
      <c r="FB86" s="9">
        <f t="shared" si="772"/>
        <v>16</v>
      </c>
      <c r="FC86" s="9">
        <f t="shared" si="773"/>
        <v>0</v>
      </c>
      <c r="FD86" s="9">
        <f t="shared" si="774"/>
        <v>0</v>
      </c>
      <c r="FE86" s="9">
        <f t="shared" si="775"/>
        <v>0</v>
      </c>
      <c r="FF86" s="9">
        <f t="shared" si="776"/>
        <v>0</v>
      </c>
      <c r="FG86" s="9">
        <f t="shared" si="777"/>
        <v>0</v>
      </c>
      <c r="FO86" t="str">
        <f t="shared" si="615"/>
        <v>Nutri SystemY4S/Y5</v>
      </c>
      <c r="FP86" t="str">
        <f t="shared" si="616"/>
        <v>Nutri SystemY4S/Y5</v>
      </c>
      <c r="FQ86" t="str">
        <f t="shared" si="617"/>
        <v>Nutri SystemY4S/Y5</v>
      </c>
      <c r="FR86">
        <v>0</v>
      </c>
    </row>
    <row r="87" spans="1:174" outlineLevel="2" x14ac:dyDescent="0.25">
      <c r="A87" s="28" t="s">
        <v>1007</v>
      </c>
      <c r="B87" s="9">
        <f>SUMIF(Prophix!$Q:$Q,'Fds Units'!$A87,Prophix!D:D)</f>
        <v>0</v>
      </c>
      <c r="C87" s="9">
        <f>SUMIF(Prophix!$Q:$Q,'Fds Units'!$A87,Prophix!E:E)</f>
        <v>0</v>
      </c>
      <c r="D87" s="9">
        <f>SUMIF(Prophix!$Q:$Q,'Fds Units'!$A87,Prophix!F:F)</f>
        <v>0</v>
      </c>
      <c r="E87" s="9">
        <f>SUMIF(Prophix!$Q:$Q,'Fds Units'!$A87,Prophix!G:G)</f>
        <v>221616</v>
      </c>
      <c r="F87" s="9">
        <f>SUMIF(Prophix!$Q:$Q,'Fds Units'!$A87,Prophix!H:H)</f>
        <v>0</v>
      </c>
      <c r="G87" s="9">
        <f>SUMIF(Prophix!$Q:$Q,'Fds Units'!$A87,Prophix!I:I)</f>
        <v>0</v>
      </c>
      <c r="H87" s="9">
        <f>SUMIF(Prophix!$Q:$Q,'Fds Units'!$A87,Prophix!J:J)</f>
        <v>0</v>
      </c>
      <c r="I87" s="9">
        <f>SUMIF(Prophix!$Q:$Q,'Fds Units'!$A87,Prophix!K:K)</f>
        <v>32940</v>
      </c>
      <c r="J87" s="9">
        <f>SUMIF(Prophix!$Q:$Q,'Fds Units'!$A87,Prophix!L:L)</f>
        <v>0</v>
      </c>
      <c r="K87" s="9">
        <f>SUMIF(Prophix!$Q:$Q,'Fds Units'!$A87,Prophix!M:M)</f>
        <v>66480</v>
      </c>
      <c r="L87" s="92"/>
      <c r="M87" s="133">
        <f t="shared" si="704"/>
        <v>200004</v>
      </c>
      <c r="N87" s="92">
        <v>200004</v>
      </c>
      <c r="O87" s="92">
        <f t="shared" si="780"/>
        <v>-200004</v>
      </c>
      <c r="P87" s="142"/>
      <c r="Q87" s="133">
        <f t="shared" ref="Q87:Q97" si="781">+R87</f>
        <v>45000</v>
      </c>
      <c r="R87" s="92">
        <v>45000</v>
      </c>
      <c r="S87" s="92">
        <v>42396</v>
      </c>
      <c r="T87" s="186">
        <f t="shared" si="778"/>
        <v>-2604</v>
      </c>
      <c r="U87" s="168"/>
      <c r="V87" s="168"/>
      <c r="W87" s="168">
        <v>360000</v>
      </c>
      <c r="X87" s="9"/>
      <c r="Y87" s="8">
        <v>300024</v>
      </c>
      <c r="Z87" s="9">
        <v>300024</v>
      </c>
      <c r="AA87" s="9">
        <v>215676</v>
      </c>
      <c r="AB87" s="242">
        <f t="shared" si="779"/>
        <v>-84348</v>
      </c>
      <c r="AC87" s="241">
        <v>129600</v>
      </c>
      <c r="AD87" s="165">
        <v>129600</v>
      </c>
      <c r="AE87" s="242">
        <v>0</v>
      </c>
      <c r="AF87" s="168">
        <v>0</v>
      </c>
      <c r="AG87" s="168">
        <v>300024</v>
      </c>
      <c r="AH87" s="168">
        <v>0</v>
      </c>
      <c r="AI87" s="168">
        <v>0</v>
      </c>
      <c r="AJ87" s="168">
        <v>0</v>
      </c>
      <c r="AK87" s="168">
        <v>300024</v>
      </c>
      <c r="AL87" s="168">
        <v>0</v>
      </c>
      <c r="AM87" s="168">
        <v>0</v>
      </c>
      <c r="AN87" s="168">
        <v>0</v>
      </c>
      <c r="AO87" s="59"/>
      <c r="AP87" s="8" t="s">
        <v>78</v>
      </c>
      <c r="AQ87" s="9">
        <v>87000</v>
      </c>
      <c r="AR87" s="10">
        <v>8</v>
      </c>
      <c r="AS87" s="94" t="s">
        <v>620</v>
      </c>
      <c r="AT87" s="9">
        <v>87000</v>
      </c>
      <c r="AU87" s="10">
        <v>8</v>
      </c>
      <c r="AV87" s="94" t="s">
        <v>620</v>
      </c>
      <c r="AW87" s="9">
        <v>87000</v>
      </c>
      <c r="AX87" s="10">
        <v>8</v>
      </c>
      <c r="AY87" s="94" t="s">
        <v>620</v>
      </c>
      <c r="AZ87" s="9">
        <v>87000</v>
      </c>
      <c r="BA87" s="10">
        <v>8</v>
      </c>
      <c r="BB87" s="94" t="s">
        <v>620</v>
      </c>
      <c r="BC87" s="9">
        <v>87000</v>
      </c>
      <c r="BD87" s="10">
        <v>8</v>
      </c>
      <c r="BE87" s="94" t="s">
        <v>620</v>
      </c>
      <c r="BF87" s="9">
        <v>87000</v>
      </c>
      <c r="BG87" s="10">
        <v>8</v>
      </c>
      <c r="BH87" s="94" t="s">
        <v>620</v>
      </c>
      <c r="BI87" s="9">
        <v>87000</v>
      </c>
      <c r="BJ87" s="10">
        <v>8</v>
      </c>
      <c r="BK87" s="94" t="s">
        <v>620</v>
      </c>
      <c r="BL87" s="9">
        <v>87000</v>
      </c>
      <c r="BM87" s="10">
        <v>4</v>
      </c>
      <c r="BN87" s="94" t="s">
        <v>620</v>
      </c>
      <c r="BO87" s="9">
        <v>87000</v>
      </c>
      <c r="BP87" s="10">
        <v>4</v>
      </c>
      <c r="BQ87" s="94" t="s">
        <v>620</v>
      </c>
      <c r="BR87" s="9">
        <f>+N87</f>
        <v>200004</v>
      </c>
      <c r="BS87" s="10">
        <v>4</v>
      </c>
      <c r="BT87" s="94" t="s">
        <v>620</v>
      </c>
      <c r="BU87" s="9">
        <v>87000</v>
      </c>
      <c r="BV87" s="10">
        <v>4</v>
      </c>
      <c r="BW87" s="8" t="s">
        <v>78</v>
      </c>
      <c r="BX87" s="9">
        <v>100002</v>
      </c>
      <c r="BY87" s="10">
        <v>8</v>
      </c>
      <c r="BZ87" s="8" t="s">
        <v>78</v>
      </c>
      <c r="CA87" s="9">
        <v>87000</v>
      </c>
      <c r="CB87" s="10">
        <f t="shared" si="708"/>
        <v>8</v>
      </c>
      <c r="CC87" s="8" t="s">
        <v>78</v>
      </c>
      <c r="CD87" s="9">
        <v>87000</v>
      </c>
      <c r="CE87" s="10">
        <f t="shared" si="710"/>
        <v>8</v>
      </c>
      <c r="CF87" s="8" t="s">
        <v>78</v>
      </c>
      <c r="CG87" s="9">
        <v>87000</v>
      </c>
      <c r="CH87" s="10">
        <f t="shared" si="712"/>
        <v>8</v>
      </c>
      <c r="CI87" s="8" t="s">
        <v>78</v>
      </c>
      <c r="CJ87" s="9">
        <f t="shared" si="713"/>
        <v>87000</v>
      </c>
      <c r="CK87" s="10">
        <f t="shared" si="714"/>
        <v>8</v>
      </c>
      <c r="CL87" s="8" t="s">
        <v>78</v>
      </c>
      <c r="CM87" s="9">
        <f t="shared" si="715"/>
        <v>87000</v>
      </c>
      <c r="CN87" s="10">
        <f t="shared" si="716"/>
        <v>8</v>
      </c>
      <c r="CO87" s="8" t="s">
        <v>78</v>
      </c>
      <c r="CP87" s="9">
        <f t="shared" si="717"/>
        <v>87000</v>
      </c>
      <c r="CQ87" s="10">
        <f t="shared" si="718"/>
        <v>8</v>
      </c>
      <c r="CR87" s="8" t="s">
        <v>78</v>
      </c>
      <c r="CS87" s="9">
        <f t="shared" si="719"/>
        <v>87000</v>
      </c>
      <c r="CT87" s="10">
        <f t="shared" si="720"/>
        <v>8</v>
      </c>
      <c r="CU87" s="8" t="s">
        <v>78</v>
      </c>
      <c r="CV87" s="9">
        <f t="shared" si="721"/>
        <v>87000</v>
      </c>
      <c r="CW87" s="10">
        <f t="shared" si="722"/>
        <v>8</v>
      </c>
      <c r="CX87" s="8" t="s">
        <v>78</v>
      </c>
      <c r="CY87" s="9">
        <f t="shared" si="723"/>
        <v>87000</v>
      </c>
      <c r="CZ87" s="10">
        <f t="shared" si="724"/>
        <v>8</v>
      </c>
      <c r="DA87" s="8" t="s">
        <v>78</v>
      </c>
      <c r="DB87" s="9">
        <f t="shared" si="725"/>
        <v>87000</v>
      </c>
      <c r="DC87" s="10">
        <f t="shared" si="726"/>
        <v>8</v>
      </c>
      <c r="DD87" s="8" t="s">
        <v>78</v>
      </c>
      <c r="DE87" s="9">
        <f t="shared" si="727"/>
        <v>87000</v>
      </c>
      <c r="DF87" s="10">
        <f t="shared" si="728"/>
        <v>8</v>
      </c>
      <c r="DG87" s="8" t="s">
        <v>78</v>
      </c>
      <c r="DH87" s="9">
        <f t="shared" si="729"/>
        <v>87000</v>
      </c>
      <c r="DI87" s="10">
        <f t="shared" si="730"/>
        <v>8</v>
      </c>
      <c r="DK87" s="8">
        <f t="shared" si="731"/>
        <v>0</v>
      </c>
      <c r="DL87" s="9">
        <f t="shared" si="732"/>
        <v>0</v>
      </c>
      <c r="DM87" s="9">
        <f t="shared" si="733"/>
        <v>0</v>
      </c>
      <c r="DN87" s="9">
        <f t="shared" si="734"/>
        <v>3</v>
      </c>
      <c r="DO87" s="9">
        <f t="shared" si="735"/>
        <v>0</v>
      </c>
      <c r="DP87" s="9">
        <f t="shared" si="736"/>
        <v>0</v>
      </c>
      <c r="DQ87" s="9">
        <f t="shared" si="737"/>
        <v>0</v>
      </c>
      <c r="DR87" s="116">
        <f t="shared" si="738"/>
        <v>1</v>
      </c>
      <c r="DS87" s="9">
        <f t="shared" si="739"/>
        <v>0</v>
      </c>
      <c r="DT87" s="9">
        <f t="shared" si="740"/>
        <v>1</v>
      </c>
      <c r="DU87" s="9">
        <f>IFERROR(ROUNDUP(+N87/BU87,0),0)</f>
        <v>3</v>
      </c>
      <c r="DV87" s="10">
        <f t="shared" si="741"/>
        <v>1</v>
      </c>
      <c r="DW87" s="9">
        <f t="shared" si="742"/>
        <v>0</v>
      </c>
      <c r="DX87" s="9">
        <f t="shared" si="743"/>
        <v>4</v>
      </c>
      <c r="DY87" s="9">
        <f>IFERROR(ROUNDUP(+AE87/CG87,0),0)</f>
        <v>0</v>
      </c>
      <c r="DZ87" s="9">
        <f>IFERROR(ROUNDUP(+AF87/CJ87,0),0)</f>
        <v>0</v>
      </c>
      <c r="EA87" s="9">
        <f>IFERROR(ROUNDUP(+AG87/CM87,0),0)</f>
        <v>4</v>
      </c>
      <c r="EB87" s="9">
        <f>IFERROR(ROUNDUP(+AH87/CP87,0),0)</f>
        <v>0</v>
      </c>
      <c r="EC87" s="9">
        <f>IFERROR(ROUNDUP(+AI87/CS87,0),0)</f>
        <v>0</v>
      </c>
      <c r="ED87" s="9">
        <f>IFERROR(ROUNDUP(+AJ87/CV87,0),0)</f>
        <v>0</v>
      </c>
      <c r="EE87" s="9">
        <f>IFERROR(ROUNDUP(+AK87/CY87,0),0)</f>
        <v>4</v>
      </c>
      <c r="EF87" s="9">
        <f>IFERROR(ROUNDUP(+AL87/DB87,0),0)</f>
        <v>0</v>
      </c>
      <c r="EG87" s="9">
        <f>IFERROR(ROUNDUP(+AM87/DE87,0),0)</f>
        <v>0</v>
      </c>
      <c r="EH87" s="9">
        <f>IFERROR(ROUNDUP(+AN87/DH87,0),0)</f>
        <v>0</v>
      </c>
      <c r="EJ87" s="8">
        <f t="shared" si="754"/>
        <v>0</v>
      </c>
      <c r="EK87" s="9">
        <f t="shared" si="755"/>
        <v>0</v>
      </c>
      <c r="EL87" s="9">
        <f t="shared" si="756"/>
        <v>0</v>
      </c>
      <c r="EM87" s="9">
        <f t="shared" si="757"/>
        <v>24</v>
      </c>
      <c r="EN87" s="9">
        <f t="shared" si="758"/>
        <v>0</v>
      </c>
      <c r="EO87" s="9">
        <f t="shared" si="759"/>
        <v>0</v>
      </c>
      <c r="EP87" s="9">
        <f t="shared" si="760"/>
        <v>0</v>
      </c>
      <c r="EQ87" s="9">
        <f t="shared" si="761"/>
        <v>4</v>
      </c>
      <c r="ER87" s="9">
        <f t="shared" si="762"/>
        <v>0</v>
      </c>
      <c r="ES87" s="9">
        <f t="shared" si="763"/>
        <v>4</v>
      </c>
      <c r="ET87" s="9">
        <f t="shared" si="764"/>
        <v>12</v>
      </c>
      <c r="EU87" s="10">
        <f t="shared" si="765"/>
        <v>8</v>
      </c>
      <c r="EV87" s="9">
        <f t="shared" si="766"/>
        <v>0</v>
      </c>
      <c r="EW87" s="9">
        <f t="shared" si="767"/>
        <v>32</v>
      </c>
      <c r="EX87" s="9">
        <f t="shared" si="768"/>
        <v>0</v>
      </c>
      <c r="EY87" s="9">
        <f t="shared" si="769"/>
        <v>0</v>
      </c>
      <c r="EZ87" s="9">
        <f t="shared" si="770"/>
        <v>32</v>
      </c>
      <c r="FA87" s="9">
        <f t="shared" si="771"/>
        <v>0</v>
      </c>
      <c r="FB87" s="9">
        <f t="shared" si="772"/>
        <v>0</v>
      </c>
      <c r="FC87" s="9">
        <f t="shared" si="773"/>
        <v>0</v>
      </c>
      <c r="FD87" s="9">
        <f t="shared" si="774"/>
        <v>32</v>
      </c>
      <c r="FE87" s="9">
        <f t="shared" si="775"/>
        <v>0</v>
      </c>
      <c r="FF87" s="9">
        <f t="shared" si="776"/>
        <v>0</v>
      </c>
      <c r="FG87" s="9">
        <f t="shared" si="777"/>
        <v>0</v>
      </c>
      <c r="FO87" t="str">
        <f t="shared" si="615"/>
        <v>Scott Pet CatY3NS</v>
      </c>
      <c r="FP87" t="str">
        <f t="shared" si="616"/>
        <v>Scott Pet CatY3NS</v>
      </c>
      <c r="FQ87" t="str">
        <f t="shared" si="617"/>
        <v>Scott Pet CatY4S/Y5</v>
      </c>
      <c r="FR87">
        <v>0</v>
      </c>
    </row>
    <row r="88" spans="1:174" outlineLevel="2" x14ac:dyDescent="0.25">
      <c r="A88" s="28" t="s">
        <v>1008</v>
      </c>
      <c r="B88" s="9">
        <f>SUMIF(Prophix!$Q:$Q,'Fds Units'!$A88,Prophix!D:D)</f>
        <v>0</v>
      </c>
      <c r="C88" s="9">
        <f>SUMIF(Prophix!$Q:$Q,'Fds Units'!$A88,Prophix!E:E)</f>
        <v>149508</v>
      </c>
      <c r="D88" s="9">
        <f>SUMIF(Prophix!$Q:$Q,'Fds Units'!$A88,Prophix!F:F)</f>
        <v>0</v>
      </c>
      <c r="E88" s="9">
        <f>SUMIF(Prophix!$Q:$Q,'Fds Units'!$A88,Prophix!G:G)</f>
        <v>0</v>
      </c>
      <c r="F88" s="9">
        <f>SUMIF(Prophix!$Q:$Q,'Fds Units'!$A88,Prophix!H:H)</f>
        <v>0</v>
      </c>
      <c r="G88" s="9">
        <f>SUMIF(Prophix!$Q:$Q,'Fds Units'!$A88,Prophix!I:I)</f>
        <v>0</v>
      </c>
      <c r="H88" s="9">
        <f>SUMIF(Prophix!$Q:$Q,'Fds Units'!$A88,Prophix!J:J)</f>
        <v>0</v>
      </c>
      <c r="I88" s="9">
        <f>SUMIF(Prophix!$Q:$Q,'Fds Units'!$A88,Prophix!K:K)</f>
        <v>0</v>
      </c>
      <c r="J88" s="9">
        <f>SUMIF(Prophix!$Q:$Q,'Fds Units'!$A88,Prophix!L:L)</f>
        <v>71478</v>
      </c>
      <c r="K88" s="9">
        <f>SUMIF(Prophix!$Q:$Q,'Fds Units'!$A88,Prophix!M:M)</f>
        <v>0</v>
      </c>
      <c r="L88" s="92">
        <v>175386</v>
      </c>
      <c r="M88" s="133">
        <f t="shared" si="704"/>
        <v>0</v>
      </c>
      <c r="N88" s="92">
        <f>SUMIF(Schedule!$R:$R,$FP88,Schedule!P:P)</f>
        <v>0</v>
      </c>
      <c r="O88" s="92">
        <f t="shared" si="780"/>
        <v>175386</v>
      </c>
      <c r="P88" s="142"/>
      <c r="Q88" s="133">
        <f t="shared" si="781"/>
        <v>0</v>
      </c>
      <c r="R88" s="92"/>
      <c r="S88" s="92"/>
      <c r="T88" s="186">
        <f t="shared" si="778"/>
        <v>0</v>
      </c>
      <c r="U88" s="168"/>
      <c r="V88" s="168"/>
      <c r="W88" s="168">
        <v>0</v>
      </c>
      <c r="X88" s="9"/>
      <c r="Y88" s="109"/>
      <c r="Z88" s="9">
        <v>0</v>
      </c>
      <c r="AA88" s="9">
        <v>0</v>
      </c>
      <c r="AB88" s="242">
        <f t="shared" si="779"/>
        <v>0</v>
      </c>
      <c r="AC88" s="241">
        <v>0</v>
      </c>
      <c r="AD88" s="165">
        <v>0</v>
      </c>
      <c r="AE88" s="242">
        <v>0</v>
      </c>
      <c r="AF88" s="168">
        <v>0</v>
      </c>
      <c r="AG88" s="168">
        <v>32004</v>
      </c>
      <c r="AH88" s="168">
        <v>0</v>
      </c>
      <c r="AI88" s="168">
        <v>0</v>
      </c>
      <c r="AJ88" s="168">
        <v>180000</v>
      </c>
      <c r="AK88" s="168">
        <v>0</v>
      </c>
      <c r="AL88" s="168">
        <v>0</v>
      </c>
      <c r="AM88" s="168">
        <v>0</v>
      </c>
      <c r="AN88" s="168">
        <v>0</v>
      </c>
      <c r="AO88" s="59"/>
      <c r="AP88" s="8" t="s">
        <v>78</v>
      </c>
      <c r="AQ88" s="9">
        <v>100000</v>
      </c>
      <c r="AR88" s="10">
        <v>8</v>
      </c>
      <c r="AS88" s="8" t="s">
        <v>78</v>
      </c>
      <c r="AT88" s="9">
        <v>100000</v>
      </c>
      <c r="AU88" s="10">
        <v>8</v>
      </c>
      <c r="AV88" s="8" t="s">
        <v>78</v>
      </c>
      <c r="AW88" s="9">
        <v>100000</v>
      </c>
      <c r="AX88" s="10">
        <v>8</v>
      </c>
      <c r="AY88" s="8" t="s">
        <v>78</v>
      </c>
      <c r="AZ88" s="9">
        <f>+AW88</f>
        <v>100000</v>
      </c>
      <c r="BA88" s="10">
        <v>8</v>
      </c>
      <c r="BB88" s="8" t="s">
        <v>78</v>
      </c>
      <c r="BC88" s="9">
        <v>100002</v>
      </c>
      <c r="BD88" s="10">
        <v>8</v>
      </c>
      <c r="BE88" s="8" t="s">
        <v>78</v>
      </c>
      <c r="BF88" s="9">
        <v>100002</v>
      </c>
      <c r="BG88" s="10">
        <v>8</v>
      </c>
      <c r="BH88" s="8" t="s">
        <v>78</v>
      </c>
      <c r="BI88" s="9">
        <v>100002</v>
      </c>
      <c r="BJ88" s="10">
        <v>8</v>
      </c>
      <c r="BK88" s="8" t="s">
        <v>78</v>
      </c>
      <c r="BL88" s="9">
        <v>100002</v>
      </c>
      <c r="BM88" s="10">
        <v>8</v>
      </c>
      <c r="BN88" s="8" t="s">
        <v>78</v>
      </c>
      <c r="BO88" s="9">
        <f>+J88/3</f>
        <v>23826</v>
      </c>
      <c r="BP88" s="10">
        <v>8</v>
      </c>
      <c r="BQ88" s="8" t="s">
        <v>78</v>
      </c>
      <c r="BR88" s="9">
        <v>100002</v>
      </c>
      <c r="BS88" s="10">
        <v>8</v>
      </c>
      <c r="BT88" s="8" t="s">
        <v>78</v>
      </c>
      <c r="BU88" s="9">
        <v>100002</v>
      </c>
      <c r="BV88" s="10">
        <v>8</v>
      </c>
      <c r="BW88" s="8" t="s">
        <v>78</v>
      </c>
      <c r="BX88" s="9">
        <v>100002</v>
      </c>
      <c r="BY88" s="10">
        <v>8</v>
      </c>
      <c r="BZ88" s="8" t="s">
        <v>78</v>
      </c>
      <c r="CA88" s="9">
        <v>90000</v>
      </c>
      <c r="CB88" s="10">
        <f t="shared" si="708"/>
        <v>8</v>
      </c>
      <c r="CC88" s="8" t="s">
        <v>78</v>
      </c>
      <c r="CD88" s="9">
        <f t="shared" si="709"/>
        <v>90000</v>
      </c>
      <c r="CE88" s="10">
        <f t="shared" si="710"/>
        <v>8</v>
      </c>
      <c r="CF88" s="8" t="s">
        <v>78</v>
      </c>
      <c r="CG88" s="9">
        <f t="shared" si="711"/>
        <v>90000</v>
      </c>
      <c r="CH88" s="10">
        <f t="shared" si="712"/>
        <v>8</v>
      </c>
      <c r="CI88" s="8" t="s">
        <v>78</v>
      </c>
      <c r="CJ88" s="9">
        <f t="shared" si="713"/>
        <v>90000</v>
      </c>
      <c r="CK88" s="10">
        <f t="shared" si="714"/>
        <v>8</v>
      </c>
      <c r="CL88" s="8" t="s">
        <v>78</v>
      </c>
      <c r="CM88" s="9">
        <f t="shared" si="715"/>
        <v>90000</v>
      </c>
      <c r="CN88" s="10">
        <f t="shared" si="716"/>
        <v>8</v>
      </c>
      <c r="CO88" s="8" t="s">
        <v>78</v>
      </c>
      <c r="CP88" s="9">
        <f t="shared" si="717"/>
        <v>90000</v>
      </c>
      <c r="CQ88" s="10">
        <f t="shared" si="718"/>
        <v>8</v>
      </c>
      <c r="CR88" s="8" t="s">
        <v>78</v>
      </c>
      <c r="CS88" s="9">
        <f t="shared" si="719"/>
        <v>90000</v>
      </c>
      <c r="CT88" s="10">
        <f t="shared" si="720"/>
        <v>8</v>
      </c>
      <c r="CU88" s="8" t="s">
        <v>78</v>
      </c>
      <c r="CV88" s="9">
        <f t="shared" si="721"/>
        <v>90000</v>
      </c>
      <c r="CW88" s="10">
        <f t="shared" si="722"/>
        <v>8</v>
      </c>
      <c r="CX88" s="8" t="s">
        <v>78</v>
      </c>
      <c r="CY88" s="9">
        <f t="shared" si="723"/>
        <v>90000</v>
      </c>
      <c r="CZ88" s="10">
        <f t="shared" si="724"/>
        <v>8</v>
      </c>
      <c r="DA88" s="8" t="s">
        <v>78</v>
      </c>
      <c r="DB88" s="9">
        <f t="shared" si="725"/>
        <v>90000</v>
      </c>
      <c r="DC88" s="10">
        <f t="shared" si="726"/>
        <v>8</v>
      </c>
      <c r="DD88" s="8" t="s">
        <v>78</v>
      </c>
      <c r="DE88" s="9">
        <f t="shared" si="727"/>
        <v>90000</v>
      </c>
      <c r="DF88" s="10">
        <f t="shared" si="728"/>
        <v>8</v>
      </c>
      <c r="DG88" s="8" t="s">
        <v>78</v>
      </c>
      <c r="DH88" s="9">
        <f t="shared" si="729"/>
        <v>90000</v>
      </c>
      <c r="DI88" s="10">
        <f t="shared" si="730"/>
        <v>8</v>
      </c>
      <c r="DK88" s="8">
        <f t="shared" si="731"/>
        <v>0</v>
      </c>
      <c r="DL88" s="9">
        <f t="shared" si="732"/>
        <v>2</v>
      </c>
      <c r="DM88" s="9">
        <f t="shared" si="733"/>
        <v>0</v>
      </c>
      <c r="DN88" s="9">
        <f t="shared" si="734"/>
        <v>0</v>
      </c>
      <c r="DO88" s="9">
        <f t="shared" si="735"/>
        <v>0</v>
      </c>
      <c r="DP88" s="9">
        <f t="shared" si="736"/>
        <v>0</v>
      </c>
      <c r="DQ88" s="9">
        <f t="shared" si="737"/>
        <v>0</v>
      </c>
      <c r="DR88" s="9">
        <f t="shared" si="738"/>
        <v>0</v>
      </c>
      <c r="DS88" s="9">
        <f t="shared" si="739"/>
        <v>3</v>
      </c>
      <c r="DT88" s="9">
        <f t="shared" si="740"/>
        <v>0</v>
      </c>
      <c r="DU88" s="9">
        <v>2</v>
      </c>
      <c r="DV88" s="10">
        <f t="shared" si="741"/>
        <v>0</v>
      </c>
      <c r="DW88" s="9">
        <f t="shared" si="742"/>
        <v>0</v>
      </c>
      <c r="DX88" s="9">
        <f t="shared" si="743"/>
        <v>0</v>
      </c>
      <c r="DY88" s="9">
        <f>IFERROR(ROUNDUP(+AE88/CG88,0),0)</f>
        <v>0</v>
      </c>
      <c r="DZ88" s="9">
        <f>IFERROR(ROUNDUP(+AF88/CJ88,0),0)</f>
        <v>0</v>
      </c>
      <c r="EA88" s="9">
        <f>IFERROR(ROUNDUP(+AG88/CM88,0),0)</f>
        <v>1</v>
      </c>
      <c r="EB88" s="9">
        <f>IFERROR(ROUNDUP(+AH88/CP88,0),0)</f>
        <v>0</v>
      </c>
      <c r="EC88" s="9">
        <f>IFERROR(ROUNDUP(+AI88/CS88,0),0)</f>
        <v>0</v>
      </c>
      <c r="ED88" s="9">
        <f>IFERROR(ROUNDUP(+AJ88/CV88,0),0)</f>
        <v>2</v>
      </c>
      <c r="EE88" s="9">
        <f>IFERROR(ROUNDUP(+AK88/CY88,0),0)</f>
        <v>0</v>
      </c>
      <c r="EF88" s="9">
        <f>IFERROR(ROUNDUP(+AL88/DB88,0),0)</f>
        <v>0</v>
      </c>
      <c r="EG88" s="9">
        <f>IFERROR(ROUNDUP(+AM88/DE88,0),0)</f>
        <v>0</v>
      </c>
      <c r="EH88" s="9">
        <f>IFERROR(ROUNDUP(+AN88/DH88,0),0)</f>
        <v>0</v>
      </c>
      <c r="EJ88" s="8">
        <f t="shared" si="754"/>
        <v>0</v>
      </c>
      <c r="EK88" s="9">
        <f t="shared" si="755"/>
        <v>16</v>
      </c>
      <c r="EL88" s="9">
        <f t="shared" si="756"/>
        <v>0</v>
      </c>
      <c r="EM88" s="9">
        <f t="shared" si="757"/>
        <v>0</v>
      </c>
      <c r="EN88" s="9">
        <f t="shared" si="758"/>
        <v>0</v>
      </c>
      <c r="EO88" s="9">
        <f t="shared" si="759"/>
        <v>0</v>
      </c>
      <c r="EP88" s="9">
        <f t="shared" si="760"/>
        <v>0</v>
      </c>
      <c r="EQ88" s="9">
        <f t="shared" si="761"/>
        <v>0</v>
      </c>
      <c r="ER88" s="9">
        <f t="shared" si="762"/>
        <v>24</v>
      </c>
      <c r="ES88" s="9">
        <f t="shared" si="763"/>
        <v>0</v>
      </c>
      <c r="ET88" s="9">
        <f t="shared" si="764"/>
        <v>16</v>
      </c>
      <c r="EU88" s="10">
        <f t="shared" si="765"/>
        <v>0</v>
      </c>
      <c r="EV88" s="9">
        <f t="shared" si="766"/>
        <v>0</v>
      </c>
      <c r="EW88" s="9">
        <f t="shared" si="767"/>
        <v>0</v>
      </c>
      <c r="EX88" s="9">
        <f t="shared" si="768"/>
        <v>0</v>
      </c>
      <c r="EY88" s="9">
        <f t="shared" si="769"/>
        <v>0</v>
      </c>
      <c r="EZ88" s="9">
        <f t="shared" si="770"/>
        <v>8</v>
      </c>
      <c r="FA88" s="9">
        <f t="shared" si="771"/>
        <v>0</v>
      </c>
      <c r="FB88" s="9">
        <f t="shared" si="772"/>
        <v>0</v>
      </c>
      <c r="FC88" s="9">
        <f t="shared" si="773"/>
        <v>16</v>
      </c>
      <c r="FD88" s="9">
        <f t="shared" si="774"/>
        <v>0</v>
      </c>
      <c r="FE88" s="9">
        <f t="shared" si="775"/>
        <v>0</v>
      </c>
      <c r="FF88" s="9">
        <f t="shared" si="776"/>
        <v>0</v>
      </c>
      <c r="FG88" s="9">
        <f t="shared" si="777"/>
        <v>0</v>
      </c>
      <c r="FO88" t="str">
        <f t="shared" si="615"/>
        <v>Scott Pet DogY4S/Y5</v>
      </c>
      <c r="FP88" t="str">
        <f t="shared" si="616"/>
        <v>Scott Pet DogY4S/Y5</v>
      </c>
      <c r="FQ88" t="str">
        <f t="shared" si="617"/>
        <v>Scott Pet DogY4S/Y5</v>
      </c>
      <c r="FR88" t="e">
        <v>#N/A</v>
      </c>
    </row>
    <row r="89" spans="1:174" outlineLevel="2" x14ac:dyDescent="0.25">
      <c r="A89" s="28" t="s">
        <v>2603</v>
      </c>
      <c r="B89" s="9">
        <f>SUMIF(Prophix!$Q:$Q,'Fds Units'!$A89,Prophix!D:D)</f>
        <v>0</v>
      </c>
      <c r="C89" s="9">
        <f>SUMIF(Prophix!$Q:$Q,'Fds Units'!$A89,Prophix!E:E)</f>
        <v>0</v>
      </c>
      <c r="D89" s="9">
        <f>SUMIF(Prophix!$Q:$Q,'Fds Units'!$A89,Prophix!F:F)</f>
        <v>0</v>
      </c>
      <c r="E89" s="9">
        <f>SUMIF(Prophix!$Q:$Q,'Fds Units'!$A89,Prophix!G:G)</f>
        <v>0</v>
      </c>
      <c r="F89" s="9">
        <f>SUMIF(Prophix!$Q:$Q,'Fds Units'!$A89,Prophix!H:H)</f>
        <v>0</v>
      </c>
      <c r="G89" s="9">
        <f>SUMIF(Prophix!$Q:$Q,'Fds Units'!$A89,Prophix!I:I)</f>
        <v>0</v>
      </c>
      <c r="H89" s="9">
        <f>SUMIF(Prophix!$Q:$Q,'Fds Units'!$A89,Prophix!J:J)</f>
        <v>0</v>
      </c>
      <c r="I89" s="9">
        <f>SUMIF(Prophix!$Q:$Q,'Fds Units'!$A89,Prophix!K:K)</f>
        <v>0</v>
      </c>
      <c r="J89" s="9">
        <f>SUMIF(Prophix!$Q:$Q,'Fds Units'!$A89,Prophix!L:L)</f>
        <v>0</v>
      </c>
      <c r="K89" s="9">
        <f>SUMIF(Prophix!$Q:$Q,'Fds Units'!$A89,Prophix!M:M)</f>
        <v>0</v>
      </c>
      <c r="L89" s="92"/>
      <c r="M89" s="133">
        <f t="shared" si="704"/>
        <v>0</v>
      </c>
      <c r="N89" s="92">
        <f>SUMIF(Schedule!$R:$R,$FP89,Schedule!P:P)</f>
        <v>0</v>
      </c>
      <c r="O89" s="92">
        <f t="shared" si="780"/>
        <v>0</v>
      </c>
      <c r="P89" s="142"/>
      <c r="Q89" s="133">
        <f t="shared" si="781"/>
        <v>240012</v>
      </c>
      <c r="R89" s="92">
        <v>240012</v>
      </c>
      <c r="S89" s="92">
        <v>183606</v>
      </c>
      <c r="T89" s="186">
        <f t="shared" si="778"/>
        <v>-56406</v>
      </c>
      <c r="U89" s="168"/>
      <c r="V89" s="168"/>
      <c r="W89" s="168">
        <v>0</v>
      </c>
      <c r="X89" s="9"/>
      <c r="Y89" s="72">
        <v>299988</v>
      </c>
      <c r="Z89" s="67">
        <v>360000</v>
      </c>
      <c r="AA89" s="67">
        <v>255672</v>
      </c>
      <c r="AB89" s="242">
        <f t="shared" si="779"/>
        <v>-104328</v>
      </c>
      <c r="AC89" s="241">
        <v>0</v>
      </c>
      <c r="AD89" s="165">
        <v>0</v>
      </c>
      <c r="AE89" s="242">
        <v>94800</v>
      </c>
      <c r="AF89" s="168">
        <v>0</v>
      </c>
      <c r="AG89" s="168">
        <v>0</v>
      </c>
      <c r="AH89" s="168">
        <v>0</v>
      </c>
      <c r="AI89" s="168">
        <v>0</v>
      </c>
      <c r="AJ89" s="168">
        <v>45000</v>
      </c>
      <c r="AK89" s="168">
        <v>0</v>
      </c>
      <c r="AL89" s="168">
        <v>0</v>
      </c>
      <c r="AM89" s="168">
        <v>0</v>
      </c>
      <c r="AN89" s="168">
        <v>45000</v>
      </c>
      <c r="AO89" s="59"/>
      <c r="AP89" s="8" t="s">
        <v>78</v>
      </c>
      <c r="AQ89" s="9">
        <v>100000</v>
      </c>
      <c r="AR89" s="10">
        <v>8</v>
      </c>
      <c r="AS89" s="8" t="s">
        <v>78</v>
      </c>
      <c r="AT89" s="9">
        <v>100000</v>
      </c>
      <c r="AU89" s="10">
        <v>8</v>
      </c>
      <c r="AV89" s="8" t="s">
        <v>78</v>
      </c>
      <c r="AW89" s="9">
        <v>100000</v>
      </c>
      <c r="AX89" s="10">
        <v>8</v>
      </c>
      <c r="AY89" s="8" t="s">
        <v>78</v>
      </c>
      <c r="AZ89" s="9">
        <f>+AW89</f>
        <v>100000</v>
      </c>
      <c r="BA89" s="10">
        <v>8</v>
      </c>
      <c r="BB89" s="8" t="s">
        <v>78</v>
      </c>
      <c r="BC89" s="9">
        <v>100000</v>
      </c>
      <c r="BD89" s="10">
        <v>8</v>
      </c>
      <c r="BE89" s="8" t="s">
        <v>78</v>
      </c>
      <c r="BF89" s="9">
        <f>+BC89</f>
        <v>100000</v>
      </c>
      <c r="BG89" s="10">
        <v>8</v>
      </c>
      <c r="BH89" s="8" t="str">
        <f>+BE89</f>
        <v>Y4S/Y5</v>
      </c>
      <c r="BI89" s="9">
        <f t="shared" ref="BI89:BY89" si="782">+BF89</f>
        <v>100000</v>
      </c>
      <c r="BJ89" s="10">
        <f t="shared" si="782"/>
        <v>8</v>
      </c>
      <c r="BK89" s="8" t="str">
        <f t="shared" si="782"/>
        <v>Y4S/Y5</v>
      </c>
      <c r="BL89" s="9">
        <f t="shared" si="782"/>
        <v>100000</v>
      </c>
      <c r="BM89" s="10">
        <f t="shared" si="782"/>
        <v>8</v>
      </c>
      <c r="BN89" s="8" t="str">
        <f t="shared" si="782"/>
        <v>Y4S/Y5</v>
      </c>
      <c r="BO89" s="9">
        <f t="shared" si="782"/>
        <v>100000</v>
      </c>
      <c r="BP89" s="10">
        <f t="shared" si="782"/>
        <v>8</v>
      </c>
      <c r="BQ89" s="8" t="str">
        <f t="shared" si="782"/>
        <v>Y4S/Y5</v>
      </c>
      <c r="BR89" s="9">
        <f t="shared" si="782"/>
        <v>100000</v>
      </c>
      <c r="BS89" s="10">
        <f t="shared" si="782"/>
        <v>8</v>
      </c>
      <c r="BT89" s="8" t="str">
        <f t="shared" si="782"/>
        <v>Y4S/Y5</v>
      </c>
      <c r="BU89" s="9">
        <f t="shared" si="782"/>
        <v>100000</v>
      </c>
      <c r="BV89" s="10">
        <f t="shared" si="782"/>
        <v>8</v>
      </c>
      <c r="BW89" s="8" t="str">
        <f t="shared" si="782"/>
        <v>Y4S/Y5</v>
      </c>
      <c r="BX89" s="9">
        <f t="shared" si="782"/>
        <v>100000</v>
      </c>
      <c r="BY89" s="10">
        <f t="shared" si="782"/>
        <v>8</v>
      </c>
      <c r="BZ89" s="8" t="s">
        <v>78</v>
      </c>
      <c r="CA89" s="9">
        <v>90000</v>
      </c>
      <c r="CB89" s="10">
        <f t="shared" si="708"/>
        <v>8</v>
      </c>
      <c r="CC89" s="8" t="s">
        <v>78</v>
      </c>
      <c r="CD89" s="9">
        <f t="shared" si="709"/>
        <v>90000</v>
      </c>
      <c r="CE89" s="10">
        <f t="shared" si="710"/>
        <v>8</v>
      </c>
      <c r="CF89" s="8" t="s">
        <v>78</v>
      </c>
      <c r="CG89" s="9">
        <f t="shared" si="711"/>
        <v>90000</v>
      </c>
      <c r="CH89" s="10">
        <f t="shared" si="712"/>
        <v>8</v>
      </c>
      <c r="CI89" s="8" t="s">
        <v>78</v>
      </c>
      <c r="CJ89" s="9">
        <f t="shared" si="713"/>
        <v>90000</v>
      </c>
      <c r="CK89" s="10">
        <f t="shared" si="714"/>
        <v>8</v>
      </c>
      <c r="CL89" s="8" t="s">
        <v>78</v>
      </c>
      <c r="CM89" s="9">
        <f t="shared" si="715"/>
        <v>90000</v>
      </c>
      <c r="CN89" s="10">
        <f t="shared" si="716"/>
        <v>8</v>
      </c>
      <c r="CO89" s="8" t="s">
        <v>78</v>
      </c>
      <c r="CP89" s="9">
        <f t="shared" si="717"/>
        <v>90000</v>
      </c>
      <c r="CQ89" s="10">
        <f t="shared" si="718"/>
        <v>8</v>
      </c>
      <c r="CR89" s="8" t="s">
        <v>78</v>
      </c>
      <c r="CS89" s="9">
        <f t="shared" si="719"/>
        <v>90000</v>
      </c>
      <c r="CT89" s="10">
        <f t="shared" si="720"/>
        <v>8</v>
      </c>
      <c r="CU89" s="8" t="s">
        <v>78</v>
      </c>
      <c r="CV89" s="9">
        <f t="shared" si="721"/>
        <v>90000</v>
      </c>
      <c r="CW89" s="10">
        <f t="shared" si="722"/>
        <v>8</v>
      </c>
      <c r="CX89" s="8" t="s">
        <v>78</v>
      </c>
      <c r="CY89" s="9">
        <f t="shared" si="723"/>
        <v>90000</v>
      </c>
      <c r="CZ89" s="10">
        <f t="shared" si="724"/>
        <v>8</v>
      </c>
      <c r="DA89" s="8" t="s">
        <v>78</v>
      </c>
      <c r="DB89" s="9">
        <f t="shared" si="725"/>
        <v>90000</v>
      </c>
      <c r="DC89" s="10">
        <f t="shared" si="726"/>
        <v>8</v>
      </c>
      <c r="DD89" s="8" t="s">
        <v>78</v>
      </c>
      <c r="DE89" s="9">
        <f t="shared" si="727"/>
        <v>90000</v>
      </c>
      <c r="DF89" s="10">
        <f t="shared" si="728"/>
        <v>8</v>
      </c>
      <c r="DG89" s="8" t="s">
        <v>78</v>
      </c>
      <c r="DH89" s="9">
        <f t="shared" si="729"/>
        <v>90000</v>
      </c>
      <c r="DI89" s="10">
        <f t="shared" si="730"/>
        <v>8</v>
      </c>
      <c r="DJ89" s="67"/>
      <c r="DK89" s="8">
        <f t="shared" si="731"/>
        <v>0</v>
      </c>
      <c r="DL89" s="9">
        <f t="shared" si="732"/>
        <v>0</v>
      </c>
      <c r="DM89" s="9">
        <f t="shared" si="733"/>
        <v>0</v>
      </c>
      <c r="DN89" s="9">
        <f t="shared" si="734"/>
        <v>0</v>
      </c>
      <c r="DO89" s="9">
        <f t="shared" si="735"/>
        <v>0</v>
      </c>
      <c r="DP89" s="9">
        <f t="shared" si="736"/>
        <v>0</v>
      </c>
      <c r="DQ89" s="9">
        <f t="shared" si="737"/>
        <v>0</v>
      </c>
      <c r="DR89" s="9">
        <f t="shared" si="738"/>
        <v>0</v>
      </c>
      <c r="DS89" s="9">
        <f t="shared" si="739"/>
        <v>0</v>
      </c>
      <c r="DT89" s="9">
        <f t="shared" si="740"/>
        <v>0</v>
      </c>
      <c r="DU89" s="9">
        <f>IFERROR(ROUNDUP(+N89/BU89,0),0)</f>
        <v>0</v>
      </c>
      <c r="DV89" s="10">
        <f t="shared" si="741"/>
        <v>3</v>
      </c>
      <c r="DW89" s="9">
        <f t="shared" si="742"/>
        <v>0</v>
      </c>
      <c r="DX89" s="9">
        <f t="shared" si="743"/>
        <v>4</v>
      </c>
      <c r="DY89" s="9">
        <f t="shared" si="744"/>
        <v>2</v>
      </c>
      <c r="DZ89" s="9">
        <f t="shared" si="745"/>
        <v>0</v>
      </c>
      <c r="EA89" s="9">
        <f t="shared" si="746"/>
        <v>0</v>
      </c>
      <c r="EB89" s="9">
        <f t="shared" si="747"/>
        <v>0</v>
      </c>
      <c r="EC89" s="9">
        <f t="shared" si="748"/>
        <v>0</v>
      </c>
      <c r="ED89" s="9">
        <f t="shared" si="749"/>
        <v>1</v>
      </c>
      <c r="EE89" s="9">
        <f t="shared" si="750"/>
        <v>0</v>
      </c>
      <c r="EF89" s="9">
        <f t="shared" si="751"/>
        <v>0</v>
      </c>
      <c r="EG89" s="9">
        <f t="shared" si="752"/>
        <v>0</v>
      </c>
      <c r="EH89" s="9">
        <f t="shared" si="753"/>
        <v>1</v>
      </c>
      <c r="EJ89" s="8">
        <f t="shared" si="754"/>
        <v>0</v>
      </c>
      <c r="EK89" s="9">
        <f t="shared" si="755"/>
        <v>0</v>
      </c>
      <c r="EL89" s="9">
        <f t="shared" si="756"/>
        <v>0</v>
      </c>
      <c r="EM89" s="9">
        <f t="shared" si="757"/>
        <v>0</v>
      </c>
      <c r="EN89" s="9">
        <f t="shared" si="758"/>
        <v>0</v>
      </c>
      <c r="EO89" s="9">
        <f t="shared" si="759"/>
        <v>0</v>
      </c>
      <c r="EP89" s="9">
        <f t="shared" si="760"/>
        <v>0</v>
      </c>
      <c r="EQ89" s="9">
        <f t="shared" si="761"/>
        <v>0</v>
      </c>
      <c r="ER89" s="9">
        <f t="shared" si="762"/>
        <v>0</v>
      </c>
      <c r="ES89" s="9">
        <f t="shared" si="763"/>
        <v>0</v>
      </c>
      <c r="ET89" s="9">
        <f t="shared" si="764"/>
        <v>0</v>
      </c>
      <c r="EU89" s="10">
        <f t="shared" si="765"/>
        <v>24</v>
      </c>
      <c r="EV89" s="9">
        <f t="shared" si="766"/>
        <v>0</v>
      </c>
      <c r="EW89" s="9">
        <f t="shared" si="767"/>
        <v>32</v>
      </c>
      <c r="EX89" s="9">
        <f t="shared" si="768"/>
        <v>16</v>
      </c>
      <c r="EY89" s="9">
        <f t="shared" si="769"/>
        <v>0</v>
      </c>
      <c r="EZ89" s="9">
        <f t="shared" si="770"/>
        <v>0</v>
      </c>
      <c r="FA89" s="9">
        <f t="shared" si="771"/>
        <v>0</v>
      </c>
      <c r="FB89" s="9">
        <f t="shared" si="772"/>
        <v>0</v>
      </c>
      <c r="FC89" s="9">
        <f t="shared" si="773"/>
        <v>8</v>
      </c>
      <c r="FD89" s="9">
        <f t="shared" si="774"/>
        <v>0</v>
      </c>
      <c r="FE89" s="9">
        <f t="shared" si="775"/>
        <v>0</v>
      </c>
      <c r="FF89" s="9">
        <f t="shared" si="776"/>
        <v>0</v>
      </c>
      <c r="FG89" s="9">
        <f t="shared" si="777"/>
        <v>8</v>
      </c>
      <c r="FO89" t="str">
        <f t="shared" si="615"/>
        <v>Simmons CatY4S/Y5</v>
      </c>
      <c r="FP89" t="str">
        <f t="shared" si="616"/>
        <v>Simmons CatY4S/Y5</v>
      </c>
      <c r="FQ89" t="str">
        <f t="shared" si="617"/>
        <v>Simmons CatY4S/Y5</v>
      </c>
      <c r="FR89" t="e">
        <v>#N/A</v>
      </c>
    </row>
    <row r="90" spans="1:174" outlineLevel="2" x14ac:dyDescent="0.25">
      <c r="A90" s="28" t="s">
        <v>2604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2"/>
      <c r="M90" s="133"/>
      <c r="N90" s="92"/>
      <c r="O90" s="92"/>
      <c r="P90" s="142"/>
      <c r="Q90" s="133"/>
      <c r="R90" s="92"/>
      <c r="S90" s="92"/>
      <c r="T90" s="186"/>
      <c r="U90" s="168"/>
      <c r="V90" s="168"/>
      <c r="W90" s="168"/>
      <c r="X90" s="9"/>
      <c r="Y90" s="72"/>
      <c r="Z90" s="67"/>
      <c r="AA90" s="67"/>
      <c r="AB90" s="242"/>
      <c r="AC90" s="241"/>
      <c r="AD90" s="165"/>
      <c r="AE90" s="242"/>
      <c r="AF90" s="168"/>
      <c r="AG90" s="168"/>
      <c r="AH90" s="168"/>
      <c r="AI90" s="168"/>
      <c r="AJ90" s="168"/>
      <c r="AK90" s="168"/>
      <c r="AL90" s="168"/>
      <c r="AM90" s="168"/>
      <c r="AN90" s="168"/>
      <c r="AO90" s="59"/>
      <c r="AP90" s="8"/>
      <c r="AQ90" s="9"/>
      <c r="AR90" s="10"/>
      <c r="AS90" s="8"/>
      <c r="AT90" s="9"/>
      <c r="AU90" s="10"/>
      <c r="AV90" s="8"/>
      <c r="AW90" s="9"/>
      <c r="AX90" s="10"/>
      <c r="AY90" s="8"/>
      <c r="AZ90" s="9"/>
      <c r="BA90" s="10"/>
      <c r="BB90" s="8"/>
      <c r="BC90" s="9"/>
      <c r="BD90" s="10"/>
      <c r="BE90" s="8"/>
      <c r="BF90" s="9"/>
      <c r="BG90" s="10"/>
      <c r="BH90" s="8"/>
      <c r="BI90" s="9"/>
      <c r="BJ90" s="10"/>
      <c r="BK90" s="8"/>
      <c r="BL90" s="9"/>
      <c r="BM90" s="10"/>
      <c r="BN90" s="8"/>
      <c r="BO90" s="9"/>
      <c r="BP90" s="10"/>
      <c r="BQ90" s="8"/>
      <c r="BR90" s="9"/>
      <c r="BS90" s="10"/>
      <c r="BT90" s="8"/>
      <c r="BU90" s="9"/>
      <c r="BV90" s="10"/>
      <c r="BW90" s="8"/>
      <c r="BX90" s="9"/>
      <c r="BY90" s="10"/>
      <c r="BZ90" s="8"/>
      <c r="CA90" s="9"/>
      <c r="CB90" s="10"/>
      <c r="CC90" s="8"/>
      <c r="CD90" s="9"/>
      <c r="CE90" s="10"/>
      <c r="CF90" s="8"/>
      <c r="CG90" s="9"/>
      <c r="CH90" s="10"/>
      <c r="CI90" s="8"/>
      <c r="CJ90" s="9"/>
      <c r="CK90" s="10"/>
      <c r="CL90" s="8"/>
      <c r="CM90" s="9"/>
      <c r="CN90" s="10"/>
      <c r="CO90" s="8"/>
      <c r="CP90" s="9"/>
      <c r="CQ90" s="10"/>
      <c r="CR90" s="8"/>
      <c r="CS90" s="9"/>
      <c r="CT90" s="10"/>
      <c r="CU90" s="8"/>
      <c r="CV90" s="9"/>
      <c r="CW90" s="10"/>
      <c r="CX90" s="8"/>
      <c r="CY90" s="9"/>
      <c r="CZ90" s="10"/>
      <c r="DA90" s="8"/>
      <c r="DB90" s="9"/>
      <c r="DC90" s="10"/>
      <c r="DD90" s="8"/>
      <c r="DE90" s="9"/>
      <c r="DF90" s="10"/>
      <c r="DG90" s="8"/>
      <c r="DH90" s="9"/>
      <c r="DI90" s="10"/>
      <c r="DJ90" s="67"/>
      <c r="DK90" s="8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10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J90" s="8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10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</row>
    <row r="91" spans="1:174" outlineLevel="2" x14ac:dyDescent="0.25">
      <c r="A91" s="28" t="s">
        <v>62</v>
      </c>
      <c r="B91" s="67">
        <f>SUMIF(Prophix!$Q:$Q,'Fds Units'!$A91,Prophix!D:D)</f>
        <v>0</v>
      </c>
      <c r="C91" s="67">
        <f>SUMIF(Prophix!$Q:$Q,'Fds Units'!$A91,Prophix!E:E)</f>
        <v>0</v>
      </c>
      <c r="D91" s="67">
        <f>SUMIF(Prophix!$Q:$Q,'Fds Units'!$A91,Prophix!F:F)</f>
        <v>0</v>
      </c>
      <c r="E91" s="67">
        <f>SUMIF(Prophix!$Q:$Q,'Fds Units'!$A91,Prophix!G:G)</f>
        <v>0</v>
      </c>
      <c r="F91" s="67">
        <f>SUMIF(Prophix!$Q:$Q,'Fds Units'!$A91,Prophix!H:H)</f>
        <v>1082340</v>
      </c>
      <c r="G91" s="67">
        <f>SUMIF(Prophix!$Q:$Q,'Fds Units'!$A91,Prophix!I:I)</f>
        <v>0</v>
      </c>
      <c r="H91" s="67">
        <f>SUMIF(Prophix!$Q:$Q,'Fds Units'!$A91,Prophix!J:J)</f>
        <v>0</v>
      </c>
      <c r="I91" s="67">
        <f>SUMIF(Prophix!$Q:$Q,'Fds Units'!$A91,Prophix!K:K)</f>
        <v>0</v>
      </c>
      <c r="J91" s="67">
        <f>SUMIF(Prophix!$Q:$Q,'Fds Units'!$A91,Prophix!L:L)</f>
        <v>0</v>
      </c>
      <c r="K91" s="67">
        <f>SUMIF(Prophix!$Q:$Q,'Fds Units'!$A91,Prophix!M:M)</f>
        <v>0</v>
      </c>
      <c r="L91" s="165"/>
      <c r="M91" s="166">
        <f t="shared" si="704"/>
        <v>0</v>
      </c>
      <c r="N91" s="165">
        <f>SUMIF(Schedule!$R:$R,$FP91,Schedule!P:P)</f>
        <v>0</v>
      </c>
      <c r="O91" s="92">
        <f t="shared" si="780"/>
        <v>0</v>
      </c>
      <c r="P91" s="167"/>
      <c r="Q91" s="166">
        <f t="shared" si="781"/>
        <v>999900</v>
      </c>
      <c r="R91" s="165">
        <v>999900</v>
      </c>
      <c r="S91" s="165">
        <v>933180</v>
      </c>
      <c r="T91" s="186">
        <f t="shared" si="778"/>
        <v>-66720</v>
      </c>
      <c r="U91" s="168"/>
      <c r="V91" s="168"/>
      <c r="W91" s="168"/>
      <c r="X91" s="9"/>
      <c r="Y91" s="251"/>
      <c r="Z91" s="9">
        <v>0</v>
      </c>
      <c r="AA91" s="9">
        <v>0</v>
      </c>
      <c r="AB91" s="242">
        <f t="shared" si="779"/>
        <v>0</v>
      </c>
      <c r="AC91" s="241">
        <v>0</v>
      </c>
      <c r="AD91" s="165">
        <v>0</v>
      </c>
      <c r="AE91" s="242">
        <v>0</v>
      </c>
      <c r="AF91" s="168">
        <v>0</v>
      </c>
      <c r="AG91" s="168">
        <v>900000</v>
      </c>
      <c r="AH91" s="168">
        <v>0</v>
      </c>
      <c r="AI91" s="168">
        <v>0</v>
      </c>
      <c r="AJ91" s="168">
        <v>0</v>
      </c>
      <c r="AK91" s="168">
        <v>0</v>
      </c>
      <c r="AL91" s="168">
        <v>900000</v>
      </c>
      <c r="AM91" s="168">
        <v>0</v>
      </c>
      <c r="AN91" s="168">
        <v>0</v>
      </c>
      <c r="AO91" s="59"/>
      <c r="AP91" s="72" t="s">
        <v>77</v>
      </c>
      <c r="AQ91" s="67">
        <v>200000</v>
      </c>
      <c r="AR91" s="169">
        <v>7</v>
      </c>
      <c r="AS91" s="72" t="s">
        <v>77</v>
      </c>
      <c r="AT91" s="67">
        <v>200000</v>
      </c>
      <c r="AU91" s="169">
        <v>7</v>
      </c>
      <c r="AV91" s="72" t="s">
        <v>77</v>
      </c>
      <c r="AW91" s="67">
        <v>200000</v>
      </c>
      <c r="AX91" s="169">
        <v>7</v>
      </c>
      <c r="AY91" s="72" t="s">
        <v>77</v>
      </c>
      <c r="AZ91" s="67">
        <v>200000</v>
      </c>
      <c r="BA91" s="169">
        <v>7</v>
      </c>
      <c r="BB91" s="72" t="s">
        <v>77</v>
      </c>
      <c r="BC91" s="67">
        <v>200000</v>
      </c>
      <c r="BD91" s="169">
        <v>7</v>
      </c>
      <c r="BE91" s="72" t="s">
        <v>77</v>
      </c>
      <c r="BF91" s="67">
        <v>200000</v>
      </c>
      <c r="BG91" s="169">
        <v>7</v>
      </c>
      <c r="BH91" s="72" t="s">
        <v>77</v>
      </c>
      <c r="BI91" s="67">
        <v>200000</v>
      </c>
      <c r="BJ91" s="169">
        <v>7</v>
      </c>
      <c r="BK91" s="72" t="s">
        <v>77</v>
      </c>
      <c r="BL91" s="67">
        <v>200000</v>
      </c>
      <c r="BM91" s="169">
        <v>7</v>
      </c>
      <c r="BN91" s="72" t="s">
        <v>77</v>
      </c>
      <c r="BO91" s="67">
        <v>200000</v>
      </c>
      <c r="BP91" s="169">
        <v>7</v>
      </c>
      <c r="BQ91" s="72" t="s">
        <v>77</v>
      </c>
      <c r="BR91" s="67">
        <v>200000</v>
      </c>
      <c r="BS91" s="169">
        <v>7</v>
      </c>
      <c r="BT91" s="72" t="s">
        <v>77</v>
      </c>
      <c r="BU91" s="67">
        <v>200000</v>
      </c>
      <c r="BV91" s="169">
        <v>7</v>
      </c>
      <c r="BW91" s="72" t="s">
        <v>77</v>
      </c>
      <c r="BX91" s="67">
        <v>200000</v>
      </c>
      <c r="BY91" s="169">
        <v>7</v>
      </c>
      <c r="BZ91" s="72" t="s">
        <v>77</v>
      </c>
      <c r="CA91" s="67">
        <v>200000</v>
      </c>
      <c r="CB91" s="169">
        <f t="shared" si="708"/>
        <v>7</v>
      </c>
      <c r="CC91" s="72" t="s">
        <v>77</v>
      </c>
      <c r="CD91" s="67">
        <f t="shared" si="709"/>
        <v>200000</v>
      </c>
      <c r="CE91" s="169">
        <f t="shared" si="710"/>
        <v>7</v>
      </c>
      <c r="CF91" s="72" t="s">
        <v>77</v>
      </c>
      <c r="CG91" s="67">
        <f t="shared" si="711"/>
        <v>200000</v>
      </c>
      <c r="CH91" s="169">
        <f t="shared" si="712"/>
        <v>7</v>
      </c>
      <c r="CI91" s="72" t="s">
        <v>77</v>
      </c>
      <c r="CJ91" s="67">
        <f t="shared" si="713"/>
        <v>200000</v>
      </c>
      <c r="CK91" s="169">
        <f t="shared" si="714"/>
        <v>7</v>
      </c>
      <c r="CL91" s="72" t="s">
        <v>77</v>
      </c>
      <c r="CM91" s="67">
        <f t="shared" si="715"/>
        <v>200000</v>
      </c>
      <c r="CN91" s="169">
        <f t="shared" si="716"/>
        <v>7</v>
      </c>
      <c r="CO91" s="72" t="s">
        <v>77</v>
      </c>
      <c r="CP91" s="67">
        <f>CM91</f>
        <v>200000</v>
      </c>
      <c r="CQ91" s="169">
        <f t="shared" si="718"/>
        <v>7</v>
      </c>
      <c r="CR91" s="72" t="s">
        <v>77</v>
      </c>
      <c r="CS91" s="67">
        <f t="shared" si="719"/>
        <v>200000</v>
      </c>
      <c r="CT91" s="169">
        <f t="shared" si="720"/>
        <v>7</v>
      </c>
      <c r="CU91" s="72" t="s">
        <v>77</v>
      </c>
      <c r="CV91" s="67">
        <f t="shared" si="721"/>
        <v>200000</v>
      </c>
      <c r="CW91" s="169">
        <f t="shared" si="722"/>
        <v>7</v>
      </c>
      <c r="CX91" s="72" t="s">
        <v>77</v>
      </c>
      <c r="CY91" s="67">
        <f t="shared" si="723"/>
        <v>200000</v>
      </c>
      <c r="CZ91" s="169">
        <f t="shared" si="724"/>
        <v>7</v>
      </c>
      <c r="DA91" s="72" t="s">
        <v>77</v>
      </c>
      <c r="DB91" s="67">
        <f t="shared" si="725"/>
        <v>200000</v>
      </c>
      <c r="DC91" s="169">
        <f t="shared" si="726"/>
        <v>7</v>
      </c>
      <c r="DD91" s="72" t="s">
        <v>77</v>
      </c>
      <c r="DE91" s="67">
        <f t="shared" si="727"/>
        <v>200000</v>
      </c>
      <c r="DF91" s="169">
        <f t="shared" si="728"/>
        <v>7</v>
      </c>
      <c r="DG91" s="72" t="s">
        <v>77</v>
      </c>
      <c r="DH91" s="67">
        <f t="shared" si="729"/>
        <v>200000</v>
      </c>
      <c r="DI91" s="169">
        <f t="shared" si="730"/>
        <v>7</v>
      </c>
      <c r="DK91" s="72">
        <f t="shared" si="731"/>
        <v>0</v>
      </c>
      <c r="DL91" s="67">
        <f t="shared" si="732"/>
        <v>0</v>
      </c>
      <c r="DM91" s="67">
        <f t="shared" si="733"/>
        <v>0</v>
      </c>
      <c r="DN91" s="67">
        <f t="shared" si="734"/>
        <v>0</v>
      </c>
      <c r="DO91" s="67">
        <f t="shared" si="735"/>
        <v>6</v>
      </c>
      <c r="DP91" s="67">
        <f t="shared" si="736"/>
        <v>0</v>
      </c>
      <c r="DQ91" s="67">
        <f t="shared" si="737"/>
        <v>0</v>
      </c>
      <c r="DR91" s="67">
        <f t="shared" si="738"/>
        <v>0</v>
      </c>
      <c r="DS91" s="67">
        <f t="shared" si="739"/>
        <v>0</v>
      </c>
      <c r="DT91" s="67">
        <f t="shared" si="740"/>
        <v>0</v>
      </c>
      <c r="DU91" s="67">
        <f>IFERROR(ROUNDUP(+N91/BU91,0),0)</f>
        <v>0</v>
      </c>
      <c r="DV91" s="169">
        <f t="shared" si="741"/>
        <v>5</v>
      </c>
      <c r="DW91" s="67">
        <f t="shared" si="742"/>
        <v>0</v>
      </c>
      <c r="DX91" s="67">
        <f t="shared" si="743"/>
        <v>0</v>
      </c>
      <c r="DY91" s="67">
        <f t="shared" si="744"/>
        <v>0</v>
      </c>
      <c r="DZ91" s="67">
        <f t="shared" si="745"/>
        <v>0</v>
      </c>
      <c r="EA91" s="67">
        <f t="shared" si="746"/>
        <v>5</v>
      </c>
      <c r="EB91" s="67">
        <f t="shared" si="747"/>
        <v>0</v>
      </c>
      <c r="EC91" s="67">
        <f t="shared" si="748"/>
        <v>0</v>
      </c>
      <c r="ED91" s="67">
        <f t="shared" si="749"/>
        <v>0</v>
      </c>
      <c r="EE91" s="67">
        <f t="shared" si="750"/>
        <v>0</v>
      </c>
      <c r="EF91" s="67">
        <f t="shared" si="751"/>
        <v>5</v>
      </c>
      <c r="EG91" s="67">
        <f t="shared" si="752"/>
        <v>0</v>
      </c>
      <c r="EH91" s="67">
        <f t="shared" si="753"/>
        <v>0</v>
      </c>
      <c r="EJ91" s="72">
        <f t="shared" si="754"/>
        <v>0</v>
      </c>
      <c r="EK91" s="67">
        <f t="shared" si="755"/>
        <v>0</v>
      </c>
      <c r="EL91" s="67">
        <f t="shared" si="756"/>
        <v>0</v>
      </c>
      <c r="EM91" s="67">
        <f t="shared" si="757"/>
        <v>0</v>
      </c>
      <c r="EN91" s="67">
        <f t="shared" si="758"/>
        <v>42</v>
      </c>
      <c r="EO91" s="67">
        <f t="shared" si="759"/>
        <v>0</v>
      </c>
      <c r="EP91" s="67">
        <f t="shared" si="760"/>
        <v>0</v>
      </c>
      <c r="EQ91" s="67">
        <f t="shared" si="761"/>
        <v>0</v>
      </c>
      <c r="ER91" s="67">
        <f t="shared" si="762"/>
        <v>0</v>
      </c>
      <c r="ES91" s="67">
        <f t="shared" si="763"/>
        <v>0</v>
      </c>
      <c r="ET91" s="67">
        <f t="shared" si="764"/>
        <v>0</v>
      </c>
      <c r="EU91" s="169">
        <f t="shared" si="765"/>
        <v>35</v>
      </c>
      <c r="EV91" s="67">
        <f t="shared" si="766"/>
        <v>0</v>
      </c>
      <c r="EW91" s="67">
        <f t="shared" si="767"/>
        <v>0</v>
      </c>
      <c r="EX91" s="67">
        <f t="shared" si="768"/>
        <v>0</v>
      </c>
      <c r="EY91" s="67">
        <f t="shared" si="769"/>
        <v>0</v>
      </c>
      <c r="EZ91" s="67">
        <f t="shared" si="770"/>
        <v>35</v>
      </c>
      <c r="FA91" s="67">
        <f t="shared" si="771"/>
        <v>0</v>
      </c>
      <c r="FB91" s="67">
        <f t="shared" si="772"/>
        <v>0</v>
      </c>
      <c r="FC91" s="67">
        <f t="shared" si="773"/>
        <v>0</v>
      </c>
      <c r="FD91" s="67">
        <f t="shared" si="774"/>
        <v>0</v>
      </c>
      <c r="FE91" s="67">
        <f t="shared" si="775"/>
        <v>35</v>
      </c>
      <c r="FF91" s="67">
        <f t="shared" si="776"/>
        <v>0</v>
      </c>
      <c r="FG91" s="67">
        <f t="shared" si="777"/>
        <v>0</v>
      </c>
      <c r="FO91" t="str">
        <f t="shared" si="615"/>
        <v>SpammyW2</v>
      </c>
      <c r="FP91" t="str">
        <f t="shared" si="616"/>
        <v>SpammyW2</v>
      </c>
      <c r="FQ91" t="str">
        <f t="shared" si="617"/>
        <v>SpammyW2</v>
      </c>
      <c r="FR91">
        <v>0</v>
      </c>
    </row>
    <row r="92" spans="1:174" outlineLevel="2" x14ac:dyDescent="0.25">
      <c r="A92" s="28" t="s">
        <v>63</v>
      </c>
      <c r="B92" s="9">
        <f>SUMIF(Prophix!$Q:$Q,'Fds Units'!$A92,Prophix!D:D)</f>
        <v>660516</v>
      </c>
      <c r="C92" s="9">
        <f>SUMIF(Prophix!$Q:$Q,'Fds Units'!$A92,Prophix!E:E)</f>
        <v>371604</v>
      </c>
      <c r="D92" s="9">
        <f>SUMIF(Prophix!$Q:$Q,'Fds Units'!$A92,Prophix!F:F)</f>
        <v>0</v>
      </c>
      <c r="E92" s="9">
        <f>SUMIF(Prophix!$Q:$Q,'Fds Units'!$A92,Prophix!G:G)</f>
        <v>0</v>
      </c>
      <c r="F92" s="9">
        <f>SUMIF(Prophix!$Q:$Q,'Fds Units'!$A92,Prophix!H:H)</f>
        <v>0</v>
      </c>
      <c r="G92" s="9">
        <f>SUMIF(Prophix!$Q:$Q,'Fds Units'!$A92,Prophix!I:I)</f>
        <v>0</v>
      </c>
      <c r="H92" s="9">
        <f>SUMIF(Prophix!$Q:$Q,'Fds Units'!$A92,Prophix!J:J)</f>
        <v>0</v>
      </c>
      <c r="I92" s="9">
        <f>SUMIF(Prophix!$Q:$Q,'Fds Units'!$A92,Prophix!K:K)</f>
        <v>0</v>
      </c>
      <c r="J92" s="9">
        <f>SUMIF(Prophix!$Q:$Q,'Fds Units'!$A92,Prophix!L:L)</f>
        <v>0</v>
      </c>
      <c r="K92" s="9">
        <f>SUMIF(Prophix!$Q:$Q,'Fds Units'!$A92,Prophix!M:M)</f>
        <v>0</v>
      </c>
      <c r="L92" s="92"/>
      <c r="M92" s="133">
        <f t="shared" si="704"/>
        <v>0</v>
      </c>
      <c r="N92" s="92">
        <f>SUMIF(Schedule!$R:$R,$FP92,Schedule!P:P)</f>
        <v>0</v>
      </c>
      <c r="O92" s="92">
        <f t="shared" si="780"/>
        <v>0</v>
      </c>
      <c r="P92" s="142"/>
      <c r="Q92" s="133">
        <f t="shared" si="781"/>
        <v>0</v>
      </c>
      <c r="R92" s="92"/>
      <c r="S92" s="92"/>
      <c r="T92" s="186">
        <f t="shared" si="778"/>
        <v>0</v>
      </c>
      <c r="U92" s="168"/>
      <c r="V92" s="168"/>
      <c r="W92" s="168">
        <v>0</v>
      </c>
      <c r="X92" s="9"/>
      <c r="Y92" s="109"/>
      <c r="Z92" s="9">
        <v>0</v>
      </c>
      <c r="AA92" s="9">
        <v>0</v>
      </c>
      <c r="AB92" s="242">
        <f t="shared" si="779"/>
        <v>0</v>
      </c>
      <c r="AC92" s="241">
        <v>0</v>
      </c>
      <c r="AD92" s="165"/>
      <c r="AE92" s="242">
        <v>0</v>
      </c>
      <c r="AF92" s="168"/>
      <c r="AG92" s="168"/>
      <c r="AH92" s="168"/>
      <c r="AI92" s="168"/>
      <c r="AJ92" s="168"/>
      <c r="AK92" s="168"/>
      <c r="AL92" s="168"/>
      <c r="AM92" s="168"/>
      <c r="AN92" s="168"/>
      <c r="AO92" s="59"/>
      <c r="AP92" s="8" t="s">
        <v>77</v>
      </c>
      <c r="AQ92" s="9">
        <v>200000</v>
      </c>
      <c r="AR92" s="10">
        <v>7</v>
      </c>
      <c r="AS92" s="8" t="s">
        <v>77</v>
      </c>
      <c r="AT92" s="9">
        <v>200000</v>
      </c>
      <c r="AU92" s="10">
        <v>7</v>
      </c>
      <c r="AV92" s="8" t="s">
        <v>77</v>
      </c>
      <c r="AW92" s="9">
        <v>200000</v>
      </c>
      <c r="AX92" s="10">
        <v>7</v>
      </c>
      <c r="AY92" s="8" t="s">
        <v>79</v>
      </c>
      <c r="AZ92" s="9">
        <v>200000</v>
      </c>
      <c r="BA92" s="10">
        <v>7</v>
      </c>
      <c r="BB92" s="8" t="s">
        <v>77</v>
      </c>
      <c r="BC92" s="9">
        <v>200000</v>
      </c>
      <c r="BD92" s="10">
        <v>7</v>
      </c>
      <c r="BE92" s="8" t="s">
        <v>77</v>
      </c>
      <c r="BF92" s="9">
        <v>200000</v>
      </c>
      <c r="BG92" s="10">
        <v>7</v>
      </c>
      <c r="BH92" s="8" t="s">
        <v>77</v>
      </c>
      <c r="BI92" s="9">
        <v>200000</v>
      </c>
      <c r="BJ92" s="10">
        <v>7</v>
      </c>
      <c r="BK92" s="8" t="s">
        <v>77</v>
      </c>
      <c r="BL92" s="9">
        <v>200004</v>
      </c>
      <c r="BM92" s="10">
        <v>7</v>
      </c>
      <c r="BN92" s="8" t="s">
        <v>77</v>
      </c>
      <c r="BO92" s="9">
        <v>200000</v>
      </c>
      <c r="BP92" s="10">
        <v>7</v>
      </c>
      <c r="BQ92" s="8" t="s">
        <v>77</v>
      </c>
      <c r="BR92" s="9">
        <v>200000</v>
      </c>
      <c r="BS92" s="10">
        <v>7</v>
      </c>
      <c r="BT92" s="8" t="s">
        <v>77</v>
      </c>
      <c r="BU92" s="9">
        <v>200000</v>
      </c>
      <c r="BV92" s="10">
        <v>7</v>
      </c>
      <c r="BW92" s="8" t="s">
        <v>77</v>
      </c>
      <c r="BX92" s="9">
        <v>200000</v>
      </c>
      <c r="BY92" s="10">
        <v>7</v>
      </c>
      <c r="BZ92" s="8" t="s">
        <v>77</v>
      </c>
      <c r="CA92" s="9">
        <f t="shared" si="707"/>
        <v>200000</v>
      </c>
      <c r="CB92" s="10">
        <f t="shared" si="708"/>
        <v>7</v>
      </c>
      <c r="CC92" s="8" t="s">
        <v>77</v>
      </c>
      <c r="CD92" s="9">
        <f t="shared" si="709"/>
        <v>200000</v>
      </c>
      <c r="CE92" s="10">
        <f t="shared" si="710"/>
        <v>7</v>
      </c>
      <c r="CF92" s="8" t="s">
        <v>77</v>
      </c>
      <c r="CG92" s="9">
        <f t="shared" si="711"/>
        <v>200000</v>
      </c>
      <c r="CH92" s="10">
        <f t="shared" si="712"/>
        <v>7</v>
      </c>
      <c r="CI92" s="8" t="s">
        <v>77</v>
      </c>
      <c r="CJ92" s="9">
        <f t="shared" si="713"/>
        <v>200000</v>
      </c>
      <c r="CK92" s="10">
        <f t="shared" si="714"/>
        <v>7</v>
      </c>
      <c r="CL92" s="8" t="s">
        <v>77</v>
      </c>
      <c r="CM92" s="9">
        <f t="shared" si="715"/>
        <v>200000</v>
      </c>
      <c r="CN92" s="10">
        <f t="shared" si="716"/>
        <v>7</v>
      </c>
      <c r="CO92" s="8" t="s">
        <v>77</v>
      </c>
      <c r="CP92" s="67">
        <f t="shared" ref="CP92:CP94" si="783">CM92</f>
        <v>200000</v>
      </c>
      <c r="CQ92" s="10">
        <f t="shared" si="718"/>
        <v>7</v>
      </c>
      <c r="CR92" s="8" t="s">
        <v>77</v>
      </c>
      <c r="CS92" s="9">
        <f t="shared" si="719"/>
        <v>200000</v>
      </c>
      <c r="CT92" s="10">
        <f t="shared" si="720"/>
        <v>7</v>
      </c>
      <c r="CU92" s="8" t="s">
        <v>77</v>
      </c>
      <c r="CV92" s="9">
        <f t="shared" si="721"/>
        <v>200000</v>
      </c>
      <c r="CW92" s="10">
        <f t="shared" si="722"/>
        <v>7</v>
      </c>
      <c r="CX92" s="8" t="s">
        <v>77</v>
      </c>
      <c r="CY92" s="9">
        <f t="shared" si="723"/>
        <v>200000</v>
      </c>
      <c r="CZ92" s="10">
        <f t="shared" si="724"/>
        <v>7</v>
      </c>
      <c r="DA92" s="8" t="s">
        <v>77</v>
      </c>
      <c r="DB92" s="9">
        <f t="shared" si="725"/>
        <v>200000</v>
      </c>
      <c r="DC92" s="10">
        <f t="shared" si="726"/>
        <v>7</v>
      </c>
      <c r="DD92" s="8" t="s">
        <v>77</v>
      </c>
      <c r="DE92" s="9">
        <f t="shared" si="727"/>
        <v>200000</v>
      </c>
      <c r="DF92" s="10">
        <f t="shared" si="728"/>
        <v>7</v>
      </c>
      <c r="DG92" s="8" t="s">
        <v>77</v>
      </c>
      <c r="DH92" s="9">
        <f t="shared" si="729"/>
        <v>200000</v>
      </c>
      <c r="DI92" s="10">
        <f t="shared" si="730"/>
        <v>7</v>
      </c>
      <c r="DK92" s="8">
        <f t="shared" si="731"/>
        <v>4</v>
      </c>
      <c r="DL92" s="9">
        <f t="shared" si="732"/>
        <v>2</v>
      </c>
      <c r="DM92" s="9">
        <f t="shared" si="733"/>
        <v>0</v>
      </c>
      <c r="DN92" s="9">
        <f>IFERROR(ROUNDUP(+E92/$AW92,0),0)</f>
        <v>0</v>
      </c>
      <c r="DO92" s="9">
        <f t="shared" si="735"/>
        <v>0</v>
      </c>
      <c r="DP92" s="9">
        <f t="shared" si="736"/>
        <v>0</v>
      </c>
      <c r="DQ92" s="9">
        <f t="shared" si="737"/>
        <v>0</v>
      </c>
      <c r="DR92" s="9">
        <f t="shared" si="738"/>
        <v>0</v>
      </c>
      <c r="DS92" s="9">
        <f t="shared" si="739"/>
        <v>0</v>
      </c>
      <c r="DT92" s="9">
        <f t="shared" si="740"/>
        <v>0</v>
      </c>
      <c r="DU92" s="9">
        <f>IFERROR(ROUNDUP(+N92/BU92,0),0)</f>
        <v>0</v>
      </c>
      <c r="DV92" s="10">
        <f t="shared" si="741"/>
        <v>0</v>
      </c>
      <c r="DW92" s="9">
        <f t="shared" si="742"/>
        <v>0</v>
      </c>
      <c r="DX92" s="9">
        <f t="shared" si="743"/>
        <v>0</v>
      </c>
      <c r="DY92" s="9">
        <f t="shared" si="744"/>
        <v>0</v>
      </c>
      <c r="DZ92" s="9">
        <f t="shared" si="745"/>
        <v>0</v>
      </c>
      <c r="EA92" s="9">
        <f t="shared" si="746"/>
        <v>0</v>
      </c>
      <c r="EB92" s="9">
        <f t="shared" si="747"/>
        <v>0</v>
      </c>
      <c r="EC92" s="9">
        <f t="shared" si="748"/>
        <v>0</v>
      </c>
      <c r="ED92" s="9">
        <f t="shared" si="749"/>
        <v>0</v>
      </c>
      <c r="EE92" s="9">
        <f t="shared" si="750"/>
        <v>0</v>
      </c>
      <c r="EF92" s="9">
        <f t="shared" si="751"/>
        <v>0</v>
      </c>
      <c r="EG92" s="9">
        <f t="shared" si="752"/>
        <v>0</v>
      </c>
      <c r="EH92" s="9">
        <f t="shared" si="753"/>
        <v>0</v>
      </c>
      <c r="EJ92" s="8">
        <f t="shared" si="754"/>
        <v>28</v>
      </c>
      <c r="EK92" s="9">
        <f t="shared" si="755"/>
        <v>14</v>
      </c>
      <c r="EL92" s="9">
        <f t="shared" si="756"/>
        <v>0</v>
      </c>
      <c r="EM92" s="9">
        <f t="shared" si="757"/>
        <v>0</v>
      </c>
      <c r="EN92" s="9">
        <f t="shared" si="758"/>
        <v>0</v>
      </c>
      <c r="EO92" s="9">
        <f t="shared" si="759"/>
        <v>0</v>
      </c>
      <c r="EP92" s="9">
        <f t="shared" si="760"/>
        <v>0</v>
      </c>
      <c r="EQ92" s="9">
        <f t="shared" si="761"/>
        <v>0</v>
      </c>
      <c r="ER92" s="9">
        <f t="shared" si="762"/>
        <v>0</v>
      </c>
      <c r="ES92" s="9">
        <f t="shared" si="763"/>
        <v>0</v>
      </c>
      <c r="ET92" s="9">
        <f t="shared" si="764"/>
        <v>0</v>
      </c>
      <c r="EU92" s="10">
        <f t="shared" si="765"/>
        <v>0</v>
      </c>
      <c r="EV92" s="9">
        <f t="shared" si="766"/>
        <v>0</v>
      </c>
      <c r="EW92" s="9">
        <f t="shared" si="767"/>
        <v>0</v>
      </c>
      <c r="EX92" s="9">
        <f t="shared" si="768"/>
        <v>0</v>
      </c>
      <c r="EY92" s="9">
        <f t="shared" si="769"/>
        <v>0</v>
      </c>
      <c r="EZ92" s="9">
        <f t="shared" si="770"/>
        <v>0</v>
      </c>
      <c r="FA92" s="9">
        <f t="shared" si="771"/>
        <v>0</v>
      </c>
      <c r="FB92" s="9">
        <f t="shared" si="772"/>
        <v>0</v>
      </c>
      <c r="FC92" s="9">
        <f t="shared" si="773"/>
        <v>0</v>
      </c>
      <c r="FD92" s="9">
        <f t="shared" si="774"/>
        <v>0</v>
      </c>
      <c r="FE92" s="9">
        <f t="shared" si="775"/>
        <v>0</v>
      </c>
      <c r="FF92" s="9">
        <f t="shared" si="776"/>
        <v>0</v>
      </c>
      <c r="FG92" s="9">
        <f t="shared" si="777"/>
        <v>0</v>
      </c>
      <c r="FO92" t="str">
        <f t="shared" si="615"/>
        <v>Starkist BeefW2</v>
      </c>
      <c r="FP92" t="str">
        <f t="shared" si="616"/>
        <v>Starkist BeefW2</v>
      </c>
      <c r="FQ92" t="str">
        <f t="shared" si="617"/>
        <v>Starkist BeefW2</v>
      </c>
      <c r="FR92">
        <v>0</v>
      </c>
    </row>
    <row r="93" spans="1:174" outlineLevel="2" x14ac:dyDescent="0.25">
      <c r="A93" s="28" t="s">
        <v>64</v>
      </c>
      <c r="B93" s="9">
        <f>SUMIF(Prophix!$Q:$Q,'Fds Units'!$A93,Prophix!D:D)</f>
        <v>1955280</v>
      </c>
      <c r="C93" s="9">
        <f>SUMIF(Prophix!$Q:$Q,'Fds Units'!$A93,Prophix!E:E)</f>
        <v>2292972</v>
      </c>
      <c r="D93" s="9">
        <f>SUMIF(Prophix!$Q:$Q,'Fds Units'!$A93,Prophix!F:F)</f>
        <v>941280</v>
      </c>
      <c r="E93" s="9">
        <f>SUMIF(Prophix!$Q:$Q,'Fds Units'!$A93,Prophix!G:G)</f>
        <v>1227588</v>
      </c>
      <c r="F93" s="9">
        <f>SUMIF(Prophix!$Q:$Q,'Fds Units'!$A93,Prophix!H:H)</f>
        <v>281808</v>
      </c>
      <c r="G93" s="9">
        <f>SUMIF(Prophix!$Q:$Q,'Fds Units'!$A93,Prophix!I:I)</f>
        <v>480408</v>
      </c>
      <c r="H93" s="9">
        <f>SUMIF(Prophix!$Q:$Q,'Fds Units'!$A93,Prophix!J:J)</f>
        <v>528396</v>
      </c>
      <c r="I93" s="9">
        <f>SUMIF(Prophix!$Q:$Q,'Fds Units'!$A93,Prophix!K:K)</f>
        <v>952500</v>
      </c>
      <c r="J93" s="9">
        <f>SUMIF(Prophix!$Q:$Q,'Fds Units'!$A93,Prophix!L:L)</f>
        <v>984132</v>
      </c>
      <c r="K93" s="9">
        <f>SUMIF(Prophix!$Q:$Q,'Fds Units'!$A93,Prophix!M:M)</f>
        <v>588444</v>
      </c>
      <c r="L93" s="92">
        <v>329652</v>
      </c>
      <c r="M93" s="133">
        <f t="shared" si="704"/>
        <v>400008</v>
      </c>
      <c r="N93" s="92">
        <v>400008</v>
      </c>
      <c r="O93" s="92">
        <f t="shared" si="780"/>
        <v>-70356</v>
      </c>
      <c r="P93" s="142"/>
      <c r="Q93" s="133">
        <f t="shared" si="781"/>
        <v>400008</v>
      </c>
      <c r="R93" s="92">
        <f>200004+200004</f>
        <v>400008</v>
      </c>
      <c r="S93" s="92">
        <v>355932</v>
      </c>
      <c r="T93" s="186">
        <f t="shared" si="778"/>
        <v>-44076</v>
      </c>
      <c r="U93" s="117">
        <f>200004+200004+200004</f>
        <v>600012</v>
      </c>
      <c r="V93" s="117">
        <f>200004+200004+200004</f>
        <v>600012</v>
      </c>
      <c r="W93" s="117">
        <v>600012</v>
      </c>
      <c r="X93" s="9">
        <v>358625</v>
      </c>
      <c r="Y93" s="8">
        <v>1192020</v>
      </c>
      <c r="Z93" s="9">
        <v>1192020</v>
      </c>
      <c r="AA93" s="9">
        <v>773592</v>
      </c>
      <c r="AB93" s="242">
        <f t="shared" si="779"/>
        <v>-418428</v>
      </c>
      <c r="AC93" s="241">
        <v>600012</v>
      </c>
      <c r="AD93" s="165">
        <v>600012</v>
      </c>
      <c r="AE93" s="242">
        <v>525060</v>
      </c>
      <c r="AF93" s="168">
        <v>1200024</v>
      </c>
      <c r="AG93" s="168">
        <v>0</v>
      </c>
      <c r="AH93" s="168">
        <v>1000020</v>
      </c>
      <c r="AI93" s="168">
        <v>1200024</v>
      </c>
      <c r="AJ93" s="168">
        <v>1000020</v>
      </c>
      <c r="AK93" s="168">
        <v>1000020</v>
      </c>
      <c r="AL93" s="168">
        <v>800016</v>
      </c>
      <c r="AM93" s="168">
        <v>600012</v>
      </c>
      <c r="AN93" s="168">
        <v>800016</v>
      </c>
      <c r="AO93" s="59"/>
      <c r="AP93" s="8" t="s">
        <v>77</v>
      </c>
      <c r="AQ93" s="9">
        <v>200000</v>
      </c>
      <c r="AR93" s="10">
        <v>7</v>
      </c>
      <c r="AS93" s="8" t="s">
        <v>77</v>
      </c>
      <c r="AT93" s="9">
        <v>200000</v>
      </c>
      <c r="AU93" s="10">
        <v>7</v>
      </c>
      <c r="AV93" s="8" t="s">
        <v>77</v>
      </c>
      <c r="AW93" s="9">
        <v>200000</v>
      </c>
      <c r="AX93" s="10">
        <v>7</v>
      </c>
      <c r="AY93" s="8" t="s">
        <v>77</v>
      </c>
      <c r="AZ93" s="9">
        <v>205000</v>
      </c>
      <c r="BA93" s="10">
        <v>7</v>
      </c>
      <c r="BB93" s="8" t="s">
        <v>77</v>
      </c>
      <c r="BC93" s="9">
        <v>200004</v>
      </c>
      <c r="BD93" s="10">
        <v>7</v>
      </c>
      <c r="BE93" s="8" t="s">
        <v>77</v>
      </c>
      <c r="BF93" s="9">
        <f>+G93/6</f>
        <v>80068</v>
      </c>
      <c r="BG93" s="10">
        <v>7</v>
      </c>
      <c r="BH93" s="8" t="s">
        <v>77</v>
      </c>
      <c r="BI93" s="9">
        <f>+H93/3</f>
        <v>176132</v>
      </c>
      <c r="BJ93" s="10">
        <v>7</v>
      </c>
      <c r="BK93" s="8" t="s">
        <v>77</v>
      </c>
      <c r="BL93" s="9">
        <f>+I93/6</f>
        <v>158750</v>
      </c>
      <c r="BM93" s="10">
        <v>7</v>
      </c>
      <c r="BN93" s="8" t="s">
        <v>77</v>
      </c>
      <c r="BO93" s="9">
        <f>+J93/6</f>
        <v>164022</v>
      </c>
      <c r="BP93" s="10">
        <v>7</v>
      </c>
      <c r="BQ93" s="8" t="s">
        <v>77</v>
      </c>
      <c r="BR93" s="9">
        <v>200000</v>
      </c>
      <c r="BS93" s="10">
        <v>7</v>
      </c>
      <c r="BT93" s="8" t="s">
        <v>77</v>
      </c>
      <c r="BU93" s="9">
        <v>200004</v>
      </c>
      <c r="BV93" s="10">
        <v>7</v>
      </c>
      <c r="BW93" s="8" t="s">
        <v>77</v>
      </c>
      <c r="BX93" s="9">
        <v>200000</v>
      </c>
      <c r="BY93" s="10">
        <v>7</v>
      </c>
      <c r="BZ93" s="8" t="s">
        <v>77</v>
      </c>
      <c r="CA93" s="9">
        <v>200000</v>
      </c>
      <c r="CB93" s="10">
        <f t="shared" si="708"/>
        <v>7</v>
      </c>
      <c r="CC93" s="8" t="s">
        <v>77</v>
      </c>
      <c r="CD93" s="9">
        <f t="shared" si="709"/>
        <v>200000</v>
      </c>
      <c r="CE93" s="10">
        <f t="shared" si="710"/>
        <v>7</v>
      </c>
      <c r="CF93" s="8" t="s">
        <v>77</v>
      </c>
      <c r="CG93" s="9">
        <f t="shared" si="711"/>
        <v>200000</v>
      </c>
      <c r="CH93" s="10">
        <f t="shared" si="712"/>
        <v>7</v>
      </c>
      <c r="CI93" s="8" t="s">
        <v>77</v>
      </c>
      <c r="CJ93" s="9">
        <f t="shared" si="713"/>
        <v>200000</v>
      </c>
      <c r="CK93" s="10">
        <f t="shared" si="714"/>
        <v>7</v>
      </c>
      <c r="CL93" s="8" t="s">
        <v>77</v>
      </c>
      <c r="CM93" s="9">
        <f t="shared" si="715"/>
        <v>200000</v>
      </c>
      <c r="CN93" s="10">
        <f t="shared" si="716"/>
        <v>7</v>
      </c>
      <c r="CO93" s="8" t="s">
        <v>77</v>
      </c>
      <c r="CP93" s="67">
        <f t="shared" si="783"/>
        <v>200000</v>
      </c>
      <c r="CQ93" s="10">
        <f t="shared" si="718"/>
        <v>7</v>
      </c>
      <c r="CR93" s="8" t="s">
        <v>77</v>
      </c>
      <c r="CS93" s="9">
        <f t="shared" si="719"/>
        <v>200000</v>
      </c>
      <c r="CT93" s="10">
        <f t="shared" si="720"/>
        <v>7</v>
      </c>
      <c r="CU93" s="8" t="s">
        <v>77</v>
      </c>
      <c r="CV93" s="9">
        <f t="shared" si="721"/>
        <v>200000</v>
      </c>
      <c r="CW93" s="10">
        <f t="shared" si="722"/>
        <v>7</v>
      </c>
      <c r="CX93" s="8" t="s">
        <v>77</v>
      </c>
      <c r="CY93" s="9">
        <f t="shared" si="723"/>
        <v>200000</v>
      </c>
      <c r="CZ93" s="10">
        <f t="shared" si="724"/>
        <v>7</v>
      </c>
      <c r="DA93" s="8" t="s">
        <v>77</v>
      </c>
      <c r="DB93" s="9">
        <f t="shared" si="725"/>
        <v>200000</v>
      </c>
      <c r="DC93" s="10">
        <f t="shared" si="726"/>
        <v>7</v>
      </c>
      <c r="DD93" s="8" t="s">
        <v>77</v>
      </c>
      <c r="DE93" s="9">
        <f t="shared" si="727"/>
        <v>200000</v>
      </c>
      <c r="DF93" s="10">
        <f t="shared" si="728"/>
        <v>7</v>
      </c>
      <c r="DG93" s="8" t="s">
        <v>77</v>
      </c>
      <c r="DH93" s="9">
        <f t="shared" si="729"/>
        <v>200000</v>
      </c>
      <c r="DI93" s="10">
        <f t="shared" si="730"/>
        <v>7</v>
      </c>
      <c r="DK93" s="8">
        <f t="shared" si="731"/>
        <v>10</v>
      </c>
      <c r="DL93" s="9">
        <f t="shared" si="732"/>
        <v>12</v>
      </c>
      <c r="DM93" s="9">
        <f t="shared" si="733"/>
        <v>5</v>
      </c>
      <c r="DN93" s="9">
        <f>IFERROR(ROUNDUP(+E93/$AZ93,0),0)</f>
        <v>6</v>
      </c>
      <c r="DO93" s="9">
        <f t="shared" si="735"/>
        <v>2</v>
      </c>
      <c r="DP93" s="9">
        <f t="shared" si="736"/>
        <v>6</v>
      </c>
      <c r="DQ93" s="9">
        <f t="shared" si="737"/>
        <v>3</v>
      </c>
      <c r="DR93" s="116">
        <f t="shared" si="738"/>
        <v>6</v>
      </c>
      <c r="DS93" s="9">
        <f t="shared" si="739"/>
        <v>6</v>
      </c>
      <c r="DT93" s="9">
        <f t="shared" si="740"/>
        <v>3</v>
      </c>
      <c r="DU93" s="9">
        <f>IFERROR(ROUNDUP(+N93/BU93,0),0)</f>
        <v>2</v>
      </c>
      <c r="DV93" s="10">
        <f t="shared" si="741"/>
        <v>3</v>
      </c>
      <c r="DW93" s="9">
        <f t="shared" si="742"/>
        <v>4</v>
      </c>
      <c r="DX93" s="9">
        <f t="shared" si="743"/>
        <v>6</v>
      </c>
      <c r="DY93" s="9">
        <f t="shared" si="744"/>
        <v>3</v>
      </c>
      <c r="DZ93" s="9">
        <f t="shared" si="745"/>
        <v>7</v>
      </c>
      <c r="EA93" s="9">
        <f t="shared" si="746"/>
        <v>0</v>
      </c>
      <c r="EB93" s="9">
        <f t="shared" si="747"/>
        <v>6</v>
      </c>
      <c r="EC93" s="9">
        <f t="shared" si="748"/>
        <v>7</v>
      </c>
      <c r="ED93" s="9">
        <f t="shared" si="749"/>
        <v>6</v>
      </c>
      <c r="EE93" s="9">
        <f t="shared" si="750"/>
        <v>6</v>
      </c>
      <c r="EF93" s="9">
        <f t="shared" si="751"/>
        <v>5</v>
      </c>
      <c r="EG93" s="9">
        <f t="shared" si="752"/>
        <v>4</v>
      </c>
      <c r="EH93" s="9">
        <f t="shared" si="753"/>
        <v>5</v>
      </c>
      <c r="EJ93" s="8">
        <f t="shared" si="754"/>
        <v>70</v>
      </c>
      <c r="EK93" s="9">
        <f t="shared" si="755"/>
        <v>84</v>
      </c>
      <c r="EL93" s="9">
        <f t="shared" si="756"/>
        <v>35</v>
      </c>
      <c r="EM93" s="9">
        <f t="shared" si="757"/>
        <v>42</v>
      </c>
      <c r="EN93" s="9">
        <f t="shared" si="758"/>
        <v>14</v>
      </c>
      <c r="EO93" s="9">
        <f t="shared" si="759"/>
        <v>42</v>
      </c>
      <c r="EP93" s="9">
        <f t="shared" si="760"/>
        <v>21</v>
      </c>
      <c r="EQ93" s="9">
        <f t="shared" si="761"/>
        <v>42</v>
      </c>
      <c r="ER93" s="9">
        <f t="shared" si="762"/>
        <v>42</v>
      </c>
      <c r="ES93" s="9">
        <f t="shared" si="763"/>
        <v>21</v>
      </c>
      <c r="ET93" s="9">
        <f t="shared" si="764"/>
        <v>14</v>
      </c>
      <c r="EU93" s="10">
        <f t="shared" si="765"/>
        <v>21</v>
      </c>
      <c r="EV93" s="9">
        <f t="shared" si="766"/>
        <v>28</v>
      </c>
      <c r="EW93" s="9">
        <f t="shared" si="767"/>
        <v>42</v>
      </c>
      <c r="EX93" s="9">
        <f t="shared" si="768"/>
        <v>21</v>
      </c>
      <c r="EY93" s="9">
        <f t="shared" si="769"/>
        <v>49</v>
      </c>
      <c r="EZ93" s="9">
        <f t="shared" si="770"/>
        <v>0</v>
      </c>
      <c r="FA93" s="9">
        <f t="shared" si="771"/>
        <v>42</v>
      </c>
      <c r="FB93" s="9">
        <f t="shared" si="772"/>
        <v>49</v>
      </c>
      <c r="FC93" s="9">
        <f t="shared" si="773"/>
        <v>42</v>
      </c>
      <c r="FD93" s="9">
        <f t="shared" si="774"/>
        <v>42</v>
      </c>
      <c r="FE93" s="9">
        <f t="shared" si="775"/>
        <v>35</v>
      </c>
      <c r="FF93" s="9">
        <f t="shared" si="776"/>
        <v>28</v>
      </c>
      <c r="FG93" s="9">
        <f t="shared" si="777"/>
        <v>35</v>
      </c>
      <c r="FO93" t="str">
        <f t="shared" si="615"/>
        <v>Starkist CreationsW2</v>
      </c>
      <c r="FP93" t="str">
        <f t="shared" si="616"/>
        <v>Starkist CreationsW2</v>
      </c>
      <c r="FQ93" t="str">
        <f t="shared" si="617"/>
        <v>Starkist CreationsW2</v>
      </c>
      <c r="FR93">
        <v>0</v>
      </c>
    </row>
    <row r="94" spans="1:174" outlineLevel="2" x14ac:dyDescent="0.25">
      <c r="A94" s="28" t="s">
        <v>65</v>
      </c>
      <c r="B94" s="9">
        <f>SUMIF(Prophix!$Q:$Q,'Fds Units'!$A94,Prophix!D:D)</f>
        <v>1190460</v>
      </c>
      <c r="C94" s="9">
        <f>SUMIF(Prophix!$Q:$Q,'Fds Units'!$A94,Prophix!E:E)</f>
        <v>1399380</v>
      </c>
      <c r="D94" s="9">
        <f>SUMIF(Prophix!$Q:$Q,'Fds Units'!$A94,Prophix!F:F)</f>
        <v>1165260</v>
      </c>
      <c r="E94" s="9">
        <f>SUMIF(Prophix!$Q:$Q,'Fds Units'!$A94,Prophix!G:G)</f>
        <v>837792</v>
      </c>
      <c r="F94" s="9">
        <f>SUMIF(Prophix!$Q:$Q,'Fds Units'!$A94,Prophix!H:H)</f>
        <v>173196</v>
      </c>
      <c r="G94" s="9">
        <f>SUMIF(Prophix!$Q:$Q,'Fds Units'!$A94,Prophix!I:I)</f>
        <v>1410516</v>
      </c>
      <c r="H94" s="9">
        <f>SUMIF(Prophix!$Q:$Q,'Fds Units'!$A94,Prophix!J:J)-H95</f>
        <v>664167</v>
      </c>
      <c r="I94" s="9">
        <f>SUMIF(Prophix!$Q:$Q,'Fds Units'!$A94,Prophix!K:K)-I95-I96</f>
        <v>291243</v>
      </c>
      <c r="J94" s="9">
        <f>SUMIF(Prophix!$Q:$Q,'Fds Units'!$A94,Prophix!L:L)-J95-J96</f>
        <v>0</v>
      </c>
      <c r="K94" s="9">
        <f>SUMIF(Prophix!$Q:$Q,'Fds Units'!$A94,Prophix!M:M)</f>
        <v>1189536</v>
      </c>
      <c r="L94" s="92">
        <v>967308</v>
      </c>
      <c r="M94" s="133">
        <f t="shared" si="704"/>
        <v>1050048</v>
      </c>
      <c r="N94" s="92">
        <v>1050048</v>
      </c>
      <c r="O94" s="92">
        <f t="shared" si="780"/>
        <v>-82740</v>
      </c>
      <c r="P94" s="142"/>
      <c r="Q94" s="133">
        <f t="shared" si="781"/>
        <v>494016</v>
      </c>
      <c r="R94" s="92">
        <f>144000+350016</f>
        <v>494016</v>
      </c>
      <c r="S94" s="92">
        <v>258024</v>
      </c>
      <c r="T94" s="186">
        <f t="shared" si="778"/>
        <v>-235992</v>
      </c>
      <c r="U94" s="117">
        <f>875040+350016</f>
        <v>1225056</v>
      </c>
      <c r="V94" s="117">
        <f>875040+350016</f>
        <v>1225056</v>
      </c>
      <c r="W94" s="117">
        <v>1400064</v>
      </c>
      <c r="X94" s="9">
        <v>1114888</v>
      </c>
      <c r="Y94" s="8">
        <v>875040</v>
      </c>
      <c r="Z94" s="9">
        <v>1050048</v>
      </c>
      <c r="AA94" s="9">
        <v>770652</v>
      </c>
      <c r="AB94" s="242">
        <f t="shared" si="779"/>
        <v>-279396</v>
      </c>
      <c r="AC94" s="241">
        <v>1750080</v>
      </c>
      <c r="AD94" s="165">
        <v>1750080</v>
      </c>
      <c r="AE94" s="242">
        <v>1050000</v>
      </c>
      <c r="AF94" s="168">
        <v>1750080</v>
      </c>
      <c r="AG94" s="168">
        <v>0</v>
      </c>
      <c r="AH94" s="168">
        <v>1225056</v>
      </c>
      <c r="AI94" s="168">
        <v>1050048</v>
      </c>
      <c r="AJ94" s="168">
        <v>875040</v>
      </c>
      <c r="AK94" s="168">
        <v>875040</v>
      </c>
      <c r="AL94" s="168">
        <v>1050048</v>
      </c>
      <c r="AM94" s="168">
        <v>1050048</v>
      </c>
      <c r="AN94" s="168">
        <v>875040</v>
      </c>
      <c r="AO94" s="59"/>
      <c r="AP94" s="8" t="s">
        <v>77</v>
      </c>
      <c r="AQ94" s="9">
        <v>175000</v>
      </c>
      <c r="AR94" s="10">
        <v>7</v>
      </c>
      <c r="AS94" s="8" t="s">
        <v>77</v>
      </c>
      <c r="AT94" s="9">
        <v>200000</v>
      </c>
      <c r="AU94" s="10">
        <v>7</v>
      </c>
      <c r="AV94" s="8" t="s">
        <v>77</v>
      </c>
      <c r="AW94" s="9">
        <v>175000</v>
      </c>
      <c r="AX94" s="10">
        <v>7</v>
      </c>
      <c r="AY94" s="8" t="s">
        <v>77</v>
      </c>
      <c r="AZ94" s="9">
        <v>205000</v>
      </c>
      <c r="BA94" s="10">
        <v>7</v>
      </c>
      <c r="BB94" s="8" t="s">
        <v>77</v>
      </c>
      <c r="BC94" s="9">
        <v>175008</v>
      </c>
      <c r="BD94" s="10">
        <v>7</v>
      </c>
      <c r="BE94" s="8" t="s">
        <v>77</v>
      </c>
      <c r="BF94" s="9">
        <f>+G94/6</f>
        <v>235086</v>
      </c>
      <c r="BG94" s="10">
        <v>7</v>
      </c>
      <c r="BH94" s="8" t="s">
        <v>77</v>
      </c>
      <c r="BI94" s="9">
        <f>+H94/4</f>
        <v>166041.75</v>
      </c>
      <c r="BJ94" s="10">
        <v>7</v>
      </c>
      <c r="BK94" s="8" t="s">
        <v>77</v>
      </c>
      <c r="BL94" s="9">
        <f>+I94/3</f>
        <v>97081</v>
      </c>
      <c r="BM94" s="10">
        <v>7</v>
      </c>
      <c r="BN94" s="8" t="s">
        <v>77</v>
      </c>
      <c r="BO94" s="9">
        <v>180000</v>
      </c>
      <c r="BP94" s="10">
        <v>7</v>
      </c>
      <c r="BQ94" s="8" t="s">
        <v>77</v>
      </c>
      <c r="BR94" s="9">
        <v>200000</v>
      </c>
      <c r="BS94" s="10">
        <v>7</v>
      </c>
      <c r="BT94" s="8" t="s">
        <v>77</v>
      </c>
      <c r="BU94" s="9">
        <v>175008</v>
      </c>
      <c r="BV94" s="10">
        <v>7</v>
      </c>
      <c r="BW94" s="8" t="s">
        <v>77</v>
      </c>
      <c r="BX94" s="9">
        <v>175008</v>
      </c>
      <c r="BY94" s="10">
        <v>7</v>
      </c>
      <c r="BZ94" s="8" t="s">
        <v>77</v>
      </c>
      <c r="CA94" s="9">
        <v>175000</v>
      </c>
      <c r="CB94" s="10">
        <f t="shared" si="708"/>
        <v>7</v>
      </c>
      <c r="CC94" s="8" t="s">
        <v>77</v>
      </c>
      <c r="CD94" s="9">
        <f t="shared" si="709"/>
        <v>175000</v>
      </c>
      <c r="CE94" s="10">
        <f t="shared" si="710"/>
        <v>7</v>
      </c>
      <c r="CF94" s="8" t="s">
        <v>77</v>
      </c>
      <c r="CG94" s="9">
        <f t="shared" si="711"/>
        <v>175000</v>
      </c>
      <c r="CH94" s="10">
        <f t="shared" si="712"/>
        <v>7</v>
      </c>
      <c r="CI94" s="8" t="s">
        <v>77</v>
      </c>
      <c r="CJ94" s="9">
        <f t="shared" si="713"/>
        <v>175000</v>
      </c>
      <c r="CK94" s="10">
        <f t="shared" si="714"/>
        <v>7</v>
      </c>
      <c r="CL94" s="8" t="s">
        <v>77</v>
      </c>
      <c r="CM94" s="9">
        <f t="shared" si="715"/>
        <v>175000</v>
      </c>
      <c r="CN94" s="10">
        <f t="shared" si="716"/>
        <v>7</v>
      </c>
      <c r="CO94" s="8" t="s">
        <v>77</v>
      </c>
      <c r="CP94" s="67">
        <f t="shared" si="783"/>
        <v>175000</v>
      </c>
      <c r="CQ94" s="10">
        <f t="shared" si="718"/>
        <v>7</v>
      </c>
      <c r="CR94" s="8" t="s">
        <v>77</v>
      </c>
      <c r="CS94" s="9">
        <f t="shared" si="719"/>
        <v>175000</v>
      </c>
      <c r="CT94" s="10">
        <f t="shared" si="720"/>
        <v>7</v>
      </c>
      <c r="CU94" s="8" t="s">
        <v>77</v>
      </c>
      <c r="CV94" s="9">
        <f t="shared" si="721"/>
        <v>175000</v>
      </c>
      <c r="CW94" s="10">
        <f t="shared" si="722"/>
        <v>7</v>
      </c>
      <c r="CX94" s="8" t="s">
        <v>77</v>
      </c>
      <c r="CY94" s="9">
        <f t="shared" si="723"/>
        <v>175000</v>
      </c>
      <c r="CZ94" s="10">
        <f t="shared" si="724"/>
        <v>7</v>
      </c>
      <c r="DA94" s="8" t="s">
        <v>77</v>
      </c>
      <c r="DB94" s="9">
        <f t="shared" si="725"/>
        <v>175000</v>
      </c>
      <c r="DC94" s="10">
        <f t="shared" si="726"/>
        <v>7</v>
      </c>
      <c r="DD94" s="8" t="s">
        <v>77</v>
      </c>
      <c r="DE94" s="9">
        <f t="shared" si="727"/>
        <v>175000</v>
      </c>
      <c r="DF94" s="10">
        <f t="shared" si="728"/>
        <v>7</v>
      </c>
      <c r="DG94" s="8" t="s">
        <v>77</v>
      </c>
      <c r="DH94" s="9">
        <f t="shared" si="729"/>
        <v>175000</v>
      </c>
      <c r="DI94" s="10">
        <f t="shared" si="730"/>
        <v>7</v>
      </c>
      <c r="DK94" s="8">
        <f t="shared" si="731"/>
        <v>7</v>
      </c>
      <c r="DL94" s="9">
        <f t="shared" si="732"/>
        <v>7</v>
      </c>
      <c r="DM94" s="9">
        <f t="shared" si="733"/>
        <v>7</v>
      </c>
      <c r="DN94" s="9">
        <f>IFERROR(ROUNDUP(+E94/$AZ94,0),0)</f>
        <v>5</v>
      </c>
      <c r="DO94" s="9">
        <f t="shared" si="735"/>
        <v>1</v>
      </c>
      <c r="DP94" s="9">
        <f t="shared" si="736"/>
        <v>6</v>
      </c>
      <c r="DQ94" s="9">
        <f t="shared" si="737"/>
        <v>4</v>
      </c>
      <c r="DR94" s="116">
        <f t="shared" si="738"/>
        <v>3</v>
      </c>
      <c r="DS94" s="9">
        <f t="shared" si="739"/>
        <v>0</v>
      </c>
      <c r="DT94" s="9">
        <f>IFERROR(ROUNDUP(+K94/BR94,0),0)+1</f>
        <v>7</v>
      </c>
      <c r="DU94" s="9">
        <v>7</v>
      </c>
      <c r="DV94" s="10">
        <f t="shared" si="741"/>
        <v>3</v>
      </c>
      <c r="DW94" s="9">
        <f t="shared" si="742"/>
        <v>8</v>
      </c>
      <c r="DX94" s="9">
        <f t="shared" si="743"/>
        <v>6</v>
      </c>
      <c r="DY94" s="9">
        <f t="shared" si="744"/>
        <v>6</v>
      </c>
      <c r="DZ94" s="9">
        <f t="shared" si="745"/>
        <v>11</v>
      </c>
      <c r="EA94" s="9">
        <f t="shared" si="746"/>
        <v>0</v>
      </c>
      <c r="EB94" s="9">
        <f t="shared" si="747"/>
        <v>8</v>
      </c>
      <c r="EC94" s="9">
        <f t="shared" si="748"/>
        <v>7</v>
      </c>
      <c r="ED94" s="9">
        <f t="shared" si="749"/>
        <v>6</v>
      </c>
      <c r="EE94" s="9">
        <f t="shared" si="750"/>
        <v>6</v>
      </c>
      <c r="EF94" s="9">
        <f t="shared" si="751"/>
        <v>7</v>
      </c>
      <c r="EG94" s="9">
        <f t="shared" si="752"/>
        <v>7</v>
      </c>
      <c r="EH94" s="9">
        <f t="shared" si="753"/>
        <v>6</v>
      </c>
      <c r="EJ94" s="8">
        <f t="shared" si="754"/>
        <v>49</v>
      </c>
      <c r="EK94" s="9">
        <f t="shared" si="755"/>
        <v>49</v>
      </c>
      <c r="EL94" s="9">
        <f t="shared" si="756"/>
        <v>49</v>
      </c>
      <c r="EM94" s="9">
        <f t="shared" si="757"/>
        <v>35</v>
      </c>
      <c r="EN94" s="9">
        <f t="shared" si="758"/>
        <v>7</v>
      </c>
      <c r="EO94" s="9">
        <f t="shared" si="759"/>
        <v>42</v>
      </c>
      <c r="EP94" s="9">
        <f t="shared" si="760"/>
        <v>28</v>
      </c>
      <c r="EQ94" s="9">
        <f t="shared" si="761"/>
        <v>21</v>
      </c>
      <c r="ER94" s="9">
        <f t="shared" si="762"/>
        <v>0</v>
      </c>
      <c r="ES94" s="9">
        <f t="shared" si="763"/>
        <v>49</v>
      </c>
      <c r="ET94" s="9">
        <f t="shared" si="764"/>
        <v>49</v>
      </c>
      <c r="EU94" s="10">
        <f t="shared" si="765"/>
        <v>21</v>
      </c>
      <c r="EV94" s="9">
        <f t="shared" si="766"/>
        <v>56</v>
      </c>
      <c r="EW94" s="9">
        <f t="shared" si="767"/>
        <v>42</v>
      </c>
      <c r="EX94" s="9">
        <f t="shared" si="768"/>
        <v>42</v>
      </c>
      <c r="EY94" s="9">
        <f t="shared" si="769"/>
        <v>77</v>
      </c>
      <c r="EZ94" s="9">
        <f t="shared" si="770"/>
        <v>0</v>
      </c>
      <c r="FA94" s="9">
        <f t="shared" si="771"/>
        <v>56</v>
      </c>
      <c r="FB94" s="9">
        <f t="shared" si="772"/>
        <v>49</v>
      </c>
      <c r="FC94" s="9">
        <f t="shared" si="773"/>
        <v>42</v>
      </c>
      <c r="FD94" s="9">
        <f t="shared" si="774"/>
        <v>42</v>
      </c>
      <c r="FE94" s="9">
        <f t="shared" si="775"/>
        <v>49</v>
      </c>
      <c r="FF94" s="9">
        <f t="shared" si="776"/>
        <v>49</v>
      </c>
      <c r="FG94" s="9">
        <f t="shared" si="777"/>
        <v>42</v>
      </c>
      <c r="FO94" t="str">
        <f t="shared" si="615"/>
        <v>Starkist WHITEW2</v>
      </c>
      <c r="FP94" t="str">
        <f t="shared" si="616"/>
        <v>Starkist WHITEW2</v>
      </c>
      <c r="FQ94" t="str">
        <f t="shared" si="617"/>
        <v>Starkist WHITEW2</v>
      </c>
      <c r="FR94">
        <v>0</v>
      </c>
    </row>
    <row r="95" spans="1:174" outlineLevel="2" x14ac:dyDescent="0.25">
      <c r="A95" s="28" t="s">
        <v>1006</v>
      </c>
      <c r="B95" s="9"/>
      <c r="C95" s="9"/>
      <c r="D95" s="9"/>
      <c r="E95" s="9"/>
      <c r="F95" s="9"/>
      <c r="G95" s="9"/>
      <c r="H95" s="9">
        <v>95409</v>
      </c>
      <c r="I95" s="9">
        <v>0</v>
      </c>
      <c r="J95" s="9">
        <v>0</v>
      </c>
      <c r="K95" s="9">
        <f>SUMIF(Prophix!$Q:$Q,'Fds Units'!$A95,Prophix!M:M)</f>
        <v>191760</v>
      </c>
      <c r="L95" s="92"/>
      <c r="M95" s="133">
        <f t="shared" si="704"/>
        <v>0</v>
      </c>
      <c r="N95" s="92">
        <f>SUMIF(Schedule!$R:$R,$FP95,Schedule!P:P)</f>
        <v>0</v>
      </c>
      <c r="O95" s="92">
        <f t="shared" si="780"/>
        <v>0</v>
      </c>
      <c r="P95" s="142"/>
      <c r="Q95" s="133">
        <f t="shared" si="781"/>
        <v>672000</v>
      </c>
      <c r="R95" s="92">
        <v>672000</v>
      </c>
      <c r="S95" s="92">
        <v>725340</v>
      </c>
      <c r="T95" s="186">
        <f t="shared" si="778"/>
        <v>53340</v>
      </c>
      <c r="U95" s="117">
        <v>0</v>
      </c>
      <c r="V95" s="117">
        <v>49200</v>
      </c>
      <c r="W95" s="117"/>
      <c r="X95" s="9">
        <v>3232</v>
      </c>
      <c r="Y95" s="109"/>
      <c r="Z95" s="9">
        <v>0</v>
      </c>
      <c r="AA95" s="9">
        <v>0</v>
      </c>
      <c r="AB95" s="242">
        <f t="shared" si="779"/>
        <v>0</v>
      </c>
      <c r="AC95" s="241">
        <v>0</v>
      </c>
      <c r="AD95" s="165"/>
      <c r="AE95" s="242">
        <v>0</v>
      </c>
      <c r="AF95" s="168"/>
      <c r="AG95" s="168"/>
      <c r="AH95" s="168"/>
      <c r="AI95" s="168"/>
      <c r="AJ95" s="168"/>
      <c r="AK95" s="168"/>
      <c r="AL95" s="168"/>
      <c r="AM95" s="168"/>
      <c r="AN95" s="168"/>
      <c r="AO95" s="66"/>
      <c r="AP95" s="8"/>
      <c r="AQ95" s="9"/>
      <c r="AR95" s="10"/>
      <c r="AS95" s="8"/>
      <c r="AT95" s="9"/>
      <c r="AU95" s="10"/>
      <c r="AV95" s="8"/>
      <c r="AW95" s="9"/>
      <c r="AX95" s="10"/>
      <c r="AY95" s="8"/>
      <c r="AZ95" s="9"/>
      <c r="BA95" s="10"/>
      <c r="BB95" s="8"/>
      <c r="BC95" s="9"/>
      <c r="BD95" s="10"/>
      <c r="BE95" s="8" t="s">
        <v>78</v>
      </c>
      <c r="BF95" s="9">
        <v>115008</v>
      </c>
      <c r="BG95" s="10">
        <v>10</v>
      </c>
      <c r="BH95" s="8" t="s">
        <v>78</v>
      </c>
      <c r="BI95" s="9">
        <v>115008</v>
      </c>
      <c r="BJ95" s="10">
        <v>10</v>
      </c>
      <c r="BK95" s="8" t="s">
        <v>78</v>
      </c>
      <c r="BL95" s="9">
        <v>115008</v>
      </c>
      <c r="BM95" s="10">
        <v>10</v>
      </c>
      <c r="BN95" s="8" t="s">
        <v>78</v>
      </c>
      <c r="BO95" s="9">
        <v>115008</v>
      </c>
      <c r="BP95" s="10">
        <v>10</v>
      </c>
      <c r="BQ95" s="8" t="s">
        <v>620</v>
      </c>
      <c r="BR95" s="9">
        <f>+BO95</f>
        <v>115008</v>
      </c>
      <c r="BS95" s="10">
        <v>10</v>
      </c>
      <c r="BT95" s="8" t="s">
        <v>78</v>
      </c>
      <c r="BU95" s="9">
        <f>+BR95</f>
        <v>115008</v>
      </c>
      <c r="BV95" s="10">
        <v>10</v>
      </c>
      <c r="BW95" s="8" t="s">
        <v>78</v>
      </c>
      <c r="BX95" s="9">
        <f>+BU95</f>
        <v>115008</v>
      </c>
      <c r="BY95" s="10">
        <v>10</v>
      </c>
      <c r="BZ95" s="8" t="s">
        <v>78</v>
      </c>
      <c r="CA95" s="9">
        <v>100000</v>
      </c>
      <c r="CB95" s="10">
        <f t="shared" si="708"/>
        <v>10</v>
      </c>
      <c r="CC95" s="8" t="s">
        <v>78</v>
      </c>
      <c r="CD95" s="9">
        <f t="shared" si="709"/>
        <v>100000</v>
      </c>
      <c r="CE95" s="10">
        <f t="shared" si="710"/>
        <v>10</v>
      </c>
      <c r="CF95" s="8" t="s">
        <v>78</v>
      </c>
      <c r="CG95" s="9">
        <f t="shared" si="711"/>
        <v>100000</v>
      </c>
      <c r="CH95" s="10">
        <f t="shared" si="712"/>
        <v>10</v>
      </c>
      <c r="CI95" s="8" t="s">
        <v>78</v>
      </c>
      <c r="CJ95" s="9">
        <f t="shared" si="713"/>
        <v>100000</v>
      </c>
      <c r="CK95" s="10">
        <f t="shared" si="714"/>
        <v>10</v>
      </c>
      <c r="CL95" s="8" t="s">
        <v>78</v>
      </c>
      <c r="CM95" s="9">
        <f t="shared" si="715"/>
        <v>100000</v>
      </c>
      <c r="CN95" s="10">
        <f t="shared" si="716"/>
        <v>10</v>
      </c>
      <c r="CO95" s="8" t="s">
        <v>78</v>
      </c>
      <c r="CP95" s="9">
        <f t="shared" si="717"/>
        <v>100000</v>
      </c>
      <c r="CQ95" s="10">
        <f t="shared" si="718"/>
        <v>10</v>
      </c>
      <c r="CR95" s="8" t="s">
        <v>78</v>
      </c>
      <c r="CS95" s="9">
        <f t="shared" si="719"/>
        <v>100000</v>
      </c>
      <c r="CT95" s="10">
        <f t="shared" si="720"/>
        <v>10</v>
      </c>
      <c r="CU95" s="8" t="s">
        <v>78</v>
      </c>
      <c r="CV95" s="9">
        <f t="shared" si="721"/>
        <v>100000</v>
      </c>
      <c r="CW95" s="10">
        <f t="shared" si="722"/>
        <v>10</v>
      </c>
      <c r="CX95" s="8" t="s">
        <v>78</v>
      </c>
      <c r="CY95" s="9">
        <f t="shared" si="723"/>
        <v>100000</v>
      </c>
      <c r="CZ95" s="10">
        <f t="shared" si="724"/>
        <v>10</v>
      </c>
      <c r="DA95" s="8" t="s">
        <v>78</v>
      </c>
      <c r="DB95" s="9">
        <f t="shared" si="725"/>
        <v>100000</v>
      </c>
      <c r="DC95" s="10">
        <f t="shared" si="726"/>
        <v>10</v>
      </c>
      <c r="DD95" s="8" t="s">
        <v>78</v>
      </c>
      <c r="DE95" s="9">
        <f t="shared" si="727"/>
        <v>100000</v>
      </c>
      <c r="DF95" s="10">
        <f t="shared" si="728"/>
        <v>10</v>
      </c>
      <c r="DG95" s="8" t="s">
        <v>78</v>
      </c>
      <c r="DH95" s="9">
        <f t="shared" si="729"/>
        <v>100000</v>
      </c>
      <c r="DI95" s="10">
        <f t="shared" si="730"/>
        <v>10</v>
      </c>
      <c r="DK95" s="8">
        <f t="shared" si="731"/>
        <v>0</v>
      </c>
      <c r="DL95" s="9">
        <f t="shared" si="732"/>
        <v>0</v>
      </c>
      <c r="DM95" s="9">
        <f t="shared" si="733"/>
        <v>0</v>
      </c>
      <c r="DN95" s="9">
        <f>IFERROR(ROUNDUP(+E95/$AZ95,0),0)</f>
        <v>0</v>
      </c>
      <c r="DO95" s="9">
        <f t="shared" si="735"/>
        <v>0</v>
      </c>
      <c r="DP95" s="9">
        <f t="shared" si="736"/>
        <v>0</v>
      </c>
      <c r="DQ95" s="9">
        <f t="shared" si="737"/>
        <v>1</v>
      </c>
      <c r="DR95" s="9">
        <f t="shared" si="738"/>
        <v>0</v>
      </c>
      <c r="DS95" s="9">
        <f t="shared" si="739"/>
        <v>0</v>
      </c>
      <c r="DT95" s="9">
        <f>IFERROR(ROUNDUP(+K95/BR95,0),0)+2</f>
        <v>4</v>
      </c>
      <c r="DU95" s="9">
        <f>IFERROR(ROUNDUP(+N95/BU95,0),0)</f>
        <v>0</v>
      </c>
      <c r="DV95" s="10">
        <f t="shared" si="741"/>
        <v>6</v>
      </c>
      <c r="DW95" s="9">
        <f t="shared" si="742"/>
        <v>1</v>
      </c>
      <c r="DX95" s="9">
        <f t="shared" si="743"/>
        <v>0</v>
      </c>
      <c r="DY95" s="9">
        <f t="shared" si="744"/>
        <v>0</v>
      </c>
      <c r="DZ95" s="9">
        <f t="shared" si="745"/>
        <v>0</v>
      </c>
      <c r="EA95" s="9">
        <f t="shared" si="746"/>
        <v>0</v>
      </c>
      <c r="EB95" s="9">
        <f t="shared" si="747"/>
        <v>0</v>
      </c>
      <c r="EC95" s="9">
        <f t="shared" si="748"/>
        <v>0</v>
      </c>
      <c r="ED95" s="9">
        <f t="shared" si="749"/>
        <v>0</v>
      </c>
      <c r="EE95" s="9">
        <f t="shared" si="750"/>
        <v>0</v>
      </c>
      <c r="EF95" s="9">
        <f t="shared" si="751"/>
        <v>0</v>
      </c>
      <c r="EG95" s="9">
        <f t="shared" si="752"/>
        <v>0</v>
      </c>
      <c r="EH95" s="9">
        <f t="shared" si="753"/>
        <v>0</v>
      </c>
      <c r="EJ95" s="8">
        <f t="shared" si="754"/>
        <v>0</v>
      </c>
      <c r="EK95" s="9">
        <f t="shared" si="755"/>
        <v>0</v>
      </c>
      <c r="EL95" s="9">
        <f t="shared" si="756"/>
        <v>0</v>
      </c>
      <c r="EM95" s="9">
        <f t="shared" si="757"/>
        <v>0</v>
      </c>
      <c r="EN95" s="9">
        <f t="shared" si="758"/>
        <v>0</v>
      </c>
      <c r="EO95" s="9">
        <f t="shared" si="759"/>
        <v>0</v>
      </c>
      <c r="EP95" s="9">
        <f t="shared" si="760"/>
        <v>10</v>
      </c>
      <c r="EQ95" s="9">
        <f t="shared" si="761"/>
        <v>0</v>
      </c>
      <c r="ER95" s="9">
        <f t="shared" si="762"/>
        <v>0</v>
      </c>
      <c r="ES95" s="9">
        <f t="shared" si="763"/>
        <v>40</v>
      </c>
      <c r="ET95" s="9">
        <f t="shared" si="764"/>
        <v>0</v>
      </c>
      <c r="EU95" s="10">
        <f t="shared" si="765"/>
        <v>60</v>
      </c>
      <c r="EV95" s="9">
        <f t="shared" si="766"/>
        <v>10</v>
      </c>
      <c r="EW95" s="9">
        <f t="shared" si="767"/>
        <v>0</v>
      </c>
      <c r="EX95" s="9">
        <f t="shared" si="768"/>
        <v>0</v>
      </c>
      <c r="EY95" s="9">
        <f t="shared" si="769"/>
        <v>0</v>
      </c>
      <c r="EZ95" s="9">
        <f t="shared" si="770"/>
        <v>0</v>
      </c>
      <c r="FA95" s="9">
        <f t="shared" si="771"/>
        <v>0</v>
      </c>
      <c r="FB95" s="9">
        <f t="shared" si="772"/>
        <v>0</v>
      </c>
      <c r="FC95" s="9">
        <f t="shared" si="773"/>
        <v>0</v>
      </c>
      <c r="FD95" s="9">
        <f t="shared" si="774"/>
        <v>0</v>
      </c>
      <c r="FE95" s="9">
        <f t="shared" si="775"/>
        <v>0</v>
      </c>
      <c r="FF95" s="9">
        <f t="shared" si="776"/>
        <v>0</v>
      </c>
      <c r="FG95" s="9">
        <f t="shared" si="777"/>
        <v>0</v>
      </c>
      <c r="FO95" t="str">
        <f t="shared" si="615"/>
        <v>Starkist 5.0 OzY3NS</v>
      </c>
      <c r="FP95" t="str">
        <f t="shared" si="616"/>
        <v>Starkist 5.0 OzY4S/Y5</v>
      </c>
      <c r="FQ95" t="str">
        <f t="shared" si="617"/>
        <v>Starkist 5.0 OzY4S/Y5</v>
      </c>
      <c r="FR95">
        <v>0</v>
      </c>
    </row>
    <row r="96" spans="1:174" outlineLevel="2" x14ac:dyDescent="0.25">
      <c r="A96" s="28" t="s">
        <v>1005</v>
      </c>
      <c r="B96" s="9"/>
      <c r="C96" s="9"/>
      <c r="D96" s="9"/>
      <c r="E96" s="9"/>
      <c r="F96" s="9"/>
      <c r="G96" s="9"/>
      <c r="H96" s="9"/>
      <c r="I96" s="9">
        <v>95409</v>
      </c>
      <c r="J96" s="9">
        <v>0</v>
      </c>
      <c r="K96" s="9">
        <v>0</v>
      </c>
      <c r="L96" s="92"/>
      <c r="M96" s="133">
        <f t="shared" si="704"/>
        <v>0</v>
      </c>
      <c r="N96" s="92">
        <f>SUMIF(Schedule!$R:$R,$FP96,Schedule!P:P)</f>
        <v>0</v>
      </c>
      <c r="O96" s="92">
        <f t="shared" si="780"/>
        <v>0</v>
      </c>
      <c r="P96" s="142"/>
      <c r="Q96" s="133">
        <f t="shared" si="781"/>
        <v>0</v>
      </c>
      <c r="R96" s="92"/>
      <c r="S96" s="92"/>
      <c r="T96" s="186">
        <f t="shared" si="778"/>
        <v>0</v>
      </c>
      <c r="U96" s="66"/>
      <c r="V96" s="66"/>
      <c r="W96" s="66"/>
      <c r="X96" s="9"/>
      <c r="Y96" s="109"/>
      <c r="Z96" s="9">
        <v>0</v>
      </c>
      <c r="AA96" s="9">
        <v>0</v>
      </c>
      <c r="AB96" s="242">
        <f t="shared" si="779"/>
        <v>0</v>
      </c>
      <c r="AC96" s="241">
        <v>0</v>
      </c>
      <c r="AD96" s="165">
        <v>0</v>
      </c>
      <c r="AE96" s="242">
        <v>0</v>
      </c>
      <c r="AF96" s="66">
        <v>0</v>
      </c>
      <c r="AG96" s="66">
        <v>0</v>
      </c>
      <c r="AH96" s="66">
        <v>0</v>
      </c>
      <c r="AI96" s="66">
        <v>0</v>
      </c>
      <c r="AJ96" s="66">
        <v>0</v>
      </c>
      <c r="AK96" s="66">
        <v>0</v>
      </c>
      <c r="AL96" s="66">
        <v>0</v>
      </c>
      <c r="AM96" s="66">
        <v>0</v>
      </c>
      <c r="AN96" s="66">
        <v>0</v>
      </c>
      <c r="AO96" s="59"/>
      <c r="AP96" s="8"/>
      <c r="AQ96" s="9"/>
      <c r="AR96" s="10"/>
      <c r="AS96" s="8"/>
      <c r="AT96" s="9"/>
      <c r="AU96" s="10"/>
      <c r="AV96" s="8"/>
      <c r="AW96" s="9"/>
      <c r="AX96" s="10"/>
      <c r="AY96" s="8"/>
      <c r="AZ96" s="9"/>
      <c r="BA96" s="10"/>
      <c r="BB96" s="8"/>
      <c r="BC96" s="9"/>
      <c r="BD96" s="10"/>
      <c r="BE96" s="8" t="s">
        <v>79</v>
      </c>
      <c r="BF96" s="9">
        <v>50000</v>
      </c>
      <c r="BG96" s="10">
        <v>6</v>
      </c>
      <c r="BH96" s="8" t="s">
        <v>79</v>
      </c>
      <c r="BI96" s="9">
        <v>50000</v>
      </c>
      <c r="BJ96" s="10">
        <v>6</v>
      </c>
      <c r="BK96" s="8" t="s">
        <v>79</v>
      </c>
      <c r="BL96" s="9">
        <f>+I96/4</f>
        <v>23852.25</v>
      </c>
      <c r="BM96" s="10">
        <v>6</v>
      </c>
      <c r="BN96" s="8" t="s">
        <v>79</v>
      </c>
      <c r="BO96" s="9">
        <v>50000</v>
      </c>
      <c r="BP96" s="10">
        <v>6</v>
      </c>
      <c r="BQ96" s="8" t="s">
        <v>79</v>
      </c>
      <c r="BR96" s="9">
        <v>50000</v>
      </c>
      <c r="BS96" s="10">
        <v>6</v>
      </c>
      <c r="BT96" s="8" t="s">
        <v>79</v>
      </c>
      <c r="BU96" s="9">
        <v>50000</v>
      </c>
      <c r="BV96" s="10">
        <v>6</v>
      </c>
      <c r="BW96" s="8" t="s">
        <v>79</v>
      </c>
      <c r="BX96" s="9">
        <v>48000</v>
      </c>
      <c r="BY96" s="10">
        <v>6</v>
      </c>
      <c r="BZ96" s="8" t="s">
        <v>79</v>
      </c>
      <c r="CA96" s="9">
        <f t="shared" si="707"/>
        <v>48000</v>
      </c>
      <c r="CB96" s="10">
        <f t="shared" si="708"/>
        <v>6</v>
      </c>
      <c r="CC96" s="8" t="s">
        <v>79</v>
      </c>
      <c r="CD96" s="9">
        <f t="shared" si="709"/>
        <v>48000</v>
      </c>
      <c r="CE96" s="10">
        <f t="shared" si="710"/>
        <v>6</v>
      </c>
      <c r="CF96" s="8" t="s">
        <v>79</v>
      </c>
      <c r="CG96" s="9">
        <f t="shared" si="711"/>
        <v>48000</v>
      </c>
      <c r="CH96" s="10">
        <f t="shared" si="712"/>
        <v>6</v>
      </c>
      <c r="CI96" s="8" t="s">
        <v>79</v>
      </c>
      <c r="CJ96" s="9">
        <f t="shared" si="713"/>
        <v>48000</v>
      </c>
      <c r="CK96" s="10">
        <f t="shared" si="714"/>
        <v>6</v>
      </c>
      <c r="CL96" s="8" t="s">
        <v>79</v>
      </c>
      <c r="CM96" s="9">
        <f t="shared" si="715"/>
        <v>48000</v>
      </c>
      <c r="CN96" s="10">
        <f t="shared" si="716"/>
        <v>6</v>
      </c>
      <c r="CO96" s="8" t="s">
        <v>79</v>
      </c>
      <c r="CP96" s="9">
        <f t="shared" si="717"/>
        <v>48000</v>
      </c>
      <c r="CQ96" s="10">
        <f t="shared" si="718"/>
        <v>6</v>
      </c>
      <c r="CR96" s="8" t="s">
        <v>79</v>
      </c>
      <c r="CS96" s="9">
        <f t="shared" si="719"/>
        <v>48000</v>
      </c>
      <c r="CT96" s="10">
        <f t="shared" si="720"/>
        <v>6</v>
      </c>
      <c r="CU96" s="8" t="s">
        <v>79</v>
      </c>
      <c r="CV96" s="9">
        <f t="shared" si="721"/>
        <v>48000</v>
      </c>
      <c r="CW96" s="10">
        <f t="shared" si="722"/>
        <v>6</v>
      </c>
      <c r="CX96" s="8" t="s">
        <v>79</v>
      </c>
      <c r="CY96" s="9">
        <f t="shared" si="723"/>
        <v>48000</v>
      </c>
      <c r="CZ96" s="10">
        <f t="shared" si="724"/>
        <v>6</v>
      </c>
      <c r="DA96" s="8" t="s">
        <v>79</v>
      </c>
      <c r="DB96" s="9">
        <f t="shared" si="725"/>
        <v>48000</v>
      </c>
      <c r="DC96" s="10">
        <f t="shared" si="726"/>
        <v>6</v>
      </c>
      <c r="DD96" s="8" t="s">
        <v>79</v>
      </c>
      <c r="DE96" s="9">
        <f t="shared" si="727"/>
        <v>48000</v>
      </c>
      <c r="DF96" s="10">
        <f t="shared" si="728"/>
        <v>6</v>
      </c>
      <c r="DG96" s="8" t="s">
        <v>79</v>
      </c>
      <c r="DH96" s="9">
        <f t="shared" si="729"/>
        <v>48000</v>
      </c>
      <c r="DI96" s="10">
        <f t="shared" si="730"/>
        <v>6</v>
      </c>
      <c r="DK96" s="8">
        <f t="shared" si="731"/>
        <v>0</v>
      </c>
      <c r="DL96" s="9">
        <f t="shared" si="732"/>
        <v>0</v>
      </c>
      <c r="DM96" s="9">
        <f t="shared" si="733"/>
        <v>0</v>
      </c>
      <c r="DN96" s="9">
        <f>IFERROR(ROUNDUP(+E96/$AZ96,0),0)</f>
        <v>0</v>
      </c>
      <c r="DO96" s="9">
        <f t="shared" si="735"/>
        <v>0</v>
      </c>
      <c r="DP96" s="9">
        <f t="shared" si="736"/>
        <v>0</v>
      </c>
      <c r="DQ96" s="9">
        <f t="shared" si="737"/>
        <v>0</v>
      </c>
      <c r="DR96" s="116">
        <f t="shared" si="738"/>
        <v>4</v>
      </c>
      <c r="DS96" s="9">
        <f t="shared" si="739"/>
        <v>0</v>
      </c>
      <c r="DT96" s="9">
        <f>IFERROR(ROUNDUP(+K96/BR96,0),0)</f>
        <v>0</v>
      </c>
      <c r="DU96" s="9">
        <f>IFERROR(ROUNDUP(+N96/BU96,0),0)</f>
        <v>0</v>
      </c>
      <c r="DV96" s="10">
        <f t="shared" si="741"/>
        <v>0</v>
      </c>
      <c r="DW96" s="9">
        <f t="shared" si="742"/>
        <v>0</v>
      </c>
      <c r="DX96" s="9">
        <f t="shared" si="743"/>
        <v>0</v>
      </c>
      <c r="DY96" s="9">
        <f t="shared" si="744"/>
        <v>0</v>
      </c>
      <c r="DZ96" s="9">
        <f t="shared" si="745"/>
        <v>0</v>
      </c>
      <c r="EA96" s="9">
        <f t="shared" si="746"/>
        <v>0</v>
      </c>
      <c r="EB96" s="9">
        <f t="shared" si="747"/>
        <v>0</v>
      </c>
      <c r="EC96" s="9">
        <f t="shared" si="748"/>
        <v>0</v>
      </c>
      <c r="ED96" s="9">
        <f t="shared" si="749"/>
        <v>0</v>
      </c>
      <c r="EE96" s="9">
        <f t="shared" si="750"/>
        <v>0</v>
      </c>
      <c r="EF96" s="9">
        <f t="shared" si="751"/>
        <v>0</v>
      </c>
      <c r="EG96" s="9">
        <f t="shared" si="752"/>
        <v>0</v>
      </c>
      <c r="EH96" s="9">
        <f t="shared" si="753"/>
        <v>0</v>
      </c>
      <c r="EJ96" s="8">
        <f t="shared" si="754"/>
        <v>0</v>
      </c>
      <c r="EK96" s="9">
        <f t="shared" si="755"/>
        <v>0</v>
      </c>
      <c r="EL96" s="9">
        <f t="shared" si="756"/>
        <v>0</v>
      </c>
      <c r="EM96" s="9">
        <f t="shared" si="757"/>
        <v>0</v>
      </c>
      <c r="EN96" s="9">
        <f t="shared" si="758"/>
        <v>0</v>
      </c>
      <c r="EO96" s="9">
        <f t="shared" si="759"/>
        <v>0</v>
      </c>
      <c r="EP96" s="9">
        <f t="shared" si="760"/>
        <v>0</v>
      </c>
      <c r="EQ96" s="9">
        <f t="shared" si="761"/>
        <v>24</v>
      </c>
      <c r="ER96" s="9">
        <f t="shared" si="762"/>
        <v>0</v>
      </c>
      <c r="ES96" s="9">
        <f t="shared" si="763"/>
        <v>0</v>
      </c>
      <c r="ET96" s="9">
        <f t="shared" si="764"/>
        <v>0</v>
      </c>
      <c r="EU96" s="10">
        <f t="shared" si="765"/>
        <v>0</v>
      </c>
      <c r="EV96" s="9">
        <f t="shared" si="766"/>
        <v>0</v>
      </c>
      <c r="EW96" s="9">
        <f t="shared" si="767"/>
        <v>0</v>
      </c>
      <c r="EX96" s="9">
        <f t="shared" si="768"/>
        <v>0</v>
      </c>
      <c r="EY96" s="9">
        <f t="shared" si="769"/>
        <v>0</v>
      </c>
      <c r="EZ96" s="9">
        <f t="shared" si="770"/>
        <v>0</v>
      </c>
      <c r="FA96" s="9">
        <f t="shared" si="771"/>
        <v>0</v>
      </c>
      <c r="FB96" s="9">
        <f t="shared" si="772"/>
        <v>0</v>
      </c>
      <c r="FC96" s="9">
        <f t="shared" si="773"/>
        <v>0</v>
      </c>
      <c r="FD96" s="9">
        <f t="shared" si="774"/>
        <v>0</v>
      </c>
      <c r="FE96" s="9">
        <f t="shared" si="775"/>
        <v>0</v>
      </c>
      <c r="FF96" s="9">
        <f t="shared" si="776"/>
        <v>0</v>
      </c>
      <c r="FG96" s="9">
        <f t="shared" si="777"/>
        <v>0</v>
      </c>
      <c r="FO96" t="str">
        <f t="shared" si="615"/>
        <v>Starkist WHITE 5.0 OZY4N</v>
      </c>
      <c r="FP96" t="str">
        <f t="shared" si="616"/>
        <v>Starkist WHITE 5.0 OZY4N</v>
      </c>
      <c r="FQ96" t="str">
        <f t="shared" si="617"/>
        <v>Starkist WHITE 5.0 OZY4N</v>
      </c>
      <c r="FR96">
        <v>0</v>
      </c>
    </row>
    <row r="97" spans="1:174" outlineLevel="2" x14ac:dyDescent="0.25">
      <c r="A97" s="28" t="s">
        <v>66</v>
      </c>
      <c r="B97" s="9">
        <f>SUMIF(Prophix!$Q:$Q,'Fds Units'!$A97,Prophix!D:D)</f>
        <v>134160</v>
      </c>
      <c r="C97" s="9">
        <f>SUMIF(Prophix!$Q:$Q,'Fds Units'!$A97,Prophix!E:E)</f>
        <v>143136</v>
      </c>
      <c r="D97" s="9">
        <f>SUMIF(Prophix!$Q:$Q,'Fds Units'!$A97,Prophix!F:F)</f>
        <v>332664</v>
      </c>
      <c r="E97" s="9">
        <f>SUMIF(Prophix!$Q:$Q,'Fds Units'!$A97,Prophix!G:G)</f>
        <v>101928</v>
      </c>
      <c r="F97" s="9">
        <f>SUMIF(Prophix!$Q:$Q,'Fds Units'!$A97,Prophix!H:H)</f>
        <v>312240</v>
      </c>
      <c r="G97" s="9">
        <f>SUMIF(Prophix!$Q:$Q,'Fds Units'!$A97,Prophix!I:I)</f>
        <v>0</v>
      </c>
      <c r="H97" s="9">
        <f>SUMIF(Prophix!$Q:$Q,'Fds Units'!$A97,Prophix!J:J)</f>
        <v>248232</v>
      </c>
      <c r="I97" s="9">
        <f>SUMIF(Prophix!$Q:$Q,'Fds Units'!$A97,Prophix!K:K)</f>
        <v>0</v>
      </c>
      <c r="J97" s="9">
        <f>SUMIF(Prophix!$Q:$Q,'Fds Units'!$A97,Prophix!L:L)</f>
        <v>463488</v>
      </c>
      <c r="K97" s="9">
        <f>SUMIF(Prophix!$Q:$Q,'Fds Units'!$A97,Prophix!M:M)</f>
        <v>0</v>
      </c>
      <c r="L97" s="92"/>
      <c r="M97" s="133">
        <f t="shared" si="704"/>
        <v>0</v>
      </c>
      <c r="N97" s="92">
        <f>SUMIF(Schedule!$R:$R,$FP97,Schedule!P:P)</f>
        <v>0</v>
      </c>
      <c r="O97" s="92">
        <f t="shared" si="780"/>
        <v>0</v>
      </c>
      <c r="P97" s="142"/>
      <c r="Q97" s="133">
        <f t="shared" si="781"/>
        <v>164400</v>
      </c>
      <c r="R97" s="92">
        <v>164400</v>
      </c>
      <c r="S97" s="92">
        <v>139224</v>
      </c>
      <c r="T97" s="186">
        <f t="shared" si="778"/>
        <v>-25176</v>
      </c>
      <c r="U97" s="66"/>
      <c r="V97" s="66"/>
      <c r="W97" s="66">
        <v>108000</v>
      </c>
      <c r="X97" s="9">
        <v>0</v>
      </c>
      <c r="Y97" s="109"/>
      <c r="Z97" s="9">
        <v>0</v>
      </c>
      <c r="AA97" s="9">
        <v>0</v>
      </c>
      <c r="AB97" s="242">
        <f t="shared" si="779"/>
        <v>0</v>
      </c>
      <c r="AC97" s="241">
        <v>216000</v>
      </c>
      <c r="AD97" s="165">
        <v>216000</v>
      </c>
      <c r="AE97" s="242">
        <v>204000</v>
      </c>
      <c r="AF97" s="66">
        <v>324000</v>
      </c>
      <c r="AG97" s="66">
        <v>324000</v>
      </c>
      <c r="AH97" s="66">
        <v>108000</v>
      </c>
      <c r="AI97" s="66">
        <v>0</v>
      </c>
      <c r="AJ97" s="66">
        <v>108000</v>
      </c>
      <c r="AK97" s="66">
        <v>0</v>
      </c>
      <c r="AL97" s="66">
        <v>216000</v>
      </c>
      <c r="AM97" s="66">
        <v>108000</v>
      </c>
      <c r="AN97" s="66">
        <v>216000</v>
      </c>
      <c r="AO97" s="59"/>
      <c r="AP97" s="8" t="s">
        <v>78</v>
      </c>
      <c r="AQ97" s="9">
        <v>90000</v>
      </c>
      <c r="AR97" s="10">
        <v>8</v>
      </c>
      <c r="AS97" s="8" t="s">
        <v>78</v>
      </c>
      <c r="AT97" s="9">
        <v>90000</v>
      </c>
      <c r="AU97" s="10">
        <v>8</v>
      </c>
      <c r="AV97" s="8" t="s">
        <v>78</v>
      </c>
      <c r="AW97" s="9">
        <v>75000</v>
      </c>
      <c r="AX97" s="10">
        <v>8</v>
      </c>
      <c r="AY97" s="8" t="s">
        <v>78</v>
      </c>
      <c r="AZ97" s="9">
        <v>128000</v>
      </c>
      <c r="BA97" s="10">
        <v>8</v>
      </c>
      <c r="BB97" s="8" t="s">
        <v>78</v>
      </c>
      <c r="BC97" s="9">
        <v>91000</v>
      </c>
      <c r="BD97" s="10">
        <v>8</v>
      </c>
      <c r="BE97" s="8" t="s">
        <v>78</v>
      </c>
      <c r="BF97" s="9">
        <v>90000</v>
      </c>
      <c r="BG97" s="10">
        <v>8</v>
      </c>
      <c r="BH97" s="8" t="s">
        <v>78</v>
      </c>
      <c r="BI97" s="9">
        <f>+H97/4</f>
        <v>62058</v>
      </c>
      <c r="BJ97" s="10">
        <v>9</v>
      </c>
      <c r="BK97" s="8" t="s">
        <v>78</v>
      </c>
      <c r="BL97" s="9">
        <v>100008</v>
      </c>
      <c r="BM97" s="10">
        <v>9</v>
      </c>
      <c r="BN97" s="8" t="str">
        <f t="shared" ref="BN97" si="784">+BK97</f>
        <v>Y4S/Y5</v>
      </c>
      <c r="BO97" s="9">
        <f>+J97/7</f>
        <v>66212.571428571435</v>
      </c>
      <c r="BP97" s="10">
        <f t="shared" ref="BP97" si="785">+BM97</f>
        <v>9</v>
      </c>
      <c r="BQ97" s="8" t="str">
        <f t="shared" ref="BQ97" si="786">+BN97</f>
        <v>Y4S/Y5</v>
      </c>
      <c r="BR97" s="9">
        <v>100008</v>
      </c>
      <c r="BS97" s="10">
        <f t="shared" ref="BS97" si="787">+BP97</f>
        <v>9</v>
      </c>
      <c r="BT97" s="8" t="s">
        <v>78</v>
      </c>
      <c r="BU97" s="9">
        <f>+BR97</f>
        <v>100008</v>
      </c>
      <c r="BV97" s="10">
        <v>8</v>
      </c>
      <c r="BW97" s="8" t="s">
        <v>78</v>
      </c>
      <c r="BX97" s="9">
        <v>108000</v>
      </c>
      <c r="BY97" s="10">
        <v>8</v>
      </c>
      <c r="BZ97" s="8" t="s">
        <v>78</v>
      </c>
      <c r="CA97" s="9">
        <v>90000</v>
      </c>
      <c r="CB97" s="10">
        <f>+BY97</f>
        <v>8</v>
      </c>
      <c r="CC97" s="8" t="s">
        <v>78</v>
      </c>
      <c r="CD97" s="9">
        <f t="shared" ref="CD97" si="788">+CA97</f>
        <v>90000</v>
      </c>
      <c r="CE97" s="10">
        <f t="shared" ref="CE97" si="789">+CB97</f>
        <v>8</v>
      </c>
      <c r="CF97" s="8" t="s">
        <v>78</v>
      </c>
      <c r="CG97" s="9">
        <f t="shared" ref="CG97" si="790">+CD97</f>
        <v>90000</v>
      </c>
      <c r="CH97" s="10">
        <f t="shared" ref="CH97" si="791">+CE97</f>
        <v>8</v>
      </c>
      <c r="CI97" s="8" t="s">
        <v>78</v>
      </c>
      <c r="CJ97" s="9">
        <f t="shared" ref="CJ97" si="792">+CG97</f>
        <v>90000</v>
      </c>
      <c r="CK97" s="10">
        <f t="shared" ref="CK97" si="793">+CH97</f>
        <v>8</v>
      </c>
      <c r="CL97" s="8" t="s">
        <v>78</v>
      </c>
      <c r="CM97" s="9">
        <f t="shared" ref="CM97" si="794">+CJ97</f>
        <v>90000</v>
      </c>
      <c r="CN97" s="10">
        <f t="shared" ref="CN97" si="795">+CK97</f>
        <v>8</v>
      </c>
      <c r="CO97" s="8" t="s">
        <v>78</v>
      </c>
      <c r="CP97" s="9">
        <f t="shared" ref="CP97" si="796">+CM97</f>
        <v>90000</v>
      </c>
      <c r="CQ97" s="10">
        <f t="shared" ref="CQ97" si="797">+CN97</f>
        <v>8</v>
      </c>
      <c r="CR97" s="8" t="s">
        <v>78</v>
      </c>
      <c r="CS97" s="9">
        <f t="shared" ref="CS97" si="798">+CP97</f>
        <v>90000</v>
      </c>
      <c r="CT97" s="10">
        <f t="shared" ref="CT97" si="799">+CQ97</f>
        <v>8</v>
      </c>
      <c r="CU97" s="8" t="s">
        <v>78</v>
      </c>
      <c r="CV97" s="9">
        <f t="shared" ref="CV97" si="800">+CS97</f>
        <v>90000</v>
      </c>
      <c r="CW97" s="10">
        <f t="shared" ref="CW97" si="801">+CT97</f>
        <v>8</v>
      </c>
      <c r="CX97" s="8" t="s">
        <v>78</v>
      </c>
      <c r="CY97" s="9">
        <f t="shared" ref="CY97" si="802">+CV97</f>
        <v>90000</v>
      </c>
      <c r="CZ97" s="10">
        <f t="shared" ref="CZ97" si="803">+CW97</f>
        <v>8</v>
      </c>
      <c r="DA97" s="8" t="s">
        <v>78</v>
      </c>
      <c r="DB97" s="9">
        <f t="shared" ref="DB97" si="804">+CY97</f>
        <v>90000</v>
      </c>
      <c r="DC97" s="10">
        <f t="shared" ref="DC97" si="805">+CZ97</f>
        <v>8</v>
      </c>
      <c r="DD97" s="8" t="s">
        <v>78</v>
      </c>
      <c r="DE97" s="9">
        <f t="shared" ref="DE97" si="806">+DB97</f>
        <v>90000</v>
      </c>
      <c r="DF97" s="10">
        <f t="shared" ref="DF97" si="807">+DC97</f>
        <v>8</v>
      </c>
      <c r="DG97" s="8" t="s">
        <v>78</v>
      </c>
      <c r="DH97" s="9">
        <f t="shared" ref="DH97" si="808">+DE97</f>
        <v>90000</v>
      </c>
      <c r="DI97" s="10">
        <f t="shared" ref="DI97" si="809">+DF97</f>
        <v>8</v>
      </c>
      <c r="DK97" s="72">
        <f t="shared" si="731"/>
        <v>2</v>
      </c>
      <c r="DL97" s="9">
        <f t="shared" si="732"/>
        <v>2</v>
      </c>
      <c r="DM97" s="9">
        <f t="shared" si="733"/>
        <v>5</v>
      </c>
      <c r="DN97" s="9">
        <f>IFERROR(ROUNDUP(+E97/$AZ97,0),0)</f>
        <v>1</v>
      </c>
      <c r="DO97" s="9">
        <f t="shared" si="735"/>
        <v>4</v>
      </c>
      <c r="DP97" s="9">
        <f t="shared" si="736"/>
        <v>0</v>
      </c>
      <c r="DQ97" s="9">
        <f t="shared" si="737"/>
        <v>4</v>
      </c>
      <c r="DR97" s="9">
        <f t="shared" si="738"/>
        <v>0</v>
      </c>
      <c r="DS97" s="9">
        <f t="shared" si="739"/>
        <v>7</v>
      </c>
      <c r="DT97" s="9">
        <f>IFERROR(ROUNDUP(+K97/BR97,0),0)</f>
        <v>0</v>
      </c>
      <c r="DU97" s="9">
        <f>IFERROR(ROUNDUP(+N97/BU97,0),0)</f>
        <v>0</v>
      </c>
      <c r="DV97" s="10">
        <f t="shared" si="741"/>
        <v>2</v>
      </c>
      <c r="DW97" s="9">
        <f t="shared" si="742"/>
        <v>0</v>
      </c>
      <c r="DX97" s="9">
        <f t="shared" si="743"/>
        <v>0</v>
      </c>
      <c r="DY97" s="9">
        <f t="shared" si="744"/>
        <v>3</v>
      </c>
      <c r="DZ97" s="9">
        <f t="shared" si="745"/>
        <v>4</v>
      </c>
      <c r="EA97" s="9">
        <f t="shared" si="746"/>
        <v>4</v>
      </c>
      <c r="EB97" s="9">
        <f t="shared" si="747"/>
        <v>2</v>
      </c>
      <c r="EC97" s="9">
        <f t="shared" si="748"/>
        <v>0</v>
      </c>
      <c r="ED97" s="9">
        <f t="shared" si="749"/>
        <v>2</v>
      </c>
      <c r="EE97" s="9">
        <f t="shared" si="750"/>
        <v>0</v>
      </c>
      <c r="EF97" s="9">
        <f t="shared" si="751"/>
        <v>3</v>
      </c>
      <c r="EG97" s="9">
        <f t="shared" si="752"/>
        <v>2</v>
      </c>
      <c r="EH97" s="9">
        <f t="shared" si="753"/>
        <v>3</v>
      </c>
      <c r="EJ97" s="8">
        <f t="shared" si="754"/>
        <v>16</v>
      </c>
      <c r="EK97" s="9">
        <f t="shared" si="755"/>
        <v>16</v>
      </c>
      <c r="EL97" s="9">
        <f t="shared" si="756"/>
        <v>40</v>
      </c>
      <c r="EM97" s="9">
        <f t="shared" si="757"/>
        <v>8</v>
      </c>
      <c r="EN97" s="9">
        <f t="shared" si="758"/>
        <v>32</v>
      </c>
      <c r="EO97" s="9">
        <f t="shared" si="759"/>
        <v>0</v>
      </c>
      <c r="EP97" s="9">
        <f t="shared" si="760"/>
        <v>36</v>
      </c>
      <c r="EQ97" s="9">
        <f t="shared" si="761"/>
        <v>0</v>
      </c>
      <c r="ER97" s="9">
        <f t="shared" si="762"/>
        <v>63</v>
      </c>
      <c r="ES97" s="9">
        <f t="shared" si="763"/>
        <v>0</v>
      </c>
      <c r="ET97" s="9">
        <f t="shared" si="764"/>
        <v>0</v>
      </c>
      <c r="EU97" s="10">
        <f t="shared" si="765"/>
        <v>16</v>
      </c>
      <c r="EV97" s="9">
        <f t="shared" si="766"/>
        <v>0</v>
      </c>
      <c r="EW97" s="9">
        <f t="shared" si="767"/>
        <v>0</v>
      </c>
      <c r="EX97" s="9">
        <f t="shared" si="768"/>
        <v>24</v>
      </c>
      <c r="EY97" s="9">
        <f t="shared" si="769"/>
        <v>32</v>
      </c>
      <c r="EZ97" s="9">
        <f t="shared" si="770"/>
        <v>32</v>
      </c>
      <c r="FA97" s="9">
        <f t="shared" si="771"/>
        <v>16</v>
      </c>
      <c r="FB97" s="9">
        <f t="shared" si="772"/>
        <v>0</v>
      </c>
      <c r="FC97" s="9">
        <f t="shared" si="773"/>
        <v>16</v>
      </c>
      <c r="FD97" s="9">
        <f t="shared" si="774"/>
        <v>0</v>
      </c>
      <c r="FE97" s="9">
        <f t="shared" si="775"/>
        <v>24</v>
      </c>
      <c r="FF97" s="9">
        <f t="shared" si="776"/>
        <v>16</v>
      </c>
      <c r="FG97" s="9">
        <f t="shared" si="777"/>
        <v>24</v>
      </c>
      <c r="FO97" t="str">
        <f t="shared" si="615"/>
        <v>Union SupplyY4S/Y5</v>
      </c>
      <c r="FP97" t="str">
        <f t="shared" si="616"/>
        <v>Union SupplyY4S/Y5</v>
      </c>
      <c r="FQ97" t="str">
        <f t="shared" si="617"/>
        <v>Union SupplyY4S/Y5</v>
      </c>
      <c r="FR97" t="s">
        <v>877</v>
      </c>
    </row>
    <row r="98" spans="1:174" ht="20.25" customHeight="1" x14ac:dyDescent="0.25">
      <c r="A98" s="2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133"/>
      <c r="N98" s="9"/>
      <c r="O98" s="92">
        <f t="shared" si="780"/>
        <v>0</v>
      </c>
      <c r="P98" s="142"/>
      <c r="Q98" s="133"/>
      <c r="R98" s="92"/>
      <c r="S98" s="92"/>
      <c r="T98" s="186">
        <f t="shared" si="778"/>
        <v>0</v>
      </c>
      <c r="U98" s="9"/>
      <c r="V98" s="9"/>
      <c r="W98" s="9"/>
      <c r="X98" s="9"/>
      <c r="Y98" s="8"/>
      <c r="Z98" s="9"/>
      <c r="AA98" s="9"/>
      <c r="AB98" s="242"/>
      <c r="AC98" s="241"/>
      <c r="AD98" s="165"/>
      <c r="AE98" s="10"/>
      <c r="AF98" s="9"/>
      <c r="AG98" s="9"/>
      <c r="AH98" s="9"/>
      <c r="AI98" s="9"/>
      <c r="AJ98" s="9"/>
      <c r="AK98" s="9"/>
      <c r="AL98" s="9"/>
      <c r="AM98" s="9"/>
      <c r="AN98" s="9"/>
      <c r="AO98" s="59"/>
      <c r="AP98" s="8"/>
      <c r="AQ98" s="9"/>
      <c r="AR98" s="10"/>
      <c r="AS98" s="8"/>
      <c r="AT98" s="9"/>
      <c r="AU98" s="10"/>
      <c r="AV98" s="8"/>
      <c r="AW98" s="9"/>
      <c r="AX98" s="10"/>
      <c r="AY98" s="8"/>
      <c r="AZ98" s="9"/>
      <c r="BA98" s="10"/>
      <c r="BB98" s="8"/>
      <c r="BC98" s="9"/>
      <c r="BD98" s="10"/>
      <c r="BE98" s="8"/>
      <c r="BF98" s="9"/>
      <c r="BG98" s="10"/>
      <c r="BH98" s="8"/>
      <c r="BI98" s="9"/>
      <c r="BJ98" s="10"/>
      <c r="BK98" s="8"/>
      <c r="BL98" s="9"/>
      <c r="BM98" s="10"/>
      <c r="BN98" s="8"/>
      <c r="BO98" s="9"/>
      <c r="BP98" s="10"/>
      <c r="BQ98" s="8"/>
      <c r="BR98" s="9"/>
      <c r="BS98" s="10"/>
      <c r="BT98" s="8"/>
      <c r="BU98" s="9"/>
      <c r="BV98" s="10"/>
      <c r="BW98" s="8"/>
      <c r="BX98" s="9"/>
      <c r="BY98" s="10"/>
      <c r="BZ98" s="8"/>
      <c r="CA98" s="9"/>
      <c r="CB98" s="10"/>
      <c r="CC98" s="8"/>
      <c r="CD98" s="9"/>
      <c r="CE98" s="10"/>
      <c r="CF98" s="8"/>
      <c r="CG98" s="9"/>
      <c r="CH98" s="10"/>
      <c r="CI98" s="8"/>
      <c r="CJ98" s="9"/>
      <c r="CK98" s="10"/>
      <c r="CL98" s="8"/>
      <c r="CM98" s="9"/>
      <c r="CN98" s="10"/>
      <c r="CO98" s="8"/>
      <c r="CP98" s="9"/>
      <c r="CQ98" s="10"/>
      <c r="CR98" s="8"/>
      <c r="CS98" s="9"/>
      <c r="CT98" s="10"/>
      <c r="CU98" s="8"/>
      <c r="CV98" s="9"/>
      <c r="CW98" s="10"/>
      <c r="CX98" s="8"/>
      <c r="CY98" s="9"/>
      <c r="CZ98" s="10"/>
      <c r="DA98" s="8"/>
      <c r="DB98" s="9"/>
      <c r="DC98" s="10"/>
      <c r="DD98" s="8"/>
      <c r="DE98" s="9"/>
      <c r="DF98" s="10"/>
      <c r="DG98" s="8"/>
      <c r="DH98" s="9"/>
      <c r="DI98" s="10"/>
      <c r="DK98" s="8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10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J98" s="8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10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O98" t="str">
        <f t="shared" si="615"/>
        <v/>
      </c>
      <c r="FP98" t="str">
        <f t="shared" si="616"/>
        <v/>
      </c>
      <c r="FQ98" t="str">
        <f t="shared" si="617"/>
        <v/>
      </c>
      <c r="FR98">
        <v>0</v>
      </c>
    </row>
    <row r="99" spans="1:174" s="19" customFormat="1" ht="20.25" thickBot="1" x14ac:dyDescent="0.35">
      <c r="A99" s="44" t="s">
        <v>67</v>
      </c>
      <c r="B99" s="17">
        <f t="shared" ref="B99:V99" si="810">+B82+B76+B26+B18+B3</f>
        <v>13413718</v>
      </c>
      <c r="C99" s="17">
        <f t="shared" si="810"/>
        <v>11989417</v>
      </c>
      <c r="D99" s="17">
        <f t="shared" si="810"/>
        <v>12874348</v>
      </c>
      <c r="E99" s="17">
        <f t="shared" si="810"/>
        <v>13425362</v>
      </c>
      <c r="F99" s="17">
        <f t="shared" si="810"/>
        <v>13987164</v>
      </c>
      <c r="G99" s="17">
        <f t="shared" si="810"/>
        <v>14034239</v>
      </c>
      <c r="H99" s="17">
        <f t="shared" si="810"/>
        <v>11272757</v>
      </c>
      <c r="I99" s="17">
        <f t="shared" si="810"/>
        <v>7523512</v>
      </c>
      <c r="J99" s="17">
        <f t="shared" si="810"/>
        <v>7742920</v>
      </c>
      <c r="K99" s="17">
        <f t="shared" si="810"/>
        <v>9990107</v>
      </c>
      <c r="L99" s="17">
        <f t="shared" si="810"/>
        <v>8151849</v>
      </c>
      <c r="M99" s="112">
        <f t="shared" si="810"/>
        <v>5320997</v>
      </c>
      <c r="N99" s="17">
        <f>+N82+N76+N26+N18+N3</f>
        <v>8612692</v>
      </c>
      <c r="O99" s="17">
        <f t="shared" si="810"/>
        <v>-360859</v>
      </c>
      <c r="P99" s="146">
        <f t="shared" si="810"/>
        <v>1358000</v>
      </c>
      <c r="Q99" s="189">
        <f t="shared" si="810"/>
        <v>8394548</v>
      </c>
      <c r="R99" s="190">
        <f t="shared" si="810"/>
        <v>10445916</v>
      </c>
      <c r="S99" s="190">
        <f t="shared" si="810"/>
        <v>8453159</v>
      </c>
      <c r="T99" s="191">
        <f t="shared" si="810"/>
        <v>-1992757</v>
      </c>
      <c r="U99" s="17">
        <f t="shared" si="810"/>
        <v>11741992</v>
      </c>
      <c r="V99" s="17">
        <f t="shared" si="810"/>
        <v>12548268</v>
      </c>
      <c r="W99" s="17">
        <v>11412986.199999999</v>
      </c>
      <c r="X99" s="17">
        <f t="shared" ref="X99:AN99" si="811">+X82+X76+X26+X18+X3</f>
        <v>8838788</v>
      </c>
      <c r="Y99" s="16">
        <f t="shared" ref="Y99:Z99" si="812">+Y82+Y76+Y26+Y18+Y3</f>
        <v>13067844</v>
      </c>
      <c r="Z99" s="17">
        <f t="shared" si="812"/>
        <v>15237860</v>
      </c>
      <c r="AA99" s="17">
        <f t="shared" ref="AA99" si="813">+AA82+AA76+AA26+AA18+AA3</f>
        <v>10571141</v>
      </c>
      <c r="AB99" s="18">
        <f>AB3+AB18+AB26+AB82+AB76</f>
        <v>-4666719</v>
      </c>
      <c r="AC99" s="16">
        <f t="shared" si="811"/>
        <v>13293943</v>
      </c>
      <c r="AD99" s="17">
        <f>+AD82+AD76+AD26+AD18+AD3</f>
        <v>14981552</v>
      </c>
      <c r="AE99" s="18">
        <f t="shared" si="811"/>
        <v>14376660</v>
      </c>
      <c r="AF99" s="17">
        <f>+AF82+AF76+AF26+AF18+AF3</f>
        <v>13991852</v>
      </c>
      <c r="AG99" s="17">
        <f>+AG82+AG76+AG26+AG18+AG3</f>
        <v>14208080</v>
      </c>
      <c r="AH99" s="17">
        <f t="shared" si="811"/>
        <v>9660334.25</v>
      </c>
      <c r="AI99" s="17">
        <f t="shared" si="811"/>
        <v>11221207.25</v>
      </c>
      <c r="AJ99" s="17">
        <f t="shared" si="811"/>
        <v>10530782.75</v>
      </c>
      <c r="AK99" s="17">
        <f t="shared" si="811"/>
        <v>9716843.75</v>
      </c>
      <c r="AL99" s="17">
        <f t="shared" si="811"/>
        <v>11374179.75</v>
      </c>
      <c r="AM99" s="17">
        <f t="shared" si="811"/>
        <v>9626419.75</v>
      </c>
      <c r="AN99" s="17">
        <f t="shared" si="811"/>
        <v>7993415.75</v>
      </c>
      <c r="AO99" s="59"/>
      <c r="AP99" s="16"/>
      <c r="AQ99" s="17"/>
      <c r="AR99" s="18"/>
      <c r="AS99" s="16"/>
      <c r="AT99" s="17"/>
      <c r="AU99" s="18"/>
      <c r="AV99" s="16"/>
      <c r="AW99" s="17"/>
      <c r="AX99" s="18"/>
      <c r="AY99" s="16"/>
      <c r="AZ99" s="17"/>
      <c r="BA99" s="18"/>
      <c r="BB99" s="16"/>
      <c r="BC99" s="17"/>
      <c r="BD99" s="18"/>
      <c r="BE99" s="16"/>
      <c r="BF99" s="17"/>
      <c r="BG99" s="18"/>
      <c r="BH99" s="16"/>
      <c r="BI99" s="17"/>
      <c r="BJ99" s="18"/>
      <c r="BK99" s="16"/>
      <c r="BL99" s="17"/>
      <c r="BM99" s="18"/>
      <c r="BN99" s="16"/>
      <c r="BO99" s="17"/>
      <c r="BP99" s="18"/>
      <c r="BQ99" s="16"/>
      <c r="BR99" s="17"/>
      <c r="BS99" s="18"/>
      <c r="BT99" s="16"/>
      <c r="BU99" s="17"/>
      <c r="BV99" s="18"/>
      <c r="BW99" s="16"/>
      <c r="BX99" s="17"/>
      <c r="BY99" s="18"/>
      <c r="BZ99" s="16"/>
      <c r="CA99" s="17"/>
      <c r="CB99" s="18"/>
      <c r="CC99" s="16"/>
      <c r="CD99" s="17"/>
      <c r="CE99" s="18"/>
      <c r="CF99" s="16"/>
      <c r="CG99" s="17"/>
      <c r="CH99" s="18"/>
      <c r="CI99" s="16"/>
      <c r="CJ99" s="17"/>
      <c r="CK99" s="18"/>
      <c r="CL99" s="16"/>
      <c r="CM99" s="17"/>
      <c r="CN99" s="18"/>
      <c r="CO99" s="16"/>
      <c r="CP99" s="17"/>
      <c r="CQ99" s="18"/>
      <c r="CR99" s="16"/>
      <c r="CS99" s="17"/>
      <c r="CT99" s="18"/>
      <c r="CU99" s="16"/>
      <c r="CV99" s="17"/>
      <c r="CW99" s="18"/>
      <c r="CX99" s="16"/>
      <c r="CY99" s="17"/>
      <c r="CZ99" s="18"/>
      <c r="DA99" s="16"/>
      <c r="DB99" s="17"/>
      <c r="DC99" s="18"/>
      <c r="DD99" s="16"/>
      <c r="DE99" s="17"/>
      <c r="DF99" s="18"/>
      <c r="DG99" s="16"/>
      <c r="DH99" s="17"/>
      <c r="DI99" s="18"/>
      <c r="DK99" s="20"/>
      <c r="DL99" s="21"/>
      <c r="DM99" s="21"/>
      <c r="DN99" s="21"/>
      <c r="DO99" s="21"/>
      <c r="DP99" s="21"/>
      <c r="DQ99" s="21"/>
      <c r="DR99" s="17"/>
      <c r="DS99" s="21"/>
      <c r="DT99" s="21"/>
      <c r="DU99" s="21"/>
      <c r="DV99" s="22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J99" s="20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2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N99"/>
      <c r="FO99" t="str">
        <f t="shared" si="615"/>
        <v>Total Retorted Units</v>
      </c>
      <c r="FP99" t="str">
        <f t="shared" si="616"/>
        <v>Total Retorted Units</v>
      </c>
      <c r="FQ99" t="str">
        <f t="shared" si="617"/>
        <v>Total Retorted Units</v>
      </c>
      <c r="FR99">
        <v>0</v>
      </c>
    </row>
    <row r="100" spans="1:174" ht="15.75" thickBot="1" x14ac:dyDescent="0.3">
      <c r="T100" s="188"/>
      <c r="U100"/>
      <c r="Y100" s="45"/>
      <c r="AB100" s="46"/>
      <c r="AC100" s="45"/>
      <c r="AE100" s="46"/>
      <c r="FO100" t="str">
        <f t="shared" si="615"/>
        <v/>
      </c>
      <c r="FP100" t="str">
        <f t="shared" si="616"/>
        <v/>
      </c>
      <c r="FQ100" t="str">
        <f t="shared" si="617"/>
        <v/>
      </c>
      <c r="FR100">
        <v>0</v>
      </c>
    </row>
    <row r="101" spans="1:174" ht="21.75" thickBot="1" x14ac:dyDescent="0.4">
      <c r="A101" s="41" t="s">
        <v>290</v>
      </c>
      <c r="B101" s="14">
        <f>SUMIF(Prophix!$Q:$Q,'Fds Units'!$A101,Prophix!D:D)</f>
        <v>8735500</v>
      </c>
      <c r="C101" s="14">
        <f>SUMIF(Prophix!$Q:$Q,'Fds Units'!$A101,Prophix!E:E)</f>
        <v>6610250</v>
      </c>
      <c r="D101" s="14">
        <f>SUMIF(Prophix!$Q:$Q,'Fds Units'!$A101,Prophix!F:F)</f>
        <v>9362500</v>
      </c>
      <c r="E101" s="14">
        <f>SUMIF(Prophix!$Q:$Q,'Fds Units'!$A101,Prophix!G:G)</f>
        <v>0</v>
      </c>
      <c r="F101" s="14">
        <f>SUMIF(Prophix!$Q:$Q,'Fds Units'!$A101,Prophix!H:H)</f>
        <v>0</v>
      </c>
      <c r="G101" s="14">
        <f>SUMIF(Prophix!$Q:$Q,'Fds Units'!$A101,Prophix!I:I)</f>
        <v>4900500</v>
      </c>
      <c r="H101" s="14">
        <f>SUMIF(Prophix!$Q:$Q,'Fds Units'!$A101,Prophix!J:J)</f>
        <v>12110500</v>
      </c>
      <c r="I101" s="14">
        <f>SUMIF(Prophix!$Q:$Q,'Fds Units'!$A101,Prophix!K:K)</f>
        <v>6660500</v>
      </c>
      <c r="J101" s="14">
        <f>SUMIF(Prophix!$Q:$Q,'Fds Units'!$A101,Prophix!L:L)</f>
        <v>3336000</v>
      </c>
      <c r="K101" s="14">
        <f>SUMIF(Prophix!$Q:$Q,'Fds Units'!$A101,Prophix!M:M)</f>
        <v>14016250</v>
      </c>
      <c r="L101" s="14">
        <v>4375000</v>
      </c>
      <c r="M101" s="122">
        <f>-SUM('[2]Fds Pivot'!$D$111:$F$111)</f>
        <v>2559250</v>
      </c>
      <c r="N101" s="5">
        <v>3979250</v>
      </c>
      <c r="O101" s="5">
        <f>+N101-M101</f>
        <v>1420000</v>
      </c>
      <c r="P101" s="141">
        <v>3037500</v>
      </c>
      <c r="Q101" s="122">
        <f>+P101-O101</f>
        <v>1617500</v>
      </c>
      <c r="R101" s="5">
        <v>5152500</v>
      </c>
      <c r="S101" s="5">
        <v>4727750</v>
      </c>
      <c r="T101" s="90">
        <f>S101-R101</f>
        <v>-424750</v>
      </c>
      <c r="U101" s="89">
        <v>11250000</v>
      </c>
      <c r="V101" s="89">
        <v>11250000</v>
      </c>
      <c r="W101" s="89">
        <v>11250000</v>
      </c>
      <c r="X101" s="5">
        <v>7019750</v>
      </c>
      <c r="Y101" s="245">
        <v>5625000</v>
      </c>
      <c r="Z101" s="246">
        <v>7500000</v>
      </c>
      <c r="AA101" s="246">
        <v>4324750</v>
      </c>
      <c r="AB101" s="247">
        <f>AA101-Z101</f>
        <v>-3175250</v>
      </c>
      <c r="AC101" s="245">
        <v>3125000</v>
      </c>
      <c r="AD101" s="246">
        <v>4950000</v>
      </c>
      <c r="AE101" s="247"/>
      <c r="AF101" s="89"/>
      <c r="AG101" s="89"/>
      <c r="AH101" s="89"/>
      <c r="AI101" s="89"/>
      <c r="AJ101" s="89"/>
      <c r="AK101" s="89"/>
      <c r="AL101" s="89"/>
      <c r="AM101" s="89"/>
      <c r="AN101" s="89"/>
      <c r="AO101" s="59" cm="1">
        <f t="array" ref="AO101">SUM(Y101:AN101+U101)</f>
        <v>202349500</v>
      </c>
      <c r="AP101" s="13" t="s">
        <v>604</v>
      </c>
      <c r="AQ101" s="14">
        <v>625000</v>
      </c>
      <c r="AR101" s="15">
        <v>0</v>
      </c>
      <c r="AS101" s="13" t="s">
        <v>604</v>
      </c>
      <c r="AT101" s="14">
        <v>625000</v>
      </c>
      <c r="AU101" s="15">
        <v>0</v>
      </c>
      <c r="AV101" s="13" t="s">
        <v>604</v>
      </c>
      <c r="AW101" s="14">
        <v>625000</v>
      </c>
      <c r="AX101" s="15">
        <v>0</v>
      </c>
      <c r="AY101" s="13" t="s">
        <v>604</v>
      </c>
      <c r="AZ101" s="14">
        <v>625000</v>
      </c>
      <c r="BA101" s="15">
        <v>0</v>
      </c>
      <c r="BB101" s="13" t="s">
        <v>604</v>
      </c>
      <c r="BC101" s="14">
        <v>625000</v>
      </c>
      <c r="BD101" s="15">
        <v>0</v>
      </c>
      <c r="BE101" s="13" t="s">
        <v>604</v>
      </c>
      <c r="BF101" s="14">
        <v>625000</v>
      </c>
      <c r="BG101" s="15">
        <v>0</v>
      </c>
      <c r="BH101" s="13" t="s">
        <v>604</v>
      </c>
      <c r="BI101" s="14">
        <v>625000</v>
      </c>
      <c r="BJ101" s="15">
        <v>0</v>
      </c>
      <c r="BK101" s="13" t="s">
        <v>604</v>
      </c>
      <c r="BL101" s="14">
        <v>625000</v>
      </c>
      <c r="BM101" s="15">
        <v>0</v>
      </c>
      <c r="BN101" s="13" t="s">
        <v>604</v>
      </c>
      <c r="BO101" s="14">
        <v>625000</v>
      </c>
      <c r="BP101" s="15">
        <v>0</v>
      </c>
      <c r="BQ101" s="13" t="s">
        <v>604</v>
      </c>
      <c r="BR101" s="14">
        <v>625000</v>
      </c>
      <c r="BS101" s="15">
        <v>0</v>
      </c>
      <c r="BT101" s="13" t="s">
        <v>604</v>
      </c>
      <c r="BU101" s="14">
        <v>625000</v>
      </c>
      <c r="BV101" s="15">
        <v>0</v>
      </c>
      <c r="BW101" s="13" t="s">
        <v>604</v>
      </c>
      <c r="BX101" s="14">
        <v>625000</v>
      </c>
      <c r="BY101" s="15">
        <v>0</v>
      </c>
      <c r="BZ101" s="13" t="str">
        <f>+BW101</f>
        <v>J1</v>
      </c>
      <c r="CA101" s="14">
        <f t="shared" ref="CA101:CB101" si="814">+BX101</f>
        <v>625000</v>
      </c>
      <c r="CB101" s="15">
        <f t="shared" si="814"/>
        <v>0</v>
      </c>
      <c r="CC101" s="13" t="s">
        <v>604</v>
      </c>
      <c r="CD101" s="14">
        <v>625000</v>
      </c>
      <c r="CE101" s="15">
        <v>0</v>
      </c>
      <c r="CF101" s="13" t="s">
        <v>604</v>
      </c>
      <c r="CG101" s="14">
        <v>625000</v>
      </c>
      <c r="CH101" s="15">
        <v>0</v>
      </c>
      <c r="CI101" s="13" t="s">
        <v>604</v>
      </c>
      <c r="CJ101" s="14">
        <v>625000</v>
      </c>
      <c r="CK101" s="15">
        <v>0</v>
      </c>
      <c r="CL101" s="13" t="s">
        <v>604</v>
      </c>
      <c r="CM101" s="14">
        <v>625000</v>
      </c>
      <c r="CN101" s="15">
        <v>0</v>
      </c>
      <c r="CO101" s="13" t="s">
        <v>604</v>
      </c>
      <c r="CP101" s="14">
        <v>625000</v>
      </c>
      <c r="CQ101" s="15">
        <v>0</v>
      </c>
      <c r="CR101" s="13" t="s">
        <v>604</v>
      </c>
      <c r="CS101" s="14">
        <v>625000</v>
      </c>
      <c r="CT101" s="15">
        <v>0</v>
      </c>
      <c r="CU101" s="13" t="s">
        <v>604</v>
      </c>
      <c r="CV101" s="14">
        <v>625000</v>
      </c>
      <c r="CW101" s="15">
        <v>0</v>
      </c>
      <c r="CX101" s="13" t="s">
        <v>604</v>
      </c>
      <c r="CY101" s="14">
        <v>625000</v>
      </c>
      <c r="CZ101" s="15">
        <v>0</v>
      </c>
      <c r="DA101" s="13" t="s">
        <v>604</v>
      </c>
      <c r="DB101" s="14">
        <v>625000</v>
      </c>
      <c r="DC101" s="15">
        <v>0</v>
      </c>
      <c r="DD101" s="13" t="s">
        <v>604</v>
      </c>
      <c r="DE101" s="14">
        <v>625000</v>
      </c>
      <c r="DF101" s="15">
        <v>0</v>
      </c>
      <c r="DG101" s="13" t="s">
        <v>604</v>
      </c>
      <c r="DH101" s="14">
        <v>625000</v>
      </c>
      <c r="DI101" s="15">
        <v>0</v>
      </c>
      <c r="DK101" s="68">
        <v>17</v>
      </c>
      <c r="DL101" s="69">
        <f>IFERROR(ROUNDUP(+C101/$AT101,0),0)</f>
        <v>11</v>
      </c>
      <c r="DM101" s="69">
        <f>IFERROR(ROUNDUP(+D101/$AW101,0),0)</f>
        <v>15</v>
      </c>
      <c r="DN101" s="69">
        <f>IFERROR(ROUNDUP(+E101/$AZ101,0),0)</f>
        <v>0</v>
      </c>
      <c r="DO101" s="69">
        <f>IFERROR(ROUNDUP(+F101/$BC101,0),0)</f>
        <v>0</v>
      </c>
      <c r="DP101" s="69">
        <f>IFERROR(ROUNDUP(+G101/$BF101,0),0)</f>
        <v>8</v>
      </c>
      <c r="DQ101" s="69">
        <f>IFERROR(ROUNDUP(+$H101/$BI101,0),0)</f>
        <v>20</v>
      </c>
      <c r="DR101" s="14">
        <f>IFERROR(ROUNDUP(+I101/$BL101,0),0)</f>
        <v>11</v>
      </c>
      <c r="DS101" s="69">
        <f>IFERROR(ROUNDUP(J101/BO101,0),0)</f>
        <v>6</v>
      </c>
      <c r="DT101" s="69">
        <f>IFERROR(ROUNDUP(+K101/BR101,0),0)</f>
        <v>23</v>
      </c>
      <c r="DU101" s="69">
        <v>7</v>
      </c>
      <c r="DV101" s="70">
        <f>IFERROR(ROUNDUP(+R101/BX101,0),0)</f>
        <v>9</v>
      </c>
      <c r="DW101" s="14">
        <f>IFERROR(ROUNDUP(+V101/CA101,0),0)</f>
        <v>18</v>
      </c>
      <c r="DX101" s="14">
        <f>IFERROR(ROUNDUP(+Y101/CD101,0),0)</f>
        <v>9</v>
      </c>
      <c r="DY101" s="14">
        <f>IFERROR(ROUNDUP(+AE101/CG101,0),0)</f>
        <v>0</v>
      </c>
      <c r="DZ101" s="14">
        <f>IFERROR(ROUNDUP(+AF101/CJ101,0),0)</f>
        <v>0</v>
      </c>
      <c r="EA101" s="14">
        <f>IFERROR(ROUNDUP(+AG101/CM101,0),0)</f>
        <v>0</v>
      </c>
      <c r="EB101" s="14">
        <f>IFERROR(ROUNDUP(+AH101/CP101,0),0)</f>
        <v>0</v>
      </c>
      <c r="EC101" s="14">
        <f>IFERROR(ROUNDUP(+AI101/CS101,0),0)</f>
        <v>0</v>
      </c>
      <c r="ED101" s="14">
        <f>IFERROR(ROUNDUP(+AJ101/CV101,0),0)</f>
        <v>0</v>
      </c>
      <c r="EE101" s="14">
        <f>IFERROR(ROUNDUP(+AK101/CY101,0),0)</f>
        <v>0</v>
      </c>
      <c r="EF101" s="14">
        <f>IFERROR(ROUNDUP(+AL101/DB101,0),0)</f>
        <v>0</v>
      </c>
      <c r="EG101" s="14">
        <f>IFERROR(ROUNDUP(+AM101/DE101,0),0)</f>
        <v>0</v>
      </c>
      <c r="EH101" s="14">
        <f>IFERROR(ROUNDUP(+AN101/DH101,0),0)</f>
        <v>0</v>
      </c>
      <c r="EJ101" s="68">
        <f>$AR101*DK101</f>
        <v>0</v>
      </c>
      <c r="EK101" s="69">
        <f>$AU101*DL101</f>
        <v>0</v>
      </c>
      <c r="EL101" s="69">
        <f>$AX101*DM101</f>
        <v>0</v>
      </c>
      <c r="EM101" s="69">
        <f>$BA101*DN101</f>
        <v>0</v>
      </c>
      <c r="EN101" s="69">
        <f>$BD101*DO101</f>
        <v>0</v>
      </c>
      <c r="EO101" s="69">
        <f t="shared" ref="EO101" si="815">$BG101*DP101</f>
        <v>0</v>
      </c>
      <c r="EP101" s="69">
        <f>BJ101*DQ101</f>
        <v>0</v>
      </c>
      <c r="EQ101" s="69">
        <f>+BM101*DR101</f>
        <v>0</v>
      </c>
      <c r="ER101" s="69">
        <f>BP101*DS101</f>
        <v>0</v>
      </c>
      <c r="ES101" s="69">
        <f>+BS101*DT101</f>
        <v>0</v>
      </c>
      <c r="ET101" s="69">
        <f>+BV101*DU101</f>
        <v>0</v>
      </c>
      <c r="EU101" s="70">
        <f>+BY101*DV101</f>
        <v>0</v>
      </c>
      <c r="EV101" s="14">
        <f>+CB101*DW101</f>
        <v>0</v>
      </c>
      <c r="EW101" s="14">
        <f>+CE101*DX101</f>
        <v>0</v>
      </c>
      <c r="EX101" s="14">
        <f>+CH101*DY101</f>
        <v>0</v>
      </c>
      <c r="EY101" s="14">
        <f>+CK101*DZ101</f>
        <v>0</v>
      </c>
      <c r="EZ101" s="14">
        <f>+CN101*EA101</f>
        <v>0</v>
      </c>
      <c r="FA101" s="14">
        <f>+CQ101*EB101</f>
        <v>0</v>
      </c>
      <c r="FB101" s="14">
        <f>+CT101*EC101</f>
        <v>0</v>
      </c>
      <c r="FC101" s="14">
        <f>+CW101*ED101</f>
        <v>0</v>
      </c>
      <c r="FD101" s="14">
        <f>+CZ101*EE101</f>
        <v>0</v>
      </c>
      <c r="FE101" s="14">
        <f>+DC101*EF101</f>
        <v>0</v>
      </c>
      <c r="FF101" s="14">
        <f>+DF101*EG101</f>
        <v>0</v>
      </c>
      <c r="FG101" s="14">
        <f>+DI101*EH101</f>
        <v>0</v>
      </c>
      <c r="FO101" t="str">
        <f t="shared" si="615"/>
        <v>Red GoldJ1</v>
      </c>
      <c r="FP101" t="str">
        <f t="shared" si="616"/>
        <v>Red GoldJ1</v>
      </c>
      <c r="FQ101" t="str">
        <f t="shared" si="617"/>
        <v>Red GoldJ1</v>
      </c>
      <c r="FR101" t="s">
        <v>878</v>
      </c>
    </row>
    <row r="102" spans="1:174" x14ac:dyDescent="0.25">
      <c r="B102" s="28"/>
      <c r="U102" s="138"/>
      <c r="V102" s="59"/>
      <c r="W102" s="59"/>
      <c r="X102" s="59"/>
      <c r="BI102" s="59"/>
    </row>
    <row r="103" spans="1:174" x14ac:dyDescent="0.25">
      <c r="A103" s="32" t="s">
        <v>139</v>
      </c>
      <c r="S103" s="59">
        <f>S99+S101+S106</f>
        <v>13184171</v>
      </c>
      <c r="W103" s="59">
        <f>W99+W101</f>
        <v>22662986.199999999</v>
      </c>
    </row>
    <row r="104" spans="1:174" x14ac:dyDescent="0.25">
      <c r="A104" s="32" t="s">
        <v>215</v>
      </c>
      <c r="B104" s="59">
        <f>+B99+B101-_xlfn.XLOOKUP($A103,Prophix!$Q:$Q,Prophix!D:D,0)+SUMIF(Prophix!$Q:$Q,$A104,Prophix!D:D)+_xlfn.XLOOKUP($A105,Prophix!$Q:$Q,Prophix!D:D,0)+_xlfn.XLOOKUP($A106,Prophix!$Q:$Q,Prophix!D:D,0)</f>
        <v>0</v>
      </c>
      <c r="C104" s="59">
        <f>+C99+C101-_xlfn.XLOOKUP($A103,Prophix!$Q:$Q,Prophix!E:E,0)+SUMIF(Prophix!$Q:$Q,$A104,Prophix!E:E)+_xlfn.XLOOKUP($A105,Prophix!$Q:$Q,Prophix!E:E,0)+_xlfn.XLOOKUP($A106,Prophix!$Q:$Q,Prophix!E:E,0)</f>
        <v>-51120</v>
      </c>
      <c r="D104" s="59">
        <f>+D99+D101-_xlfn.XLOOKUP($A103,Prophix!$Q:$Q,Prophix!F:F,0)+SUMIF(Prophix!$Q:$Q,$A104,Prophix!F:F)+_xlfn.XLOOKUP($A105,Prophix!$Q:$Q,Prophix!F:F,0)+_xlfn.XLOOKUP($A106,Prophix!$Q:$Q,Prophix!F:F,0)</f>
        <v>0</v>
      </c>
      <c r="E104" s="59">
        <f>+E99+E101-_xlfn.XLOOKUP($A103,Prophix!$Q:$Q,Prophix!G:G,0)+SUMIF(Prophix!$Q:$Q,$A104,Prophix!G:G)+_xlfn.XLOOKUP($A105,Prophix!$Q:$Q,Prophix!G:G,0)+_xlfn.XLOOKUP($A106,Prophix!$Q:$Q,Prophix!G:G,0)</f>
        <v>-107568</v>
      </c>
      <c r="F104" s="59">
        <f>+F99+F101-_xlfn.XLOOKUP($A103,Prophix!$Q:$Q,Prophix!H:H,0)+SUMIF(Prophix!$Q:$Q,$A104,Prophix!H:H)+_xlfn.XLOOKUP($A105,Prophix!$Q:$Q,Prophix!H:H,0)+_xlfn.XLOOKUP($A106,Prophix!$Q:$Q,Prophix!H:H,0)</f>
        <v>0</v>
      </c>
      <c r="G104" s="59">
        <f>+G99+G101-_xlfn.XLOOKUP($A103,Prophix!$Q:$Q,Prophix!I:I,0)+SUMIF(Prophix!$Q:$Q,$A104,Prophix!I:I)+_xlfn.XLOOKUP($A105,Prophix!$Q:$Q,Prophix!I:I,0)+_xlfn.XLOOKUP($A106,Prophix!$Q:$Q,Prophix!I:I,0)</f>
        <v>0</v>
      </c>
      <c r="H104" s="59">
        <f>+H99+H101-_xlfn.XLOOKUP($A103,Prophix!$Q:$Q,Prophix!J:J,0)+SUMIF(Prophix!$Q:$Q,$A104,Prophix!J:J)+_xlfn.XLOOKUP($A105,Prophix!$Q:$Q,Prophix!J:J,0)+_xlfn.XLOOKUP($A106,Prophix!$Q:$Q,Prophix!J:J,0)</f>
        <v>0</v>
      </c>
      <c r="I104" s="59">
        <f>+I99+I101-_xlfn.XLOOKUP($A103,Prophix!$Q:$Q,Prophix!K:K,0)+SUMIF(Prophix!$Q:$Q,$A104,Prophix!K:K)+_xlfn.XLOOKUP($A105,Prophix!$Q:$Q,Prophix!K:K,0)+_xlfn.XLOOKUP($A106,Prophix!$Q:$Q,Prophix!K:K,0)</f>
        <v>-134412</v>
      </c>
      <c r="J104" s="59">
        <f>+J99+J101-_xlfn.XLOOKUP($A103,Prophix!$Q:$Q,Prophix!L:L,0)+SUMIF(Prophix!$Q:$Q,$A104,Prophix!L:L)+_xlfn.XLOOKUP($A105,Prophix!$Q:$Q,Prophix!L:L,0)+_xlfn.XLOOKUP($A106,Prophix!$Q:$Q,Prophix!L:L,0)</f>
        <v>0</v>
      </c>
      <c r="K104" s="59">
        <f>+K99+K101-_xlfn.XLOOKUP($A103,Prophix!$Q:$Q,Prophix!M:M,0)+SUMIF(Prophix!$Q:$Q,$A104,Prophix!M:M)+_xlfn.XLOOKUP($A105,Prophix!$Q:$Q,Prophix!M:M,0)+_xlfn.XLOOKUP($A106,Prophix!$Q:$Q,Prophix!M:M,0)</f>
        <v>0</v>
      </c>
      <c r="L104" s="59"/>
      <c r="N104" s="59">
        <f>+N99+N101-GETPIVOTDATA(" Qty (EA)",Schedule!$N$3,"Months (Schedule Date)",11)+GETPIVOTDATA(" Qty (EA)",Schedule!$N$3,"Line","UGRA","Helper","UGRA","Months (Schedule Date)",11)+GETPIVOTDATA(" Qty (EA)",Schedule!$N$3,"Line","W2","Helper","RD","Months (Schedule Date)",11)+GETPIVOTDATA(" Qty (EA)",Schedule!$N$3,"Line","W3","Helper","RD","Months (Schedule Date)",11)</f>
        <v>3556598</v>
      </c>
      <c r="R104" s="59"/>
      <c r="S104" s="59"/>
    </row>
    <row r="105" spans="1:174" x14ac:dyDescent="0.25">
      <c r="A105" s="32" t="s">
        <v>347</v>
      </c>
      <c r="E105" s="59"/>
      <c r="F105" s="59"/>
    </row>
    <row r="106" spans="1:174" x14ac:dyDescent="0.25">
      <c r="A106" s="32" t="s">
        <v>81</v>
      </c>
      <c r="L106">
        <v>6869</v>
      </c>
      <c r="S106" s="49">
        <v>3262</v>
      </c>
      <c r="V106" s="65">
        <v>12777</v>
      </c>
      <c r="W106" s="65">
        <v>17089</v>
      </c>
      <c r="X106" s="205">
        <v>12350</v>
      </c>
      <c r="Y106" s="49">
        <v>19467</v>
      </c>
      <c r="Z106" s="49">
        <v>36839</v>
      </c>
      <c r="AA106" s="49">
        <v>14364</v>
      </c>
      <c r="AB106" s="49"/>
      <c r="AC106" s="49">
        <v>42122</v>
      </c>
      <c r="AD106" s="49"/>
      <c r="AE106" s="49">
        <v>17275</v>
      </c>
      <c r="AF106" s="49">
        <v>19041</v>
      </c>
      <c r="AG106" s="49">
        <v>21949</v>
      </c>
      <c r="AH106" s="49">
        <v>17004</v>
      </c>
      <c r="AI106" s="49">
        <v>24924</v>
      </c>
      <c r="AJ106" s="49">
        <v>14146</v>
      </c>
      <c r="AK106" s="49">
        <v>17221</v>
      </c>
      <c r="AL106" s="49">
        <v>12035</v>
      </c>
      <c r="AM106" s="49">
        <v>8872</v>
      </c>
      <c r="AN106" s="49">
        <v>11493</v>
      </c>
    </row>
    <row r="108" spans="1:174" x14ac:dyDescent="0.25">
      <c r="W108" s="59">
        <f>W103+W106</f>
        <v>22680075.199999999</v>
      </c>
      <c r="DS108" s="59"/>
      <c r="DT108" s="59"/>
    </row>
    <row r="109" spans="1:174" x14ac:dyDescent="0.25">
      <c r="DS109" s="59"/>
      <c r="DT109" s="59"/>
    </row>
    <row r="110" spans="1:174" x14ac:dyDescent="0.25">
      <c r="A110" t="s">
        <v>605</v>
      </c>
      <c r="M110"/>
      <c r="DS110" s="59"/>
      <c r="DT110" s="59"/>
    </row>
    <row r="111" spans="1:174" x14ac:dyDescent="0.25">
      <c r="A111" t="s">
        <v>606</v>
      </c>
      <c r="B111">
        <v>781238</v>
      </c>
      <c r="DS111" s="59"/>
      <c r="DT111" s="59"/>
    </row>
    <row r="112" spans="1:174" x14ac:dyDescent="0.25">
      <c r="A112" t="s">
        <v>94</v>
      </c>
      <c r="B112">
        <v>1326038</v>
      </c>
      <c r="DS112" s="59"/>
      <c r="DT112" s="59"/>
    </row>
    <row r="113" spans="1:124" x14ac:dyDescent="0.25">
      <c r="A113" t="s">
        <v>592</v>
      </c>
      <c r="B113" s="59">
        <f>SUM(B111:B112,B4:U9)</f>
        <v>65950532</v>
      </c>
      <c r="DS113" s="59"/>
      <c r="DT113" s="59"/>
    </row>
    <row r="114" spans="1:124" x14ac:dyDescent="0.25">
      <c r="DS114" s="59"/>
      <c r="DT114" s="59"/>
    </row>
    <row r="115" spans="1:124" x14ac:dyDescent="0.25">
      <c r="DS115" s="59"/>
      <c r="DT115" s="59"/>
    </row>
    <row r="116" spans="1:124" x14ac:dyDescent="0.25">
      <c r="DS116" s="59"/>
      <c r="DT116" s="59"/>
    </row>
    <row r="117" spans="1:124" x14ac:dyDescent="0.25">
      <c r="DS117" s="59"/>
      <c r="DT117" s="59"/>
    </row>
    <row r="118" spans="1:124" x14ac:dyDescent="0.25">
      <c r="DS118" s="59"/>
      <c r="DT118" s="59"/>
    </row>
    <row r="119" spans="1:124" x14ac:dyDescent="0.25">
      <c r="DS119" s="59"/>
      <c r="DT119" s="59"/>
    </row>
    <row r="120" spans="1:124" x14ac:dyDescent="0.25">
      <c r="DS120" s="59"/>
      <c r="DT120" s="59"/>
    </row>
    <row r="123" spans="1:124" x14ac:dyDescent="0.25">
      <c r="AP123" s="47"/>
      <c r="AQ123" s="48"/>
      <c r="AS123" s="47"/>
      <c r="AT123" s="48"/>
      <c r="AV123" s="47"/>
      <c r="AW123" s="48"/>
      <c r="AY123" s="47"/>
      <c r="AZ123" s="48"/>
      <c r="BB123" s="47"/>
      <c r="BC123" s="48"/>
      <c r="BE123" s="47"/>
      <c r="BF123" s="48"/>
      <c r="BH123" s="47"/>
      <c r="BI123" s="48"/>
      <c r="BK123" s="47"/>
      <c r="BL123" s="48"/>
      <c r="BN123" s="47"/>
      <c r="BO123" s="48"/>
      <c r="BQ123" s="47"/>
      <c r="BR123" s="48"/>
      <c r="BT123" s="47"/>
      <c r="BU123" s="48"/>
      <c r="BW123" s="47"/>
      <c r="BX123" s="48"/>
      <c r="BZ123" s="47"/>
      <c r="CA123" s="48"/>
      <c r="CC123" s="47"/>
      <c r="CD123" s="48"/>
      <c r="CF123" s="47"/>
      <c r="CG123" s="48"/>
      <c r="CI123" s="47"/>
      <c r="CJ123" s="48"/>
      <c r="CL123" s="47"/>
      <c r="CM123" s="48"/>
      <c r="CO123" s="47"/>
      <c r="CP123" s="48"/>
      <c r="CR123" s="47"/>
      <c r="CS123" s="48"/>
      <c r="CU123" s="47"/>
      <c r="CV123" s="48"/>
      <c r="CX123" s="47"/>
      <c r="CY123" s="48"/>
      <c r="DA123" s="47"/>
      <c r="DB123" s="48"/>
      <c r="DD123" s="47"/>
      <c r="DE123" s="48"/>
      <c r="DG123" s="47"/>
      <c r="DH123" s="48"/>
      <c r="DR123" s="48"/>
    </row>
  </sheetData>
  <autoFilter ref="A2:FR107" xr:uid="{3D5212D7-5349-4EEA-804F-DDFE8890B264}"/>
  <mergeCells count="3">
    <mergeCell ref="AC1:AE1"/>
    <mergeCell ref="U1:X1"/>
    <mergeCell ref="Y1:AB1"/>
  </mergeCells>
  <phoneticPr fontId="23" type="noConversion"/>
  <pageMargins left="0.7" right="0.7" top="0.75" bottom="0.75" header="0.3" footer="0.3"/>
  <pageSetup scale="3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B7A5-D5E2-4A45-8E64-1D19C2BEFE83}">
  <dimension ref="A1:L32"/>
  <sheetViews>
    <sheetView workbookViewId="0">
      <selection activeCell="K20" sqref="K20"/>
    </sheetView>
  </sheetViews>
  <sheetFormatPr defaultRowHeight="15" x14ac:dyDescent="0.25"/>
  <cols>
    <col min="1" max="1" width="28.85546875" bestFit="1" customWidth="1"/>
    <col min="2" max="2" width="18" customWidth="1"/>
    <col min="3" max="3" width="16" bestFit="1" customWidth="1"/>
    <col min="4" max="4" width="15.42578125" bestFit="1" customWidth="1"/>
    <col min="8" max="8" width="28.85546875" bestFit="1" customWidth="1"/>
    <col min="9" max="10" width="16" bestFit="1" customWidth="1"/>
    <col min="11" max="11" width="15.42578125" bestFit="1" customWidth="1"/>
    <col min="12" max="12" width="12.5703125" bestFit="1" customWidth="1"/>
  </cols>
  <sheetData>
    <row r="1" spans="1:12" ht="21" thickBot="1" x14ac:dyDescent="0.35">
      <c r="A1" s="35" t="s">
        <v>0</v>
      </c>
      <c r="B1" s="260" t="s">
        <v>538</v>
      </c>
      <c r="C1" s="260"/>
      <c r="D1" s="260"/>
      <c r="H1" s="228" t="s">
        <v>0</v>
      </c>
      <c r="I1" s="261" t="s">
        <v>2601</v>
      </c>
      <c r="J1" s="261"/>
      <c r="K1" s="262"/>
    </row>
    <row r="2" spans="1:12" ht="26.25" thickBot="1" x14ac:dyDescent="0.35">
      <c r="A2" s="208" t="s">
        <v>134</v>
      </c>
      <c r="B2" s="209" t="s">
        <v>2600</v>
      </c>
      <c r="C2" s="215" t="s">
        <v>349</v>
      </c>
      <c r="D2" s="215" t="s">
        <v>651</v>
      </c>
      <c r="H2" s="208" t="s">
        <v>134</v>
      </c>
      <c r="I2" s="209" t="s">
        <v>2600</v>
      </c>
      <c r="J2" s="215" t="s">
        <v>349</v>
      </c>
      <c r="K2" s="215" t="s">
        <v>651</v>
      </c>
      <c r="L2" s="215" t="s">
        <v>2602</v>
      </c>
    </row>
    <row r="3" spans="1:12" ht="21" x14ac:dyDescent="0.35">
      <c r="A3" s="41" t="s">
        <v>1</v>
      </c>
      <c r="B3" s="210">
        <f>'Fds Units'!V3</f>
        <v>2882200</v>
      </c>
      <c r="C3" s="210">
        <f>'Fds Units'!X3</f>
        <v>2274125</v>
      </c>
      <c r="D3" s="210">
        <f>C3-B3</f>
        <v>-608075</v>
      </c>
      <c r="H3" s="229" t="s">
        <v>1</v>
      </c>
      <c r="I3" s="210">
        <f>B3+B20</f>
        <v>5171500</v>
      </c>
      <c r="J3" s="210">
        <f>C3+C20</f>
        <v>4445792</v>
      </c>
      <c r="K3" s="210">
        <f>J3-I3</f>
        <v>-725708</v>
      </c>
      <c r="L3" s="234">
        <f>J3/I3</f>
        <v>0.85967166199361889</v>
      </c>
    </row>
    <row r="4" spans="1:12" ht="7.5" customHeight="1" x14ac:dyDescent="0.35">
      <c r="A4" s="206"/>
      <c r="B4" s="211"/>
      <c r="C4" s="211"/>
      <c r="D4" s="216"/>
      <c r="H4" s="230"/>
      <c r="I4" s="211"/>
      <c r="J4" s="211"/>
      <c r="K4" s="216"/>
      <c r="L4" s="235"/>
    </row>
    <row r="5" spans="1:12" ht="21" x14ac:dyDescent="0.35">
      <c r="A5" s="41" t="s">
        <v>10</v>
      </c>
      <c r="B5" s="210">
        <f>'Fds Units'!V18</f>
        <v>1328772</v>
      </c>
      <c r="C5" s="210">
        <f>'Fds Units'!X18</f>
        <v>1002771</v>
      </c>
      <c r="D5" s="210">
        <f t="shared" ref="D5:D15" si="0">C5-B5</f>
        <v>-326001</v>
      </c>
      <c r="H5" s="229" t="s">
        <v>10</v>
      </c>
      <c r="I5" s="210">
        <f>B5+B22</f>
        <v>2727972</v>
      </c>
      <c r="J5" s="210">
        <f>C5+C22</f>
        <v>1608171</v>
      </c>
      <c r="K5" s="210">
        <f t="shared" ref="K5" si="1">J5-I5</f>
        <v>-1119801</v>
      </c>
      <c r="L5" s="234">
        <f>J5/I5</f>
        <v>0.58951154923877513</v>
      </c>
    </row>
    <row r="6" spans="1:12" ht="6.75" customHeight="1" x14ac:dyDescent="0.35">
      <c r="A6" s="206"/>
      <c r="B6" s="211"/>
      <c r="C6" s="211"/>
      <c r="D6" s="216"/>
      <c r="H6" s="230"/>
      <c r="I6" s="211"/>
      <c r="J6" s="211"/>
      <c r="K6" s="216"/>
      <c r="L6" s="235"/>
    </row>
    <row r="7" spans="1:12" ht="21" x14ac:dyDescent="0.35">
      <c r="A7" s="41" t="s">
        <v>15</v>
      </c>
      <c r="B7" s="210">
        <f>'Fds Units'!V26</f>
        <v>4676028</v>
      </c>
      <c r="C7" s="210">
        <f>'Fds Units'!X26</f>
        <v>2704120</v>
      </c>
      <c r="D7" s="210">
        <f t="shared" si="0"/>
        <v>-1971908</v>
      </c>
      <c r="H7" s="229" t="s">
        <v>15</v>
      </c>
      <c r="I7" s="210">
        <f>B7+B24</f>
        <v>10306308</v>
      </c>
      <c r="J7" s="210">
        <f>C7+C24</f>
        <v>6264220</v>
      </c>
      <c r="K7" s="210">
        <f t="shared" ref="K7" si="2">J7-I7</f>
        <v>-4042088</v>
      </c>
      <c r="L7" s="234">
        <f>J7/I7</f>
        <v>0.60780446305311275</v>
      </c>
    </row>
    <row r="8" spans="1:12" ht="6.75" customHeight="1" x14ac:dyDescent="0.35">
      <c r="A8" s="206"/>
      <c r="B8" s="211"/>
      <c r="C8" s="211"/>
      <c r="D8" s="216"/>
      <c r="H8" s="230"/>
      <c r="I8" s="211"/>
      <c r="J8" s="211"/>
      <c r="K8" s="216"/>
      <c r="L8" s="235"/>
    </row>
    <row r="9" spans="1:12" ht="21" x14ac:dyDescent="0.35">
      <c r="A9" s="41" t="s">
        <v>53</v>
      </c>
      <c r="B9" s="210">
        <f>'Fds Units'!V76</f>
        <v>1787000</v>
      </c>
      <c r="C9" s="210">
        <f>'Fds Units'!X76</f>
        <v>1381027</v>
      </c>
      <c r="D9" s="210">
        <f t="shared" si="0"/>
        <v>-405973</v>
      </c>
      <c r="H9" s="229" t="s">
        <v>53</v>
      </c>
      <c r="I9" s="210">
        <f>B9+B26</f>
        <v>3993988</v>
      </c>
      <c r="J9" s="210">
        <f>C9+C26</f>
        <v>3017157</v>
      </c>
      <c r="K9" s="210">
        <f t="shared" ref="K9" si="3">J9-I9</f>
        <v>-976831</v>
      </c>
      <c r="L9" s="234">
        <f>J9/I9</f>
        <v>0.75542465325384056</v>
      </c>
    </row>
    <row r="10" spans="1:12" ht="6.75" customHeight="1" x14ac:dyDescent="0.35">
      <c r="A10" s="206"/>
      <c r="B10" s="211"/>
      <c r="C10" s="211"/>
      <c r="D10" s="216"/>
      <c r="H10" s="230"/>
      <c r="I10" s="211"/>
      <c r="J10" s="211"/>
      <c r="K10" s="216"/>
      <c r="L10" s="235"/>
    </row>
    <row r="11" spans="1:12" ht="21" x14ac:dyDescent="0.35">
      <c r="A11" s="41" t="s">
        <v>58</v>
      </c>
      <c r="B11" s="210">
        <f>'Fds Units'!V82</f>
        <v>1874268</v>
      </c>
      <c r="C11" s="210">
        <f>'Fds Units'!X82</f>
        <v>1476745</v>
      </c>
      <c r="D11" s="210">
        <f t="shared" si="0"/>
        <v>-397523</v>
      </c>
      <c r="H11" s="229" t="s">
        <v>58</v>
      </c>
      <c r="I11" s="210">
        <f>B11+B28</f>
        <v>5586360</v>
      </c>
      <c r="J11" s="210">
        <f>C11+C28</f>
        <v>4074589</v>
      </c>
      <c r="K11" s="210">
        <f t="shared" ref="K11" si="4">J11-I11</f>
        <v>-1511771</v>
      </c>
      <c r="L11" s="234">
        <f>J11/I11</f>
        <v>0.729381744105285</v>
      </c>
    </row>
    <row r="12" spans="1:12" ht="6.75" customHeight="1" x14ac:dyDescent="0.35">
      <c r="A12" s="206"/>
      <c r="B12" s="211"/>
      <c r="C12" s="211"/>
      <c r="D12" s="216"/>
      <c r="H12" s="230"/>
      <c r="I12" s="211"/>
      <c r="J12" s="211"/>
      <c r="K12" s="216"/>
      <c r="L12" s="235"/>
    </row>
    <row r="13" spans="1:12" ht="19.5" x14ac:dyDescent="0.3">
      <c r="A13" s="44" t="s">
        <v>67</v>
      </c>
      <c r="B13" s="212">
        <f>B5+B3+B7+B9+B11</f>
        <v>12548268</v>
      </c>
      <c r="C13" s="212">
        <f>C5+C3+C7+C9+C11</f>
        <v>8838788</v>
      </c>
      <c r="D13" s="212">
        <f>D5+D3+D7+D9+D11</f>
        <v>-3709480</v>
      </c>
      <c r="H13" s="231" t="s">
        <v>67</v>
      </c>
      <c r="I13" s="212">
        <f>I5+I3+I7+I9+I11</f>
        <v>27786128</v>
      </c>
      <c r="J13" s="212">
        <f>J5+J3+J7+J9+J11</f>
        <v>19409929</v>
      </c>
      <c r="K13" s="212">
        <f>K5+K3+K7+K9+K11</f>
        <v>-8376199</v>
      </c>
      <c r="L13" s="236">
        <f>J13/I13</f>
        <v>0.69854745504663329</v>
      </c>
    </row>
    <row r="14" spans="1:12" ht="6.75" customHeight="1" x14ac:dyDescent="0.3">
      <c r="A14" s="207"/>
      <c r="B14" s="213"/>
      <c r="C14" s="213"/>
      <c r="D14" s="213"/>
      <c r="H14" s="232"/>
      <c r="I14" s="213"/>
      <c r="J14" s="213"/>
      <c r="K14" s="213"/>
      <c r="L14" s="237"/>
    </row>
    <row r="15" spans="1:12" ht="21.75" thickBot="1" x14ac:dyDescent="0.4">
      <c r="A15" s="41" t="s">
        <v>290</v>
      </c>
      <c r="B15" s="214">
        <f>'Fds Units'!V101</f>
        <v>11250000</v>
      </c>
      <c r="C15" s="214">
        <f>'Fds Units'!X101</f>
        <v>7019750</v>
      </c>
      <c r="D15" s="214">
        <f t="shared" si="0"/>
        <v>-4230250</v>
      </c>
      <c r="H15" s="233" t="s">
        <v>290</v>
      </c>
      <c r="I15" s="214">
        <f>B15+B32</f>
        <v>18750000</v>
      </c>
      <c r="J15" s="214">
        <f>C15+C32</f>
        <v>11344500</v>
      </c>
      <c r="K15" s="214">
        <f t="shared" ref="K15" si="5">J15-I15</f>
        <v>-7405500</v>
      </c>
      <c r="L15" s="238">
        <f>J15/I15</f>
        <v>0.60504000000000002</v>
      </c>
    </row>
    <row r="18" spans="1:4" ht="21" thickBot="1" x14ac:dyDescent="0.35">
      <c r="A18" s="35" t="s">
        <v>0</v>
      </c>
      <c r="B18" s="260" t="s">
        <v>539</v>
      </c>
      <c r="C18" s="260"/>
      <c r="D18" s="260"/>
    </row>
    <row r="19" spans="1:4" ht="21" thickBot="1" x14ac:dyDescent="0.35">
      <c r="A19" s="208" t="s">
        <v>134</v>
      </c>
      <c r="B19" s="209" t="s">
        <v>2600</v>
      </c>
      <c r="C19" s="215" t="s">
        <v>349</v>
      </c>
      <c r="D19" s="215" t="s">
        <v>651</v>
      </c>
    </row>
    <row r="20" spans="1:4" ht="21" x14ac:dyDescent="0.35">
      <c r="A20" s="41" t="s">
        <v>1</v>
      </c>
      <c r="B20" s="210">
        <f>'Fds Units'!Z3</f>
        <v>2289300</v>
      </c>
      <c r="C20" s="210">
        <f>'Fds Units'!AA3</f>
        <v>2171667</v>
      </c>
      <c r="D20" s="210">
        <f>C20-B20</f>
        <v>-117633</v>
      </c>
    </row>
    <row r="21" spans="1:4" ht="7.5" customHeight="1" x14ac:dyDescent="0.35">
      <c r="A21" s="206"/>
      <c r="B21" s="211"/>
      <c r="C21" s="211"/>
      <c r="D21" s="216"/>
    </row>
    <row r="22" spans="1:4" ht="21" x14ac:dyDescent="0.35">
      <c r="A22" s="41" t="s">
        <v>10</v>
      </c>
      <c r="B22" s="210">
        <f>'Fds Units'!Z18</f>
        <v>1399200</v>
      </c>
      <c r="C22" s="210">
        <f>'Fds Units'!AA18</f>
        <v>605400</v>
      </c>
      <c r="D22" s="210">
        <f t="shared" ref="D22" si="6">C22-B22</f>
        <v>-793800</v>
      </c>
    </row>
    <row r="23" spans="1:4" ht="7.5" customHeight="1" x14ac:dyDescent="0.35">
      <c r="A23" s="206"/>
      <c r="B23" s="211"/>
      <c r="C23" s="211"/>
      <c r="D23" s="216"/>
    </row>
    <row r="24" spans="1:4" ht="21" x14ac:dyDescent="0.35">
      <c r="A24" s="41" t="s">
        <v>15</v>
      </c>
      <c r="B24" s="210">
        <f>'Fds Units'!Z26</f>
        <v>5630280</v>
      </c>
      <c r="C24" s="210">
        <f>'Fds Units'!AA26</f>
        <v>3560100</v>
      </c>
      <c r="D24" s="210">
        <f t="shared" ref="D24" si="7">C24-B24</f>
        <v>-2070180</v>
      </c>
    </row>
    <row r="25" spans="1:4" ht="7.5" customHeight="1" x14ac:dyDescent="0.35">
      <c r="A25" s="206"/>
      <c r="B25" s="211"/>
      <c r="C25" s="211"/>
      <c r="D25" s="216"/>
    </row>
    <row r="26" spans="1:4" ht="21" x14ac:dyDescent="0.35">
      <c r="A26" s="41" t="s">
        <v>53</v>
      </c>
      <c r="B26" s="210">
        <f>'Fds Units'!Z76</f>
        <v>2206988</v>
      </c>
      <c r="C26" s="210">
        <f>'Fds Units'!AA76</f>
        <v>1636130</v>
      </c>
      <c r="D26" s="210">
        <f t="shared" ref="D26" si="8">C26-B26</f>
        <v>-570858</v>
      </c>
    </row>
    <row r="27" spans="1:4" ht="7.5" customHeight="1" x14ac:dyDescent="0.35">
      <c r="A27" s="206"/>
      <c r="B27" s="211"/>
      <c r="C27" s="211"/>
      <c r="D27" s="216"/>
    </row>
    <row r="28" spans="1:4" ht="21" x14ac:dyDescent="0.35">
      <c r="A28" s="41" t="s">
        <v>58</v>
      </c>
      <c r="B28" s="210">
        <f>'Fds Units'!Z82</f>
        <v>3712092</v>
      </c>
      <c r="C28" s="210">
        <f>'Fds Units'!AA82</f>
        <v>2597844</v>
      </c>
      <c r="D28" s="210">
        <f t="shared" ref="D28" si="9">C28-B28</f>
        <v>-1114248</v>
      </c>
    </row>
    <row r="29" spans="1:4" ht="7.5" customHeight="1" x14ac:dyDescent="0.35">
      <c r="A29" s="206"/>
      <c r="B29" s="211"/>
      <c r="C29" s="211"/>
      <c r="D29" s="216"/>
    </row>
    <row r="30" spans="1:4" ht="19.5" x14ac:dyDescent="0.3">
      <c r="A30" s="44" t="s">
        <v>67</v>
      </c>
      <c r="B30" s="212">
        <f>B22+B20+B24+B26+B28</f>
        <v>15237860</v>
      </c>
      <c r="C30" s="212">
        <f>C22+C20+C24+C26+C28</f>
        <v>10571141</v>
      </c>
      <c r="D30" s="212">
        <f>D22+D20+D24+D26+D28</f>
        <v>-4666719</v>
      </c>
    </row>
    <row r="31" spans="1:4" ht="7.5" customHeight="1" x14ac:dyDescent="0.3">
      <c r="A31" s="207"/>
      <c r="B31" s="213"/>
      <c r="C31" s="213"/>
      <c r="D31" s="213"/>
    </row>
    <row r="32" spans="1:4" ht="21.75" thickBot="1" x14ac:dyDescent="0.4">
      <c r="A32" s="41" t="s">
        <v>290</v>
      </c>
      <c r="B32" s="214">
        <f>'Fds Units'!Z101</f>
        <v>7500000</v>
      </c>
      <c r="C32" s="214">
        <f>'Fds Units'!AA101</f>
        <v>4324750</v>
      </c>
      <c r="D32" s="214">
        <f t="shared" ref="D32" si="10">C32-B32</f>
        <v>-3175250</v>
      </c>
    </row>
  </sheetData>
  <mergeCells count="3">
    <mergeCell ref="B1:D1"/>
    <mergeCell ref="B18:D18"/>
    <mergeCell ref="I1:K1"/>
  </mergeCells>
  <conditionalFormatting sqref="D3:D15">
    <cfRule type="cellIs" dxfId="14" priority="4" operator="lessThan">
      <formula>0</formula>
    </cfRule>
  </conditionalFormatting>
  <conditionalFormatting sqref="D20:D32">
    <cfRule type="cellIs" dxfId="13" priority="3" operator="lessThan">
      <formula>0</formula>
    </cfRule>
  </conditionalFormatting>
  <conditionalFormatting sqref="K3:L15">
    <cfRule type="cellIs" dxfId="12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3D71-7550-4C52-9926-C927C887AA80}">
  <dimension ref="A2:K47"/>
  <sheetViews>
    <sheetView workbookViewId="0">
      <selection activeCell="B24" sqref="B24"/>
    </sheetView>
  </sheetViews>
  <sheetFormatPr defaultRowHeight="15" x14ac:dyDescent="0.25"/>
  <cols>
    <col min="1" max="1" width="28.85546875" bestFit="1" customWidth="1"/>
    <col min="2" max="4" width="11.42578125" bestFit="1" customWidth="1"/>
    <col min="5" max="11" width="10.5703125" bestFit="1" customWidth="1"/>
  </cols>
  <sheetData>
    <row r="2" spans="1:11" x14ac:dyDescent="0.25">
      <c r="B2" s="263" t="s">
        <v>2590</v>
      </c>
      <c r="C2" s="263"/>
      <c r="D2" s="263"/>
      <c r="E2" s="263"/>
      <c r="F2" s="263"/>
      <c r="G2" s="263"/>
      <c r="H2" s="263"/>
      <c r="I2" s="263"/>
      <c r="J2" s="263"/>
      <c r="K2" s="263"/>
    </row>
    <row r="3" spans="1:11" ht="20.25" x14ac:dyDescent="0.3">
      <c r="A3" s="35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4" spans="1:11" ht="20.25" x14ac:dyDescent="0.3">
      <c r="A4" s="35" t="s">
        <v>134</v>
      </c>
      <c r="B4" s="37">
        <v>46112</v>
      </c>
      <c r="C4" s="37">
        <v>46142</v>
      </c>
      <c r="D4" s="37">
        <v>46173</v>
      </c>
      <c r="E4" s="37">
        <v>46203</v>
      </c>
      <c r="F4" s="37">
        <v>46234</v>
      </c>
      <c r="G4" s="37">
        <v>46265</v>
      </c>
      <c r="H4" s="37">
        <v>46295</v>
      </c>
      <c r="I4" s="37">
        <v>46326</v>
      </c>
      <c r="J4" s="37">
        <v>46356</v>
      </c>
      <c r="K4" s="37">
        <v>46387</v>
      </c>
    </row>
    <row r="5" spans="1:11" ht="21" x14ac:dyDescent="0.35">
      <c r="A5" s="41" t="s">
        <v>1</v>
      </c>
      <c r="B5" s="5">
        <f t="shared" ref="B5:K5" si="0">SUM(B6:B18)</f>
        <v>1730000</v>
      </c>
      <c r="C5" s="5">
        <f t="shared" si="0"/>
        <v>1753333</v>
      </c>
      <c r="D5" s="5">
        <f t="shared" si="0"/>
        <v>1448333</v>
      </c>
      <c r="E5" s="5">
        <f t="shared" si="0"/>
        <v>838333</v>
      </c>
      <c r="F5" s="5">
        <f t="shared" si="0"/>
        <v>1173333</v>
      </c>
      <c r="G5" s="5">
        <f t="shared" si="0"/>
        <v>733333</v>
      </c>
      <c r="H5" s="5">
        <f t="shared" si="0"/>
        <v>1153333</v>
      </c>
      <c r="I5" s="5">
        <f t="shared" si="0"/>
        <v>923333</v>
      </c>
      <c r="J5" s="5">
        <f t="shared" si="0"/>
        <v>1143333</v>
      </c>
      <c r="K5" s="5">
        <f t="shared" si="0"/>
        <v>418333</v>
      </c>
    </row>
    <row r="6" spans="1:11" x14ac:dyDescent="0.25">
      <c r="A6" s="28" t="s">
        <v>2</v>
      </c>
      <c r="B6" s="170">
        <v>1390000</v>
      </c>
      <c r="C6" s="170">
        <v>1315000</v>
      </c>
      <c r="D6" s="170">
        <v>1010000</v>
      </c>
      <c r="E6" s="170">
        <v>400000</v>
      </c>
      <c r="F6" s="170">
        <v>810000</v>
      </c>
      <c r="G6" s="170">
        <v>295000</v>
      </c>
      <c r="H6" s="170">
        <v>820000</v>
      </c>
      <c r="I6" s="170">
        <v>695000</v>
      </c>
      <c r="J6" s="170">
        <v>810000</v>
      </c>
      <c r="K6" s="170">
        <v>400000</v>
      </c>
    </row>
    <row r="7" spans="1:11" x14ac:dyDescent="0.25">
      <c r="A7" s="43" t="s">
        <v>2</v>
      </c>
      <c r="B7" s="170"/>
      <c r="C7" s="170"/>
      <c r="D7" s="170"/>
      <c r="E7" s="170"/>
      <c r="F7" s="170"/>
      <c r="G7" s="170"/>
      <c r="H7" s="170"/>
      <c r="I7" s="170"/>
      <c r="J7" s="170"/>
      <c r="K7" s="170"/>
    </row>
    <row r="8" spans="1:11" x14ac:dyDescent="0.25">
      <c r="A8" s="43" t="s">
        <v>2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</row>
    <row r="9" spans="1:11" x14ac:dyDescent="0.25">
      <c r="A9" s="43" t="s">
        <v>2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</row>
    <row r="10" spans="1:11" x14ac:dyDescent="0.25">
      <c r="A10" s="28" t="s">
        <v>1123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</row>
    <row r="11" spans="1:11" x14ac:dyDescent="0.25">
      <c r="A11" s="28" t="s">
        <v>3</v>
      </c>
      <c r="B11" s="168">
        <v>340000</v>
      </c>
      <c r="C11" s="168">
        <v>420000</v>
      </c>
      <c r="D11" s="168">
        <v>420000</v>
      </c>
      <c r="E11" s="168">
        <v>420000</v>
      </c>
      <c r="F11" s="168">
        <v>105000</v>
      </c>
      <c r="G11" s="168">
        <v>420000</v>
      </c>
      <c r="H11" s="168">
        <v>315000</v>
      </c>
      <c r="I11" s="168">
        <v>210000</v>
      </c>
      <c r="J11" s="168">
        <v>315000</v>
      </c>
      <c r="K11" s="168">
        <v>0</v>
      </c>
    </row>
    <row r="12" spans="1:11" x14ac:dyDescent="0.25">
      <c r="A12" s="28" t="s">
        <v>4</v>
      </c>
      <c r="B12" s="9"/>
      <c r="C12" s="9"/>
      <c r="D12" s="9"/>
      <c r="E12" s="9"/>
      <c r="F12" s="9">
        <v>240000</v>
      </c>
      <c r="G12" s="9"/>
      <c r="H12" s="9"/>
      <c r="I12" s="9"/>
      <c r="J12" s="9"/>
      <c r="K12" s="9"/>
    </row>
    <row r="13" spans="1:11" x14ac:dyDescent="0.25">
      <c r="A13" s="28" t="s">
        <v>5</v>
      </c>
      <c r="B13" s="66"/>
      <c r="C13" s="66">
        <v>18333</v>
      </c>
      <c r="D13" s="66">
        <v>18333</v>
      </c>
      <c r="E13" s="66">
        <v>18333</v>
      </c>
      <c r="F13" s="66">
        <v>18333</v>
      </c>
      <c r="G13" s="66">
        <v>18333</v>
      </c>
      <c r="H13" s="66">
        <v>18333</v>
      </c>
      <c r="I13" s="66">
        <v>18333</v>
      </c>
      <c r="J13" s="66">
        <v>18333</v>
      </c>
      <c r="K13" s="66">
        <v>18333</v>
      </c>
    </row>
    <row r="14" spans="1:11" x14ac:dyDescent="0.25">
      <c r="A14" s="28" t="s">
        <v>6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5">
      <c r="A15" s="28" t="s">
        <v>7</v>
      </c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5">
      <c r="A16" s="28" t="s">
        <v>843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5">
      <c r="A17" s="28" t="s">
        <v>8</v>
      </c>
      <c r="B17" s="9"/>
      <c r="C17" s="9"/>
      <c r="D17" s="9"/>
      <c r="E17" s="9"/>
      <c r="F17" s="9"/>
      <c r="G17" s="129"/>
      <c r="H17" s="9"/>
      <c r="I17" s="9"/>
      <c r="J17" s="9"/>
      <c r="K17" s="9"/>
    </row>
    <row r="18" spans="1:11" x14ac:dyDescent="0.25">
      <c r="A18" s="28" t="s">
        <v>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ht="21" x14ac:dyDescent="0.35">
      <c r="A19" s="41" t="s">
        <v>10</v>
      </c>
      <c r="B19" s="5">
        <f t="shared" ref="B19:F19" si="1">SUM(B20:B25)</f>
        <v>408000</v>
      </c>
      <c r="C19" s="5">
        <f t="shared" si="1"/>
        <v>1288704</v>
      </c>
      <c r="D19" s="5">
        <f t="shared" si="1"/>
        <v>1288704</v>
      </c>
      <c r="E19" s="5">
        <f t="shared" si="1"/>
        <v>1288704</v>
      </c>
      <c r="F19" s="5">
        <f t="shared" si="1"/>
        <v>1089504</v>
      </c>
      <c r="G19" s="5">
        <f t="shared" ref="G19:K19" si="2">SUM(G20:G25)</f>
        <v>1089504</v>
      </c>
      <c r="H19" s="5">
        <f t="shared" si="2"/>
        <v>1077504</v>
      </c>
      <c r="I19" s="5">
        <f t="shared" si="2"/>
        <v>1216320</v>
      </c>
      <c r="J19" s="5">
        <f t="shared" si="2"/>
        <v>1163520</v>
      </c>
      <c r="K19" s="5">
        <f t="shared" si="2"/>
        <v>1163520</v>
      </c>
    </row>
    <row r="20" spans="1:11" x14ac:dyDescent="0.25">
      <c r="A20" s="28" t="s">
        <v>11</v>
      </c>
      <c r="B20" s="117"/>
      <c r="C20" s="66">
        <v>403200</v>
      </c>
      <c r="D20" s="66">
        <v>403200</v>
      </c>
      <c r="E20" s="66">
        <v>403200</v>
      </c>
      <c r="F20" s="66">
        <v>288000</v>
      </c>
      <c r="G20" s="66">
        <v>288000</v>
      </c>
      <c r="H20" s="66">
        <v>288000</v>
      </c>
      <c r="I20" s="66">
        <v>374400</v>
      </c>
      <c r="J20" s="66">
        <v>345600</v>
      </c>
      <c r="K20" s="66">
        <v>345600</v>
      </c>
    </row>
    <row r="21" spans="1:11" x14ac:dyDescent="0.25">
      <c r="A21" s="28" t="s">
        <v>12</v>
      </c>
      <c r="B21" s="117">
        <v>408000</v>
      </c>
      <c r="C21" s="66">
        <v>420000</v>
      </c>
      <c r="D21" s="66">
        <v>420000</v>
      </c>
      <c r="E21" s="66">
        <v>420000</v>
      </c>
      <c r="F21" s="66">
        <v>420000</v>
      </c>
      <c r="G21" s="66">
        <v>420000</v>
      </c>
      <c r="H21" s="66">
        <v>420000</v>
      </c>
      <c r="I21" s="66">
        <v>420000</v>
      </c>
      <c r="J21" s="66">
        <v>420000</v>
      </c>
      <c r="K21" s="66">
        <v>420000</v>
      </c>
    </row>
    <row r="22" spans="1:11" x14ac:dyDescent="0.25">
      <c r="A22" s="28" t="s">
        <v>12</v>
      </c>
      <c r="B22" s="117"/>
      <c r="C22" s="66"/>
      <c r="D22" s="66"/>
      <c r="E22" s="66"/>
      <c r="F22" s="66"/>
      <c r="G22" s="66"/>
      <c r="H22" s="66"/>
      <c r="I22" s="66"/>
      <c r="J22" s="66"/>
      <c r="K22" s="66"/>
    </row>
    <row r="23" spans="1:11" x14ac:dyDescent="0.25">
      <c r="A23" s="28" t="s">
        <v>13</v>
      </c>
      <c r="B23" s="117"/>
      <c r="C23" s="66">
        <v>348000</v>
      </c>
      <c r="D23" s="66">
        <v>348000</v>
      </c>
      <c r="E23" s="66">
        <v>348000</v>
      </c>
      <c r="F23" s="66">
        <v>264000</v>
      </c>
      <c r="G23" s="66">
        <v>264000</v>
      </c>
      <c r="H23" s="66">
        <v>252000</v>
      </c>
      <c r="I23" s="66">
        <v>324000</v>
      </c>
      <c r="J23" s="66">
        <v>300000</v>
      </c>
      <c r="K23" s="66">
        <v>300000</v>
      </c>
    </row>
    <row r="24" spans="1:11" x14ac:dyDescent="0.25">
      <c r="A24" s="28" t="s">
        <v>13</v>
      </c>
      <c r="B24" s="117"/>
      <c r="C24" s="66"/>
      <c r="D24" s="66"/>
      <c r="E24" s="66"/>
      <c r="F24" s="66"/>
      <c r="G24" s="66"/>
      <c r="H24" s="66"/>
      <c r="I24" s="66"/>
      <c r="J24" s="66"/>
      <c r="K24" s="66"/>
    </row>
    <row r="25" spans="1:11" x14ac:dyDescent="0.25">
      <c r="A25" s="28" t="s">
        <v>14</v>
      </c>
      <c r="B25" s="117"/>
      <c r="C25" s="66">
        <v>117504</v>
      </c>
      <c r="D25" s="66">
        <v>117504</v>
      </c>
      <c r="E25" s="66">
        <v>117504</v>
      </c>
      <c r="F25" s="66">
        <v>117504</v>
      </c>
      <c r="G25" s="66">
        <v>117504</v>
      </c>
      <c r="H25" s="66">
        <v>117504</v>
      </c>
      <c r="I25" s="66">
        <v>97920</v>
      </c>
      <c r="J25" s="66">
        <v>97920</v>
      </c>
      <c r="K25" s="66">
        <v>97920</v>
      </c>
    </row>
    <row r="26" spans="1:11" ht="21" x14ac:dyDescent="0.35">
      <c r="A26" s="41" t="s">
        <v>15</v>
      </c>
      <c r="B26" s="89">
        <v>3323076</v>
      </c>
      <c r="C26" s="89">
        <v>3434040</v>
      </c>
      <c r="D26" s="89">
        <v>3630060</v>
      </c>
      <c r="E26" s="89">
        <v>2732040</v>
      </c>
      <c r="F26" s="89">
        <v>4430076</v>
      </c>
      <c r="G26" s="89">
        <v>2460024</v>
      </c>
      <c r="H26" s="89">
        <v>2595048</v>
      </c>
      <c r="I26" s="89">
        <v>3423048</v>
      </c>
      <c r="J26" s="89">
        <v>2498040</v>
      </c>
      <c r="K26" s="89">
        <v>2098068</v>
      </c>
    </row>
    <row r="27" spans="1:11" ht="21" x14ac:dyDescent="0.35">
      <c r="A27" s="41" t="s">
        <v>53</v>
      </c>
      <c r="B27" s="14">
        <f t="shared" ref="B27:K27" si="3">+SUM(B28:B31)</f>
        <v>2098020</v>
      </c>
      <c r="C27" s="14">
        <f t="shared" si="3"/>
        <v>2559000</v>
      </c>
      <c r="D27" s="14">
        <f t="shared" si="3"/>
        <v>2580012</v>
      </c>
      <c r="E27" s="14">
        <f t="shared" si="3"/>
        <v>2032008</v>
      </c>
      <c r="F27" s="14">
        <f t="shared" si="3"/>
        <v>3255012</v>
      </c>
      <c r="G27" s="14">
        <f t="shared" si="3"/>
        <v>2110008</v>
      </c>
      <c r="H27" s="14">
        <f t="shared" si="3"/>
        <v>1720008</v>
      </c>
      <c r="I27" s="14">
        <f t="shared" si="3"/>
        <v>2548008</v>
      </c>
      <c r="J27" s="14">
        <f t="shared" si="3"/>
        <v>1798008</v>
      </c>
      <c r="K27" s="14">
        <f t="shared" si="3"/>
        <v>1098012</v>
      </c>
    </row>
    <row r="28" spans="1:11" x14ac:dyDescent="0.25">
      <c r="A28" s="28" t="s">
        <v>54</v>
      </c>
      <c r="B28" s="66">
        <v>0</v>
      </c>
      <c r="C28" s="66">
        <v>375000</v>
      </c>
      <c r="D28" s="66">
        <v>0</v>
      </c>
      <c r="E28" s="66">
        <v>0</v>
      </c>
      <c r="F28" s="66">
        <v>675000</v>
      </c>
      <c r="G28" s="66">
        <v>0</v>
      </c>
      <c r="H28" s="66">
        <v>0</v>
      </c>
      <c r="I28" s="66">
        <v>750000</v>
      </c>
      <c r="J28" s="66">
        <v>0</v>
      </c>
      <c r="K28" s="66">
        <v>0</v>
      </c>
    </row>
    <row r="29" spans="1:11" x14ac:dyDescent="0.25">
      <c r="A29" s="28" t="s">
        <v>55</v>
      </c>
      <c r="B29" s="66">
        <v>460020</v>
      </c>
      <c r="C29" s="66">
        <v>0</v>
      </c>
      <c r="D29" s="66">
        <v>240012</v>
      </c>
      <c r="E29" s="66">
        <v>160008</v>
      </c>
      <c r="F29" s="66">
        <v>240012</v>
      </c>
      <c r="G29" s="66">
        <v>160008</v>
      </c>
      <c r="H29" s="66">
        <v>160008</v>
      </c>
      <c r="I29" s="66">
        <v>160008</v>
      </c>
      <c r="J29" s="66">
        <v>160008</v>
      </c>
      <c r="K29" s="66">
        <v>240012</v>
      </c>
    </row>
    <row r="30" spans="1:11" x14ac:dyDescent="0.25">
      <c r="A30" s="28" t="s">
        <v>56</v>
      </c>
      <c r="B30" s="66">
        <v>1638000</v>
      </c>
      <c r="C30" s="66">
        <v>2184000</v>
      </c>
      <c r="D30" s="66">
        <v>2340000</v>
      </c>
      <c r="E30" s="66">
        <v>1872000</v>
      </c>
      <c r="F30" s="66">
        <v>2340000</v>
      </c>
      <c r="G30" s="66">
        <v>1950000</v>
      </c>
      <c r="H30" s="66">
        <v>1560000</v>
      </c>
      <c r="I30" s="66">
        <v>1638000</v>
      </c>
      <c r="J30" s="66">
        <v>1638000</v>
      </c>
      <c r="K30" s="66">
        <v>858000</v>
      </c>
    </row>
    <row r="31" spans="1:11" x14ac:dyDescent="0.25">
      <c r="A31" s="28" t="s">
        <v>57</v>
      </c>
    </row>
    <row r="32" spans="1:11" x14ac:dyDescent="0.25">
      <c r="A32" s="28"/>
    </row>
    <row r="33" spans="1:11" ht="21" x14ac:dyDescent="0.35">
      <c r="A33" s="41" t="s">
        <v>58</v>
      </c>
      <c r="B33" s="14">
        <f t="shared" ref="B33:F33" si="4">SUM(B34:B47)</f>
        <v>2925072</v>
      </c>
      <c r="C33" s="14">
        <f t="shared" si="4"/>
        <v>2985060</v>
      </c>
      <c r="D33" s="14">
        <f t="shared" si="4"/>
        <v>2719630</v>
      </c>
      <c r="E33" s="14">
        <f t="shared" si="4"/>
        <v>2400048</v>
      </c>
      <c r="F33" s="14">
        <f t="shared" si="4"/>
        <v>2175076</v>
      </c>
      <c r="G33" s="14">
        <f t="shared" ref="G33:K33" si="5">SUM(G34:G47)</f>
        <v>2736120</v>
      </c>
      <c r="H33" s="14">
        <f t="shared" si="5"/>
        <v>1275048</v>
      </c>
      <c r="I33" s="14">
        <f t="shared" si="5"/>
        <v>3061048</v>
      </c>
      <c r="J33" s="14">
        <f t="shared" si="5"/>
        <v>2218044</v>
      </c>
      <c r="K33" s="14">
        <f t="shared" si="5"/>
        <v>2016072</v>
      </c>
    </row>
    <row r="34" spans="1:11" x14ac:dyDescent="0.25">
      <c r="A34" s="28" t="s">
        <v>152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</row>
    <row r="35" spans="1:11" x14ac:dyDescent="0.25">
      <c r="A35" s="28" t="s">
        <v>59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</row>
    <row r="36" spans="1:11" x14ac:dyDescent="0.25">
      <c r="A36" s="28" t="s">
        <v>60</v>
      </c>
      <c r="B36" s="168">
        <v>360000</v>
      </c>
      <c r="C36" s="168">
        <v>810000</v>
      </c>
      <c r="D36" s="168">
        <v>0</v>
      </c>
      <c r="E36" s="168">
        <v>0</v>
      </c>
      <c r="F36" s="168">
        <v>0</v>
      </c>
      <c r="G36" s="168">
        <v>720000</v>
      </c>
      <c r="H36" s="168">
        <v>0</v>
      </c>
      <c r="I36" s="168">
        <v>0</v>
      </c>
      <c r="J36" s="168">
        <v>810000</v>
      </c>
      <c r="K36" s="168">
        <v>0</v>
      </c>
    </row>
    <row r="37" spans="1:11" x14ac:dyDescent="0.25">
      <c r="A37" s="28" t="s">
        <v>61</v>
      </c>
      <c r="B37" s="168">
        <v>0</v>
      </c>
      <c r="C37" s="168">
        <v>0</v>
      </c>
      <c r="D37" s="168">
        <v>200064</v>
      </c>
      <c r="E37" s="168">
        <v>0</v>
      </c>
      <c r="F37" s="168">
        <v>0</v>
      </c>
      <c r="G37" s="168">
        <v>250080</v>
      </c>
      <c r="H37" s="168">
        <v>0</v>
      </c>
      <c r="I37" s="168">
        <v>0</v>
      </c>
      <c r="J37" s="168">
        <v>0</v>
      </c>
      <c r="K37" s="168">
        <v>0</v>
      </c>
    </row>
    <row r="38" spans="1:11" x14ac:dyDescent="0.25">
      <c r="A38" s="28" t="s">
        <v>1007</v>
      </c>
      <c r="B38" s="168">
        <v>0</v>
      </c>
      <c r="C38" s="168">
        <v>0</v>
      </c>
      <c r="D38" s="168">
        <v>0</v>
      </c>
      <c r="E38" s="168">
        <v>0</v>
      </c>
      <c r="F38" s="168">
        <v>300024</v>
      </c>
      <c r="G38" s="168">
        <v>0</v>
      </c>
      <c r="H38" s="168">
        <v>0</v>
      </c>
      <c r="I38" s="168">
        <v>0</v>
      </c>
      <c r="J38" s="168">
        <v>0</v>
      </c>
      <c r="K38" s="168">
        <v>300024</v>
      </c>
    </row>
    <row r="39" spans="1:11" x14ac:dyDescent="0.25">
      <c r="A39" s="28" t="s">
        <v>1008</v>
      </c>
      <c r="B39" s="168">
        <v>0</v>
      </c>
      <c r="C39" s="168">
        <v>0</v>
      </c>
      <c r="D39" s="168">
        <v>237502</v>
      </c>
      <c r="E39" s="168">
        <v>0</v>
      </c>
      <c r="F39" s="168">
        <v>0</v>
      </c>
      <c r="G39" s="168">
        <v>0</v>
      </c>
      <c r="H39" s="168">
        <v>0</v>
      </c>
      <c r="I39" s="168">
        <v>270000</v>
      </c>
      <c r="J39" s="168">
        <v>0</v>
      </c>
      <c r="K39" s="168">
        <v>0</v>
      </c>
    </row>
    <row r="40" spans="1:11" x14ac:dyDescent="0.25">
      <c r="A40" s="28" t="s">
        <v>822</v>
      </c>
      <c r="B40" s="168">
        <v>0</v>
      </c>
      <c r="C40" s="168">
        <v>300000</v>
      </c>
      <c r="D40" s="168">
        <v>0</v>
      </c>
      <c r="E40" s="168">
        <v>0</v>
      </c>
      <c r="F40" s="168">
        <v>400000</v>
      </c>
      <c r="G40" s="168">
        <v>0</v>
      </c>
      <c r="H40" s="168">
        <v>0</v>
      </c>
      <c r="I40" s="168">
        <v>400000</v>
      </c>
      <c r="J40" s="168">
        <v>0</v>
      </c>
      <c r="K40" s="168">
        <v>0</v>
      </c>
    </row>
    <row r="41" spans="1:11" x14ac:dyDescent="0.25">
      <c r="A41" s="28" t="s">
        <v>62</v>
      </c>
      <c r="B41" s="168">
        <v>0</v>
      </c>
      <c r="C41" s="168">
        <v>0</v>
      </c>
      <c r="D41" s="168">
        <v>0</v>
      </c>
      <c r="E41" s="168">
        <v>900000</v>
      </c>
      <c r="F41" s="168">
        <v>0</v>
      </c>
      <c r="G41" s="168">
        <v>0</v>
      </c>
      <c r="H41" s="168">
        <v>0</v>
      </c>
      <c r="I41" s="168">
        <v>900000</v>
      </c>
      <c r="J41" s="168">
        <v>0</v>
      </c>
      <c r="K41" s="168">
        <v>0</v>
      </c>
    </row>
    <row r="42" spans="1:11" x14ac:dyDescent="0.25">
      <c r="A42" s="28" t="s">
        <v>63</v>
      </c>
      <c r="B42" s="168"/>
      <c r="C42" s="168"/>
      <c r="D42" s="168"/>
      <c r="E42" s="168"/>
      <c r="F42" s="168"/>
      <c r="G42" s="168"/>
      <c r="H42" s="168"/>
      <c r="I42" s="168"/>
      <c r="J42" s="168"/>
      <c r="K42" s="168"/>
    </row>
    <row r="43" spans="1:11" x14ac:dyDescent="0.25">
      <c r="A43" s="28" t="s">
        <v>64</v>
      </c>
      <c r="B43" s="168">
        <v>800016</v>
      </c>
      <c r="C43" s="168">
        <v>1000020</v>
      </c>
      <c r="D43" s="168">
        <v>800016</v>
      </c>
      <c r="E43" s="168">
        <v>800016</v>
      </c>
      <c r="F43" s="168">
        <v>600012</v>
      </c>
      <c r="G43" s="168">
        <v>1200024</v>
      </c>
      <c r="H43" s="168">
        <v>400008</v>
      </c>
      <c r="I43" s="168">
        <v>400008</v>
      </c>
      <c r="J43" s="168">
        <v>600012</v>
      </c>
      <c r="K43" s="168">
        <v>800016</v>
      </c>
    </row>
    <row r="44" spans="1:11" x14ac:dyDescent="0.25">
      <c r="A44" s="28" t="s">
        <v>65</v>
      </c>
      <c r="B44" s="168">
        <v>1225056</v>
      </c>
      <c r="C44" s="168">
        <v>875040</v>
      </c>
      <c r="D44" s="168">
        <v>1050048</v>
      </c>
      <c r="E44" s="168">
        <v>700032</v>
      </c>
      <c r="F44" s="168">
        <v>875040</v>
      </c>
      <c r="G44" s="168">
        <v>350016</v>
      </c>
      <c r="H44" s="168">
        <v>875040</v>
      </c>
      <c r="I44" s="168">
        <v>875040</v>
      </c>
      <c r="J44" s="168">
        <v>700032</v>
      </c>
      <c r="K44" s="168">
        <v>700032</v>
      </c>
    </row>
    <row r="45" spans="1:11" x14ac:dyDescent="0.25">
      <c r="A45" s="28" t="s">
        <v>1006</v>
      </c>
      <c r="B45" s="168"/>
      <c r="C45" s="168"/>
      <c r="D45" s="168"/>
      <c r="E45" s="168"/>
      <c r="F45" s="168"/>
      <c r="G45" s="168"/>
      <c r="H45" s="168"/>
      <c r="I45" s="168"/>
      <c r="J45" s="168"/>
      <c r="K45" s="168"/>
    </row>
    <row r="46" spans="1:11" x14ac:dyDescent="0.25">
      <c r="A46" s="28" t="s">
        <v>1005</v>
      </c>
      <c r="B46" s="168"/>
      <c r="C46" s="168"/>
      <c r="D46" s="168"/>
      <c r="E46" s="168"/>
      <c r="F46" s="168"/>
      <c r="G46" s="168"/>
      <c r="H46" s="168"/>
      <c r="I46" s="168"/>
      <c r="J46" s="168"/>
      <c r="K46" s="168"/>
    </row>
    <row r="47" spans="1:11" x14ac:dyDescent="0.25">
      <c r="A47" s="28" t="s">
        <v>66</v>
      </c>
      <c r="B47" s="66">
        <v>540000</v>
      </c>
      <c r="C47" s="66">
        <v>0</v>
      </c>
      <c r="D47" s="66">
        <v>432000</v>
      </c>
      <c r="E47" s="66">
        <v>0</v>
      </c>
      <c r="F47" s="66">
        <v>0</v>
      </c>
      <c r="G47" s="66">
        <v>216000</v>
      </c>
      <c r="H47" s="66">
        <v>0</v>
      </c>
      <c r="I47" s="66">
        <v>216000</v>
      </c>
      <c r="J47" s="66">
        <v>108000</v>
      </c>
      <c r="K47" s="66">
        <v>216000</v>
      </c>
    </row>
  </sheetData>
  <mergeCells count="1">
    <mergeCell ref="B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9B25-B9BF-417F-AAC8-6891813B5C14}">
  <dimension ref="A1:P98"/>
  <sheetViews>
    <sheetView workbookViewId="0">
      <pane ySplit="1" topLeftCell="A10" activePane="bottomLeft" state="frozen"/>
      <selection pane="bottomLeft" activeCell="D16" sqref="D16"/>
    </sheetView>
  </sheetViews>
  <sheetFormatPr defaultRowHeight="15" x14ac:dyDescent="0.25"/>
  <cols>
    <col min="1" max="1" width="42.42578125" bestFit="1" customWidth="1"/>
    <col min="2" max="7" width="16" bestFit="1" customWidth="1"/>
    <col min="8" max="8" width="14.5703125" bestFit="1" customWidth="1"/>
    <col min="9" max="9" width="16" bestFit="1" customWidth="1"/>
    <col min="10" max="11" width="14.5703125" bestFit="1" customWidth="1"/>
    <col min="12" max="12" width="11.5703125" bestFit="1" customWidth="1"/>
    <col min="13" max="13" width="12.5703125" bestFit="1" customWidth="1"/>
    <col min="14" max="14" width="12.85546875" customWidth="1"/>
    <col min="16" max="16" width="12.5703125" bestFit="1" customWidth="1"/>
  </cols>
  <sheetData>
    <row r="1" spans="1:11" ht="20.25" x14ac:dyDescent="0.3">
      <c r="A1" s="35" t="s">
        <v>134</v>
      </c>
      <c r="B1" s="36">
        <v>46112</v>
      </c>
      <c r="C1" s="36">
        <v>46142</v>
      </c>
      <c r="D1" s="36">
        <v>46173</v>
      </c>
      <c r="E1" s="36">
        <v>46203</v>
      </c>
      <c r="F1" s="36">
        <v>46234</v>
      </c>
      <c r="G1" s="36">
        <v>46265</v>
      </c>
      <c r="H1" s="36">
        <v>46295</v>
      </c>
      <c r="I1" s="36">
        <v>46326</v>
      </c>
      <c r="J1" s="36">
        <v>46356</v>
      </c>
      <c r="K1" s="36">
        <v>46387</v>
      </c>
    </row>
    <row r="2" spans="1:11" ht="21" x14ac:dyDescent="0.35">
      <c r="A2" s="41" t="s">
        <v>1</v>
      </c>
      <c r="B2" s="5">
        <f t="shared" ref="B2:K2" si="0">SUM(B3:B15)</f>
        <v>1730000</v>
      </c>
      <c r="C2" s="5">
        <f t="shared" si="0"/>
        <v>1753333</v>
      </c>
      <c r="D2" s="5">
        <f t="shared" si="0"/>
        <v>1448333</v>
      </c>
      <c r="E2" s="5">
        <f t="shared" si="0"/>
        <v>838333</v>
      </c>
      <c r="F2" s="5">
        <f t="shared" si="0"/>
        <v>1173333</v>
      </c>
      <c r="G2" s="5">
        <f t="shared" si="0"/>
        <v>733333</v>
      </c>
      <c r="H2" s="5">
        <f t="shared" si="0"/>
        <v>1153333</v>
      </c>
      <c r="I2" s="5">
        <f t="shared" si="0"/>
        <v>923333</v>
      </c>
      <c r="J2" s="5">
        <f t="shared" si="0"/>
        <v>1143333</v>
      </c>
      <c r="K2" s="5">
        <f t="shared" si="0"/>
        <v>418333</v>
      </c>
    </row>
    <row r="3" spans="1:11" x14ac:dyDescent="0.25">
      <c r="A3" s="181" t="s">
        <v>2</v>
      </c>
      <c r="B3" s="170">
        <v>1390000</v>
      </c>
      <c r="C3" s="170">
        <v>1315000</v>
      </c>
      <c r="D3" s="170">
        <v>1010000</v>
      </c>
      <c r="E3" s="170">
        <v>400000</v>
      </c>
      <c r="F3" s="170">
        <v>810000</v>
      </c>
      <c r="G3" s="170">
        <v>295000</v>
      </c>
      <c r="H3" s="170">
        <v>820000</v>
      </c>
      <c r="I3" s="170">
        <v>695000</v>
      </c>
      <c r="J3" s="170">
        <v>810000</v>
      </c>
      <c r="K3" s="170">
        <v>400000</v>
      </c>
    </row>
    <row r="4" spans="1:11" x14ac:dyDescent="0.25">
      <c r="A4" s="43" t="s">
        <v>2</v>
      </c>
      <c r="B4" s="170"/>
      <c r="C4" s="170"/>
      <c r="D4" s="170"/>
      <c r="E4" s="170"/>
      <c r="F4" s="170"/>
      <c r="G4" s="170"/>
      <c r="H4" s="170"/>
      <c r="I4" s="170"/>
      <c r="J4" s="170"/>
      <c r="K4" s="170"/>
    </row>
    <row r="5" spans="1:11" x14ac:dyDescent="0.25">
      <c r="A5" s="43" t="s">
        <v>2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</row>
    <row r="6" spans="1:11" x14ac:dyDescent="0.25">
      <c r="A6" s="43" t="s">
        <v>2</v>
      </c>
      <c r="B6" s="170"/>
      <c r="C6" s="170"/>
      <c r="D6" s="170"/>
      <c r="E6" s="170"/>
      <c r="F6" s="170"/>
      <c r="G6" s="170"/>
      <c r="H6" s="170"/>
      <c r="I6" s="170"/>
      <c r="J6" s="170"/>
      <c r="K6" s="170"/>
    </row>
    <row r="7" spans="1:11" x14ac:dyDescent="0.25">
      <c r="A7" s="28" t="s">
        <v>1123</v>
      </c>
      <c r="B7" s="170"/>
      <c r="C7" s="170"/>
      <c r="D7" s="170"/>
      <c r="E7" s="170"/>
      <c r="F7" s="170"/>
      <c r="G7" s="170"/>
      <c r="H7" s="170"/>
      <c r="I7" s="170"/>
      <c r="J7" s="170"/>
      <c r="K7" s="170"/>
    </row>
    <row r="8" spans="1:11" x14ac:dyDescent="0.25">
      <c r="A8" s="181" t="s">
        <v>3</v>
      </c>
      <c r="B8" s="168">
        <v>340000</v>
      </c>
      <c r="C8" s="168">
        <v>420000</v>
      </c>
      <c r="D8" s="168">
        <v>420000</v>
      </c>
      <c r="E8" s="168">
        <v>420000</v>
      </c>
      <c r="F8" s="168">
        <v>105000</v>
      </c>
      <c r="G8" s="168">
        <v>420000</v>
      </c>
      <c r="H8" s="168">
        <v>315000</v>
      </c>
      <c r="I8" s="168">
        <v>210000</v>
      </c>
      <c r="J8" s="168">
        <v>315000</v>
      </c>
      <c r="K8" s="168">
        <v>0</v>
      </c>
    </row>
    <row r="9" spans="1:11" x14ac:dyDescent="0.25">
      <c r="A9" s="28" t="s">
        <v>4</v>
      </c>
      <c r="B9" s="9"/>
      <c r="C9" s="9"/>
      <c r="D9" s="9"/>
      <c r="E9" s="9"/>
      <c r="F9" s="9">
        <v>240000</v>
      </c>
      <c r="G9" s="9"/>
      <c r="H9" s="9"/>
      <c r="I9" s="9"/>
      <c r="J9" s="9"/>
      <c r="K9" s="9"/>
    </row>
    <row r="10" spans="1:11" x14ac:dyDescent="0.25">
      <c r="A10" s="181" t="s">
        <v>5</v>
      </c>
      <c r="B10" s="66"/>
      <c r="C10" s="66">
        <v>18333</v>
      </c>
      <c r="D10" s="66">
        <v>18333</v>
      </c>
      <c r="E10" s="66">
        <v>18333</v>
      </c>
      <c r="F10" s="66">
        <v>18333</v>
      </c>
      <c r="G10" s="66">
        <v>18333</v>
      </c>
      <c r="H10" s="66">
        <v>18333</v>
      </c>
      <c r="I10" s="66">
        <v>18333</v>
      </c>
      <c r="J10" s="66">
        <v>18333</v>
      </c>
      <c r="K10" s="66">
        <v>18333</v>
      </c>
    </row>
    <row r="11" spans="1:11" x14ac:dyDescent="0.25">
      <c r="A11" s="28" t="s">
        <v>6</v>
      </c>
    </row>
    <row r="12" spans="1:11" x14ac:dyDescent="0.25">
      <c r="A12" s="28" t="s">
        <v>7</v>
      </c>
    </row>
    <row r="13" spans="1:11" x14ac:dyDescent="0.25">
      <c r="A13" s="28" t="s">
        <v>843</v>
      </c>
    </row>
    <row r="14" spans="1:11" x14ac:dyDescent="0.25">
      <c r="A14" s="28" t="s">
        <v>8</v>
      </c>
    </row>
    <row r="15" spans="1:11" x14ac:dyDescent="0.25">
      <c r="A15" s="28" t="s">
        <v>9</v>
      </c>
    </row>
    <row r="16" spans="1:11" x14ac:dyDescent="0.25">
      <c r="A16" s="28"/>
    </row>
    <row r="17" spans="1:11" ht="21" x14ac:dyDescent="0.35">
      <c r="A17" s="41" t="s">
        <v>10</v>
      </c>
      <c r="B17" s="5">
        <v>408000</v>
      </c>
      <c r="C17" s="5">
        <v>1288704</v>
      </c>
      <c r="D17" s="5">
        <v>1288704</v>
      </c>
      <c r="E17" s="5">
        <v>1288704</v>
      </c>
      <c r="F17" s="5">
        <v>1089504</v>
      </c>
      <c r="G17" s="5">
        <v>1089504</v>
      </c>
      <c r="H17" s="5">
        <v>1077504</v>
      </c>
      <c r="I17" s="5">
        <v>1216320</v>
      </c>
      <c r="J17" s="5">
        <v>1163520</v>
      </c>
      <c r="K17" s="5">
        <v>1163520</v>
      </c>
    </row>
    <row r="18" spans="1:11" x14ac:dyDescent="0.25">
      <c r="A18" s="28" t="s">
        <v>11</v>
      </c>
      <c r="B18" s="170"/>
      <c r="C18" s="170">
        <v>403200</v>
      </c>
      <c r="D18" s="170">
        <v>403200</v>
      </c>
      <c r="E18" s="170">
        <v>403200</v>
      </c>
      <c r="F18" s="170">
        <v>288000</v>
      </c>
      <c r="G18" s="170">
        <v>288000</v>
      </c>
      <c r="H18" s="170">
        <v>288000</v>
      </c>
      <c r="I18" s="170">
        <v>374400</v>
      </c>
      <c r="J18" s="170">
        <v>345600</v>
      </c>
      <c r="K18" s="170">
        <v>345600</v>
      </c>
    </row>
    <row r="19" spans="1:11" x14ac:dyDescent="0.25">
      <c r="A19" s="28" t="s">
        <v>12</v>
      </c>
      <c r="B19" s="170">
        <v>408000</v>
      </c>
      <c r="C19" s="170">
        <v>420000</v>
      </c>
      <c r="D19" s="170">
        <v>420000</v>
      </c>
      <c r="E19" s="170">
        <v>420000</v>
      </c>
      <c r="F19" s="170">
        <v>420000</v>
      </c>
      <c r="G19" s="170">
        <v>420000</v>
      </c>
      <c r="H19" s="170">
        <v>420000</v>
      </c>
      <c r="I19" s="170">
        <v>420000</v>
      </c>
      <c r="J19" s="170">
        <v>420000</v>
      </c>
      <c r="K19" s="170">
        <v>420000</v>
      </c>
    </row>
    <row r="20" spans="1:11" x14ac:dyDescent="0.25">
      <c r="A20" s="28" t="s">
        <v>12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</row>
    <row r="21" spans="1:11" x14ac:dyDescent="0.25">
      <c r="A21" s="28" t="s">
        <v>13</v>
      </c>
      <c r="B21" s="170"/>
      <c r="C21" s="170">
        <v>348000</v>
      </c>
      <c r="D21" s="170">
        <v>348000</v>
      </c>
      <c r="E21" s="170">
        <v>348000</v>
      </c>
      <c r="F21" s="170">
        <v>264000</v>
      </c>
      <c r="G21" s="170">
        <v>264000</v>
      </c>
      <c r="H21" s="170">
        <v>252000</v>
      </c>
      <c r="I21" s="170">
        <v>324000</v>
      </c>
      <c r="J21" s="170">
        <v>300000</v>
      </c>
      <c r="K21" s="170">
        <v>300000</v>
      </c>
    </row>
    <row r="22" spans="1:11" x14ac:dyDescent="0.25">
      <c r="A22" s="28" t="s">
        <v>13</v>
      </c>
      <c r="B22" s="170"/>
      <c r="C22" s="170"/>
      <c r="D22" s="170"/>
      <c r="E22" s="170"/>
      <c r="F22" s="170"/>
      <c r="G22" s="170"/>
      <c r="H22" s="170"/>
      <c r="I22" s="170"/>
      <c r="J22" s="170"/>
      <c r="K22" s="170"/>
    </row>
    <row r="23" spans="1:11" x14ac:dyDescent="0.25">
      <c r="A23" s="28" t="s">
        <v>14</v>
      </c>
      <c r="B23" s="168"/>
      <c r="C23" s="168">
        <v>117504</v>
      </c>
      <c r="D23" s="168">
        <v>117504</v>
      </c>
      <c r="E23" s="168">
        <v>117504</v>
      </c>
      <c r="F23" s="168">
        <v>117504</v>
      </c>
      <c r="G23" s="168">
        <v>117504</v>
      </c>
      <c r="H23" s="168">
        <v>117504</v>
      </c>
      <c r="I23" s="168">
        <v>97920</v>
      </c>
      <c r="J23" s="168">
        <v>97920</v>
      </c>
      <c r="K23" s="168">
        <v>97920</v>
      </c>
    </row>
    <row r="24" spans="1:11" x14ac:dyDescent="0.25">
      <c r="A24" s="28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ht="21" x14ac:dyDescent="0.35">
      <c r="A25" s="41" t="s">
        <v>15</v>
      </c>
      <c r="B25" s="5">
        <v>8852000</v>
      </c>
      <c r="C25" s="5">
        <v>3553254.25</v>
      </c>
      <c r="D25" s="5">
        <v>3553254.25</v>
      </c>
      <c r="E25" s="5">
        <v>3553254.25</v>
      </c>
      <c r="F25" s="5">
        <v>3553254.25</v>
      </c>
      <c r="G25" s="5">
        <v>3631381.75</v>
      </c>
      <c r="H25" s="5">
        <v>3631378.75</v>
      </c>
      <c r="I25" s="5">
        <v>3631378.75</v>
      </c>
      <c r="J25" s="5">
        <v>3631378.75</v>
      </c>
      <c r="K25" s="5">
        <v>3631378.75</v>
      </c>
    </row>
    <row r="26" spans="1:11" hidden="1" x14ac:dyDescent="0.25">
      <c r="A26" s="42" t="s">
        <v>16</v>
      </c>
      <c r="B26">
        <v>1600000</v>
      </c>
      <c r="C26">
        <v>164062.5</v>
      </c>
      <c r="D26">
        <v>164062.5</v>
      </c>
      <c r="E26">
        <v>164062.5</v>
      </c>
      <c r="F26">
        <v>164062.5</v>
      </c>
      <c r="G26">
        <v>164062.5</v>
      </c>
      <c r="H26">
        <v>164062.5</v>
      </c>
      <c r="I26">
        <v>164062.5</v>
      </c>
      <c r="J26">
        <v>164062.5</v>
      </c>
      <c r="K26">
        <v>164062.5</v>
      </c>
    </row>
    <row r="27" spans="1:11" hidden="1" x14ac:dyDescent="0.25">
      <c r="A27" s="43" t="s">
        <v>17</v>
      </c>
      <c r="B27">
        <v>1600000</v>
      </c>
    </row>
    <row r="28" spans="1:11" hidden="1" x14ac:dyDescent="0.25">
      <c r="A28" s="43" t="s">
        <v>18</v>
      </c>
    </row>
    <row r="29" spans="1:11" hidden="1" x14ac:dyDescent="0.25">
      <c r="A29" s="43" t="s">
        <v>19</v>
      </c>
    </row>
    <row r="30" spans="1:11" hidden="1" x14ac:dyDescent="0.25">
      <c r="A30" s="42" t="s">
        <v>20</v>
      </c>
      <c r="B30">
        <v>2400000</v>
      </c>
      <c r="C30">
        <v>860000.25</v>
      </c>
      <c r="D30">
        <v>860000.25</v>
      </c>
      <c r="E30">
        <v>860000.25</v>
      </c>
      <c r="F30">
        <v>860000.25</v>
      </c>
      <c r="G30">
        <v>922498.5</v>
      </c>
      <c r="H30">
        <v>922500</v>
      </c>
      <c r="I30">
        <v>922500</v>
      </c>
      <c r="J30">
        <v>922500</v>
      </c>
      <c r="K30">
        <v>922500</v>
      </c>
    </row>
    <row r="31" spans="1:11" hidden="1" x14ac:dyDescent="0.25">
      <c r="A31" s="43" t="s">
        <v>21</v>
      </c>
      <c r="B31">
        <v>2200000</v>
      </c>
    </row>
    <row r="32" spans="1:11" hidden="1" x14ac:dyDescent="0.25">
      <c r="A32" s="43" t="s">
        <v>22</v>
      </c>
    </row>
    <row r="33" spans="1:11" hidden="1" x14ac:dyDescent="0.25">
      <c r="A33" s="43" t="s">
        <v>23</v>
      </c>
    </row>
    <row r="34" spans="1:11" hidden="1" x14ac:dyDescent="0.25">
      <c r="A34" s="43" t="s">
        <v>24</v>
      </c>
    </row>
    <row r="35" spans="1:11" hidden="1" x14ac:dyDescent="0.25">
      <c r="A35" s="43" t="s">
        <v>25</v>
      </c>
      <c r="B35">
        <v>200000</v>
      </c>
    </row>
    <row r="36" spans="1:11" hidden="1" x14ac:dyDescent="0.25">
      <c r="A36" s="43" t="s">
        <v>846</v>
      </c>
    </row>
    <row r="37" spans="1:11" hidden="1" x14ac:dyDescent="0.25">
      <c r="A37" s="42" t="s">
        <v>26</v>
      </c>
      <c r="B37">
        <v>1225000</v>
      </c>
      <c r="C37">
        <v>326484</v>
      </c>
      <c r="D37">
        <v>326484</v>
      </c>
      <c r="E37">
        <v>326484</v>
      </c>
      <c r="F37">
        <v>326484</v>
      </c>
      <c r="G37">
        <v>326484</v>
      </c>
      <c r="H37">
        <v>326484</v>
      </c>
      <c r="I37">
        <v>326484</v>
      </c>
      <c r="J37">
        <v>326484</v>
      </c>
      <c r="K37">
        <v>326484</v>
      </c>
    </row>
    <row r="38" spans="1:11" hidden="1" x14ac:dyDescent="0.25">
      <c r="A38" s="43" t="s">
        <v>27</v>
      </c>
      <c r="B38">
        <v>175000</v>
      </c>
    </row>
    <row r="39" spans="1:11" hidden="1" x14ac:dyDescent="0.25">
      <c r="A39" s="43" t="s">
        <v>28</v>
      </c>
      <c r="B39">
        <v>350000</v>
      </c>
    </row>
    <row r="40" spans="1:11" hidden="1" x14ac:dyDescent="0.25">
      <c r="A40" s="43" t="s">
        <v>29</v>
      </c>
      <c r="B40">
        <v>175000</v>
      </c>
    </row>
    <row r="41" spans="1:11" hidden="1" x14ac:dyDescent="0.25">
      <c r="A41" s="43" t="s">
        <v>30</v>
      </c>
      <c r="B41">
        <v>525000</v>
      </c>
    </row>
    <row r="42" spans="1:11" hidden="1" x14ac:dyDescent="0.25">
      <c r="A42" s="43" t="s">
        <v>31</v>
      </c>
    </row>
    <row r="43" spans="1:11" hidden="1" x14ac:dyDescent="0.25">
      <c r="A43" s="42" t="s">
        <v>32</v>
      </c>
      <c r="B43">
        <v>2100000</v>
      </c>
      <c r="C43">
        <v>500000.25</v>
      </c>
      <c r="D43">
        <v>500000.25</v>
      </c>
      <c r="E43">
        <v>500000.25</v>
      </c>
      <c r="F43">
        <v>500000.25</v>
      </c>
      <c r="G43">
        <v>500000.25</v>
      </c>
      <c r="H43">
        <v>500000.25</v>
      </c>
      <c r="I43">
        <v>500000.25</v>
      </c>
      <c r="J43">
        <v>500000.25</v>
      </c>
      <c r="K43">
        <v>500000.25</v>
      </c>
    </row>
    <row r="44" spans="1:11" hidden="1" x14ac:dyDescent="0.25">
      <c r="A44" s="43" t="s">
        <v>33</v>
      </c>
    </row>
    <row r="45" spans="1:11" hidden="1" x14ac:dyDescent="0.25">
      <c r="A45" s="43" t="s">
        <v>34</v>
      </c>
      <c r="B45">
        <v>525000</v>
      </c>
    </row>
    <row r="46" spans="1:11" hidden="1" x14ac:dyDescent="0.25">
      <c r="A46" s="43" t="s">
        <v>35</v>
      </c>
      <c r="B46">
        <v>350000</v>
      </c>
    </row>
    <row r="47" spans="1:11" hidden="1" x14ac:dyDescent="0.25">
      <c r="A47" s="43" t="s">
        <v>36</v>
      </c>
      <c r="B47">
        <v>175000</v>
      </c>
    </row>
    <row r="48" spans="1:11" hidden="1" x14ac:dyDescent="0.25">
      <c r="A48" s="43" t="s">
        <v>42</v>
      </c>
      <c r="B48">
        <v>525000</v>
      </c>
    </row>
    <row r="49" spans="1:11" hidden="1" x14ac:dyDescent="0.25">
      <c r="A49" s="43" t="s">
        <v>1082</v>
      </c>
      <c r="B49">
        <v>525000</v>
      </c>
    </row>
    <row r="50" spans="1:11" hidden="1" x14ac:dyDescent="0.25">
      <c r="A50" s="42" t="s">
        <v>37</v>
      </c>
      <c r="B50">
        <v>918000</v>
      </c>
      <c r="C50">
        <v>249999.75</v>
      </c>
      <c r="D50">
        <v>249999.75</v>
      </c>
      <c r="E50">
        <v>249999.75</v>
      </c>
      <c r="F50">
        <v>249999.75</v>
      </c>
      <c r="G50">
        <v>249999.75</v>
      </c>
      <c r="H50">
        <v>249999.75</v>
      </c>
      <c r="I50">
        <v>249999.75</v>
      </c>
      <c r="J50">
        <v>249999.75</v>
      </c>
      <c r="K50">
        <v>249999.75</v>
      </c>
    </row>
    <row r="51" spans="1:11" hidden="1" x14ac:dyDescent="0.25">
      <c r="A51" s="43" t="s">
        <v>38</v>
      </c>
    </row>
    <row r="52" spans="1:11" hidden="1" x14ac:dyDescent="0.25">
      <c r="A52" s="43" t="s">
        <v>39</v>
      </c>
      <c r="B52">
        <v>918000</v>
      </c>
    </row>
    <row r="53" spans="1:11" hidden="1" x14ac:dyDescent="0.25">
      <c r="A53" s="42" t="s">
        <v>1083</v>
      </c>
      <c r="B53">
        <v>150000</v>
      </c>
      <c r="C53">
        <v>1333333</v>
      </c>
      <c r="D53">
        <v>1333333</v>
      </c>
      <c r="E53">
        <v>1333333</v>
      </c>
      <c r="F53">
        <v>1333333</v>
      </c>
      <c r="G53">
        <v>1333333</v>
      </c>
      <c r="H53">
        <v>1333333</v>
      </c>
      <c r="I53">
        <v>1333333</v>
      </c>
      <c r="J53">
        <v>1333333</v>
      </c>
      <c r="K53">
        <v>1333333</v>
      </c>
    </row>
    <row r="54" spans="1:11" hidden="1" x14ac:dyDescent="0.25">
      <c r="A54" s="43" t="s">
        <v>41</v>
      </c>
      <c r="B54">
        <v>150000</v>
      </c>
    </row>
    <row r="55" spans="1:11" hidden="1" x14ac:dyDescent="0.25">
      <c r="A55" s="42" t="s">
        <v>43</v>
      </c>
      <c r="B55">
        <v>459000</v>
      </c>
      <c r="C55">
        <v>75624.75</v>
      </c>
      <c r="D55">
        <v>75624.75</v>
      </c>
      <c r="E55">
        <v>75624.75</v>
      </c>
      <c r="F55">
        <v>75624.75</v>
      </c>
      <c r="G55">
        <v>75624.75</v>
      </c>
      <c r="H55">
        <v>75624.75</v>
      </c>
      <c r="I55">
        <v>75624.75</v>
      </c>
      <c r="J55">
        <v>75624.75</v>
      </c>
      <c r="K55">
        <v>75624.75</v>
      </c>
    </row>
    <row r="56" spans="1:11" hidden="1" x14ac:dyDescent="0.25">
      <c r="A56" s="43" t="s">
        <v>44</v>
      </c>
    </row>
    <row r="57" spans="1:11" hidden="1" x14ac:dyDescent="0.25">
      <c r="A57" s="43" t="s">
        <v>45</v>
      </c>
    </row>
    <row r="58" spans="1:11" hidden="1" x14ac:dyDescent="0.25">
      <c r="A58" s="43" t="s">
        <v>46</v>
      </c>
      <c r="B58">
        <v>153000</v>
      </c>
    </row>
    <row r="59" spans="1:11" hidden="1" x14ac:dyDescent="0.25">
      <c r="A59" s="43" t="s">
        <v>47</v>
      </c>
      <c r="B59">
        <v>306000</v>
      </c>
    </row>
    <row r="60" spans="1:11" hidden="1" x14ac:dyDescent="0.25">
      <c r="A60" s="42" t="s">
        <v>48</v>
      </c>
      <c r="C60">
        <v>43749.75</v>
      </c>
      <c r="D60">
        <v>43749.75</v>
      </c>
      <c r="E60">
        <v>43749.75</v>
      </c>
      <c r="F60">
        <v>43749.75</v>
      </c>
      <c r="G60">
        <v>59379</v>
      </c>
      <c r="H60">
        <v>59374.5</v>
      </c>
      <c r="I60">
        <v>59374.5</v>
      </c>
      <c r="J60">
        <v>59374.5</v>
      </c>
      <c r="K60">
        <v>59374.5</v>
      </c>
    </row>
    <row r="61" spans="1:11" hidden="1" x14ac:dyDescent="0.25">
      <c r="A61" s="43" t="s">
        <v>49</v>
      </c>
    </row>
    <row r="62" spans="1:11" hidden="1" x14ac:dyDescent="0.25">
      <c r="A62" s="43" t="s">
        <v>50</v>
      </c>
    </row>
    <row r="63" spans="1:11" hidden="1" x14ac:dyDescent="0.25">
      <c r="A63" s="43" t="s">
        <v>51</v>
      </c>
    </row>
    <row r="64" spans="1:11" hidden="1" x14ac:dyDescent="0.25">
      <c r="A64" s="43" t="s">
        <v>52</v>
      </c>
    </row>
    <row r="65" spans="1:15" x14ac:dyDescent="0.25">
      <c r="A65" s="43"/>
    </row>
    <row r="66" spans="1:15" ht="21.75" thickBot="1" x14ac:dyDescent="0.4">
      <c r="A66" s="41" t="s">
        <v>53</v>
      </c>
      <c r="B66" s="14">
        <f>B67+B69+B71</f>
        <v>2098020</v>
      </c>
      <c r="C66" s="14">
        <f t="shared" ref="C66:K66" si="1">C67+C69+C71</f>
        <v>2559000</v>
      </c>
      <c r="D66" s="14">
        <f t="shared" si="1"/>
        <v>2580012</v>
      </c>
      <c r="E66" s="14">
        <f t="shared" si="1"/>
        <v>2032008</v>
      </c>
      <c r="F66" s="14">
        <f t="shared" si="1"/>
        <v>3255012</v>
      </c>
      <c r="G66" s="14">
        <f t="shared" si="1"/>
        <v>2110008</v>
      </c>
      <c r="H66" s="14">
        <f t="shared" si="1"/>
        <v>1720008</v>
      </c>
      <c r="I66" s="14">
        <f t="shared" si="1"/>
        <v>2548008</v>
      </c>
      <c r="J66" s="14">
        <f t="shared" si="1"/>
        <v>1798008</v>
      </c>
      <c r="K66" s="14">
        <f t="shared" si="1"/>
        <v>1098012</v>
      </c>
    </row>
    <row r="67" spans="1:15" ht="15.75" thickBot="1" x14ac:dyDescent="0.3">
      <c r="A67" s="28" t="s">
        <v>54</v>
      </c>
      <c r="B67" s="66">
        <v>0</v>
      </c>
      <c r="C67" s="66">
        <v>375000</v>
      </c>
      <c r="D67" s="66">
        <v>0</v>
      </c>
      <c r="E67" s="66">
        <v>0</v>
      </c>
      <c r="F67" s="66">
        <v>675000</v>
      </c>
      <c r="G67" s="66">
        <v>0</v>
      </c>
      <c r="H67" s="66">
        <v>0</v>
      </c>
      <c r="I67" s="66">
        <v>750000</v>
      </c>
      <c r="J67" s="66">
        <v>0</v>
      </c>
      <c r="K67" s="66">
        <v>0</v>
      </c>
      <c r="L67" s="194">
        <f t="shared" ref="L67:L73" si="2">SUM(B67:K67)</f>
        <v>1800000</v>
      </c>
    </row>
    <row r="68" spans="1:15" x14ac:dyDescent="0.25">
      <c r="A68" s="192" t="s">
        <v>2318</v>
      </c>
      <c r="B68" s="193">
        <v>0</v>
      </c>
      <c r="C68" s="193">
        <v>375000</v>
      </c>
      <c r="D68" s="193">
        <v>0</v>
      </c>
      <c r="E68" s="193">
        <v>75000</v>
      </c>
      <c r="F68" s="193">
        <v>375000</v>
      </c>
      <c r="G68" s="193">
        <v>75000</v>
      </c>
      <c r="H68" s="193">
        <v>0</v>
      </c>
      <c r="I68" s="193">
        <v>675000</v>
      </c>
      <c r="J68" s="193">
        <v>0</v>
      </c>
      <c r="K68" s="193">
        <v>0</v>
      </c>
      <c r="L68" s="195">
        <f t="shared" si="2"/>
        <v>1575000</v>
      </c>
      <c r="M68" s="198">
        <f>L68-L67</f>
        <v>-225000</v>
      </c>
      <c r="N68" s="51" t="str">
        <f>A67</f>
        <v>Beechnut</v>
      </c>
      <c r="O68" s="199"/>
    </row>
    <row r="69" spans="1:15" x14ac:dyDescent="0.25">
      <c r="A69" s="28" t="s">
        <v>55</v>
      </c>
      <c r="B69" s="66">
        <v>460020</v>
      </c>
      <c r="C69" s="66">
        <v>0</v>
      </c>
      <c r="D69" s="66">
        <v>240012</v>
      </c>
      <c r="E69" s="66">
        <v>160008</v>
      </c>
      <c r="F69" s="66">
        <v>240012</v>
      </c>
      <c r="G69" s="66">
        <v>160008</v>
      </c>
      <c r="H69" s="66">
        <v>160008</v>
      </c>
      <c r="I69" s="66">
        <v>160008</v>
      </c>
      <c r="J69" s="66">
        <v>160008</v>
      </c>
      <c r="K69" s="66">
        <v>240012</v>
      </c>
      <c r="L69" s="196">
        <f t="shared" si="2"/>
        <v>1980096</v>
      </c>
      <c r="M69" s="45"/>
      <c r="O69" s="46"/>
    </row>
    <row r="70" spans="1:15" x14ac:dyDescent="0.25">
      <c r="A70" s="192" t="s">
        <v>2318</v>
      </c>
      <c r="B70" s="193">
        <v>460020</v>
      </c>
      <c r="C70" s="193">
        <v>0</v>
      </c>
      <c r="D70" s="193">
        <v>240012</v>
      </c>
      <c r="E70" s="193">
        <v>160008</v>
      </c>
      <c r="F70" s="193">
        <v>240012</v>
      </c>
      <c r="G70" s="193">
        <v>160008</v>
      </c>
      <c r="H70" s="193">
        <v>160008</v>
      </c>
      <c r="I70" s="193">
        <v>160008</v>
      </c>
      <c r="J70" s="193">
        <v>160008</v>
      </c>
      <c r="K70" s="193">
        <v>240012</v>
      </c>
      <c r="L70" s="195">
        <f t="shared" si="2"/>
        <v>1980096</v>
      </c>
      <c r="M70" s="200">
        <f>L70-L69</f>
        <v>0</v>
      </c>
      <c r="N70" t="str">
        <f>A69</f>
        <v>Hain Celestial</v>
      </c>
      <c r="O70" s="46"/>
    </row>
    <row r="71" spans="1:15" x14ac:dyDescent="0.25">
      <c r="A71" s="28" t="s">
        <v>56</v>
      </c>
      <c r="B71" s="66">
        <v>1638000</v>
      </c>
      <c r="C71" s="66">
        <v>2184000</v>
      </c>
      <c r="D71" s="66">
        <v>2340000</v>
      </c>
      <c r="E71" s="66">
        <v>1872000</v>
      </c>
      <c r="F71" s="66">
        <v>2340000</v>
      </c>
      <c r="G71" s="66">
        <v>1950000</v>
      </c>
      <c r="H71" s="66">
        <v>1560000</v>
      </c>
      <c r="I71" s="66">
        <v>1638000</v>
      </c>
      <c r="J71" s="66">
        <v>1638000</v>
      </c>
      <c r="K71" s="66">
        <v>858000</v>
      </c>
      <c r="L71" s="196">
        <f t="shared" si="2"/>
        <v>18018000</v>
      </c>
      <c r="M71" s="45"/>
      <c r="O71" s="46"/>
    </row>
    <row r="72" spans="1:15" ht="15.75" thickBot="1" x14ac:dyDescent="0.3">
      <c r="A72" s="192" t="s">
        <v>2318</v>
      </c>
      <c r="B72" s="193">
        <v>2106000</v>
      </c>
      <c r="C72" s="193">
        <v>2184000</v>
      </c>
      <c r="D72" s="193">
        <v>2262000</v>
      </c>
      <c r="E72" s="193">
        <v>1950000</v>
      </c>
      <c r="F72" s="193">
        <v>2340000</v>
      </c>
      <c r="G72" s="193">
        <v>2028000</v>
      </c>
      <c r="H72" s="193">
        <v>1482000</v>
      </c>
      <c r="I72" s="193">
        <v>1560000</v>
      </c>
      <c r="J72" s="193">
        <v>1638000</v>
      </c>
      <c r="K72" s="193">
        <v>702000</v>
      </c>
      <c r="L72" s="197">
        <f t="shared" si="2"/>
        <v>18252000</v>
      </c>
      <c r="M72" s="201">
        <f>L72-L71</f>
        <v>234000</v>
      </c>
      <c r="N72" s="54" t="str">
        <f>A71</f>
        <v>Serenity</v>
      </c>
      <c r="O72" s="202"/>
    </row>
    <row r="73" spans="1:15" x14ac:dyDescent="0.25">
      <c r="A73" s="28" t="s">
        <v>57</v>
      </c>
      <c r="B73" s="66">
        <v>0</v>
      </c>
      <c r="C73" s="66">
        <v>0</v>
      </c>
      <c r="D73" s="66">
        <v>0</v>
      </c>
      <c r="E73" s="66">
        <v>0</v>
      </c>
      <c r="F73" s="66">
        <v>0</v>
      </c>
      <c r="G73" s="66">
        <v>0</v>
      </c>
      <c r="H73" s="66">
        <v>0</v>
      </c>
      <c r="I73" s="66">
        <v>0</v>
      </c>
      <c r="J73" s="66">
        <v>0</v>
      </c>
      <c r="K73" s="66">
        <v>0</v>
      </c>
      <c r="L73" s="59">
        <f t="shared" si="2"/>
        <v>0</v>
      </c>
    </row>
    <row r="74" spans="1:15" x14ac:dyDescent="0.25">
      <c r="A74" s="192" t="s">
        <v>2318</v>
      </c>
    </row>
    <row r="75" spans="1:15" ht="21.75" thickBot="1" x14ac:dyDescent="0.4">
      <c r="A75" s="41" t="s">
        <v>58</v>
      </c>
      <c r="B75" s="14">
        <f>B76+B78+B80+B82+B84+B86+B88+B90+B92</f>
        <v>2925072</v>
      </c>
      <c r="C75" s="14">
        <f t="shared" ref="C75:K75" si="3">C76+C78+C80+C82+C84+C86+C88+C90+C92</f>
        <v>2985060</v>
      </c>
      <c r="D75" s="14">
        <f t="shared" si="3"/>
        <v>2719630</v>
      </c>
      <c r="E75" s="14">
        <f t="shared" si="3"/>
        <v>2400048</v>
      </c>
      <c r="F75" s="14">
        <f t="shared" si="3"/>
        <v>2175076</v>
      </c>
      <c r="G75" s="14">
        <f t="shared" si="3"/>
        <v>2736120</v>
      </c>
      <c r="H75" s="14">
        <f t="shared" si="3"/>
        <v>1275048</v>
      </c>
      <c r="I75" s="14">
        <f>I76+I78+I80+I82+I84+I86+I88+I90+I92</f>
        <v>3061048</v>
      </c>
      <c r="J75" s="14">
        <f t="shared" si="3"/>
        <v>2218044</v>
      </c>
      <c r="K75" s="14">
        <f t="shared" si="3"/>
        <v>2016072</v>
      </c>
    </row>
    <row r="76" spans="1:15" x14ac:dyDescent="0.25">
      <c r="A76" s="28" t="s">
        <v>60</v>
      </c>
      <c r="B76" s="66">
        <v>360000</v>
      </c>
      <c r="C76" s="66">
        <v>810000</v>
      </c>
      <c r="D76" s="66">
        <v>0</v>
      </c>
      <c r="E76" s="66">
        <v>0</v>
      </c>
      <c r="F76" s="66">
        <v>0</v>
      </c>
      <c r="G76" s="66">
        <v>720000</v>
      </c>
      <c r="H76" s="66">
        <v>0</v>
      </c>
      <c r="I76" s="66">
        <v>0</v>
      </c>
      <c r="J76" s="66">
        <v>810000</v>
      </c>
      <c r="K76" s="66">
        <v>0</v>
      </c>
      <c r="L76" s="66">
        <f>SUM(B76:K76)</f>
        <v>2700000</v>
      </c>
      <c r="M76" s="204"/>
      <c r="N76" s="51"/>
      <c r="O76" s="199"/>
    </row>
    <row r="77" spans="1:15" x14ac:dyDescent="0.25">
      <c r="A77" s="192" t="s">
        <v>2318</v>
      </c>
      <c r="B77" s="193">
        <v>360000</v>
      </c>
      <c r="C77" s="193">
        <v>0</v>
      </c>
      <c r="D77" s="193">
        <v>810000</v>
      </c>
      <c r="E77" s="193">
        <v>0</v>
      </c>
      <c r="F77" s="193">
        <v>0</v>
      </c>
      <c r="G77" s="193">
        <v>720000</v>
      </c>
      <c r="H77" s="193">
        <v>0</v>
      </c>
      <c r="I77" s="193">
        <v>630000</v>
      </c>
      <c r="J77" s="193">
        <v>0</v>
      </c>
      <c r="K77" s="193">
        <v>0</v>
      </c>
      <c r="L77" s="193">
        <f>SUM(B77:K77)</f>
        <v>2520000</v>
      </c>
      <c r="M77" s="200">
        <f>L77-L76</f>
        <v>-180000</v>
      </c>
      <c r="N77" t="str">
        <f>A76</f>
        <v>My Own Meals</v>
      </c>
      <c r="O77" s="46"/>
    </row>
    <row r="78" spans="1:15" x14ac:dyDescent="0.25">
      <c r="A78" s="28" t="s">
        <v>61</v>
      </c>
      <c r="B78" s="66">
        <v>0</v>
      </c>
      <c r="C78" s="66">
        <v>0</v>
      </c>
      <c r="D78" s="66">
        <v>200064</v>
      </c>
      <c r="E78" s="66">
        <v>0</v>
      </c>
      <c r="F78" s="66">
        <v>0</v>
      </c>
      <c r="G78" s="66">
        <v>250080</v>
      </c>
      <c r="H78" s="66">
        <v>0</v>
      </c>
      <c r="I78" s="66">
        <v>0</v>
      </c>
      <c r="J78" s="66">
        <v>0</v>
      </c>
      <c r="K78" s="66">
        <v>0</v>
      </c>
      <c r="L78" s="66">
        <f t="shared" ref="L78:L93" si="4">SUM(B78:K78)</f>
        <v>450144</v>
      </c>
      <c r="M78" s="45"/>
      <c r="O78" s="46"/>
    </row>
    <row r="79" spans="1:15" x14ac:dyDescent="0.25">
      <c r="A79" s="192" t="s">
        <v>2318</v>
      </c>
      <c r="B79" s="193">
        <v>0</v>
      </c>
      <c r="C79" s="193">
        <v>0</v>
      </c>
      <c r="D79" s="193">
        <v>167536</v>
      </c>
      <c r="E79" s="193">
        <v>0</v>
      </c>
      <c r="F79" s="193">
        <v>0</v>
      </c>
      <c r="G79" s="193">
        <v>0</v>
      </c>
      <c r="H79" s="193">
        <v>0</v>
      </c>
      <c r="I79" s="193">
        <v>0</v>
      </c>
      <c r="J79" s="193">
        <v>0</v>
      </c>
      <c r="K79" s="193">
        <v>0</v>
      </c>
      <c r="L79" s="193">
        <f t="shared" si="4"/>
        <v>167536</v>
      </c>
      <c r="M79" s="200">
        <f>L79-L78</f>
        <v>-282608</v>
      </c>
      <c r="N79" t="str">
        <f>A78</f>
        <v>Nutri System</v>
      </c>
      <c r="O79" s="46"/>
    </row>
    <row r="80" spans="1:15" x14ac:dyDescent="0.25">
      <c r="A80" s="28" t="s">
        <v>1007</v>
      </c>
      <c r="B80" s="66">
        <v>0</v>
      </c>
      <c r="C80" s="66">
        <v>0</v>
      </c>
      <c r="D80" s="66">
        <v>0</v>
      </c>
      <c r="E80" s="66">
        <v>0</v>
      </c>
      <c r="F80" s="66">
        <v>300024</v>
      </c>
      <c r="G80" s="66">
        <v>0</v>
      </c>
      <c r="H80" s="66">
        <v>0</v>
      </c>
      <c r="I80" s="66">
        <v>0</v>
      </c>
      <c r="J80" s="66">
        <v>0</v>
      </c>
      <c r="K80" s="66">
        <v>300024</v>
      </c>
      <c r="L80" s="66">
        <f t="shared" si="4"/>
        <v>600048</v>
      </c>
      <c r="M80" s="45"/>
      <c r="O80" s="46"/>
    </row>
    <row r="81" spans="1:16" x14ac:dyDescent="0.25">
      <c r="A81" s="192" t="s">
        <v>2318</v>
      </c>
      <c r="B81" s="193">
        <v>0</v>
      </c>
      <c r="C81" s="193">
        <v>0</v>
      </c>
      <c r="D81" s="193">
        <v>300024</v>
      </c>
      <c r="E81" s="193">
        <v>0</v>
      </c>
      <c r="F81" s="193">
        <v>0</v>
      </c>
      <c r="G81" s="193">
        <v>0</v>
      </c>
      <c r="H81" s="193">
        <v>300024</v>
      </c>
      <c r="I81" s="193">
        <v>0</v>
      </c>
      <c r="J81" s="193">
        <v>0</v>
      </c>
      <c r="K81" s="193">
        <v>0</v>
      </c>
      <c r="L81" s="193">
        <f t="shared" si="4"/>
        <v>600048</v>
      </c>
      <c r="M81" s="200">
        <f>L81-L80</f>
        <v>0</v>
      </c>
      <c r="N81" t="str">
        <f>A80</f>
        <v>Scott Pet Cat</v>
      </c>
      <c r="O81" s="46"/>
    </row>
    <row r="82" spans="1:16" x14ac:dyDescent="0.25">
      <c r="A82" s="28" t="s">
        <v>1008</v>
      </c>
      <c r="B82" s="66">
        <v>0</v>
      </c>
      <c r="C82" s="66">
        <v>0</v>
      </c>
      <c r="D82" s="66">
        <v>237502</v>
      </c>
      <c r="E82" s="66">
        <v>0</v>
      </c>
      <c r="F82" s="66">
        <v>0</v>
      </c>
      <c r="G82" s="66">
        <v>0</v>
      </c>
      <c r="H82" s="66">
        <v>0</v>
      </c>
      <c r="I82" s="66">
        <v>270000</v>
      </c>
      <c r="J82" s="66">
        <v>0</v>
      </c>
      <c r="K82" s="66">
        <v>0</v>
      </c>
      <c r="L82" s="66">
        <f t="shared" si="4"/>
        <v>507502</v>
      </c>
      <c r="M82" s="45"/>
      <c r="O82" s="46"/>
    </row>
    <row r="83" spans="1:16" x14ac:dyDescent="0.25">
      <c r="A83" s="192" t="s">
        <v>2318</v>
      </c>
      <c r="B83" s="193">
        <v>0</v>
      </c>
      <c r="C83" s="193">
        <v>0</v>
      </c>
      <c r="D83" s="193">
        <v>32004</v>
      </c>
      <c r="E83" s="193">
        <v>0</v>
      </c>
      <c r="F83" s="193">
        <v>0</v>
      </c>
      <c r="G83" s="193">
        <v>180000</v>
      </c>
      <c r="H83" s="193">
        <v>0</v>
      </c>
      <c r="I83" s="193">
        <v>0</v>
      </c>
      <c r="J83" s="193">
        <v>0</v>
      </c>
      <c r="K83" s="193">
        <v>0</v>
      </c>
      <c r="L83" s="193">
        <f t="shared" si="4"/>
        <v>212004</v>
      </c>
      <c r="M83" s="200">
        <f>L83-L82</f>
        <v>-295498</v>
      </c>
      <c r="N83" t="str">
        <f>A82</f>
        <v>Scott Pet Dog</v>
      </c>
      <c r="O83" s="46"/>
    </row>
    <row r="84" spans="1:16" x14ac:dyDescent="0.25">
      <c r="A84" s="28" t="s">
        <v>822</v>
      </c>
      <c r="B84" s="168">
        <v>0</v>
      </c>
      <c r="C84" s="168">
        <v>300000</v>
      </c>
      <c r="D84" s="168">
        <v>0</v>
      </c>
      <c r="E84" s="168">
        <v>0</v>
      </c>
      <c r="F84" s="168">
        <v>400000</v>
      </c>
      <c r="G84" s="168">
        <v>0</v>
      </c>
      <c r="H84" s="168">
        <v>0</v>
      </c>
      <c r="I84" s="168">
        <v>400000</v>
      </c>
      <c r="J84" s="168">
        <v>0</v>
      </c>
      <c r="K84" s="168">
        <v>0</v>
      </c>
      <c r="L84" s="168">
        <f t="shared" si="4"/>
        <v>1100000</v>
      </c>
      <c r="M84" s="45"/>
      <c r="O84" s="46"/>
    </row>
    <row r="85" spans="1:16" x14ac:dyDescent="0.25">
      <c r="A85" s="192" t="s">
        <v>2320</v>
      </c>
      <c r="B85" s="203">
        <v>0</v>
      </c>
      <c r="C85" s="203">
        <v>100000</v>
      </c>
      <c r="D85" s="203">
        <v>0</v>
      </c>
      <c r="E85" s="203">
        <v>90000</v>
      </c>
      <c r="F85" s="203">
        <v>270000</v>
      </c>
      <c r="G85" s="203">
        <v>315000</v>
      </c>
      <c r="H85" s="203">
        <v>0</v>
      </c>
      <c r="I85" s="203">
        <v>0</v>
      </c>
      <c r="J85" s="203">
        <v>0</v>
      </c>
      <c r="K85" s="203">
        <v>270000</v>
      </c>
      <c r="L85" s="203">
        <f t="shared" si="4"/>
        <v>1045000</v>
      </c>
      <c r="M85" s="200">
        <f>L85-L84</f>
        <v>-55000</v>
      </c>
      <c r="N85" t="str">
        <f>A84</f>
        <v>Simmons</v>
      </c>
      <c r="O85" s="46"/>
    </row>
    <row r="86" spans="1:16" x14ac:dyDescent="0.25">
      <c r="A86" s="28" t="s">
        <v>62</v>
      </c>
      <c r="B86" s="168">
        <v>0</v>
      </c>
      <c r="C86" s="168">
        <v>0</v>
      </c>
      <c r="D86" s="168">
        <v>0</v>
      </c>
      <c r="E86" s="168">
        <v>900000</v>
      </c>
      <c r="F86" s="168">
        <v>0</v>
      </c>
      <c r="G86" s="168">
        <v>0</v>
      </c>
      <c r="H86" s="168">
        <v>0</v>
      </c>
      <c r="I86" s="168">
        <v>900000</v>
      </c>
      <c r="J86" s="168">
        <v>0</v>
      </c>
      <c r="K86" s="168">
        <v>0</v>
      </c>
      <c r="L86" s="168">
        <f t="shared" si="4"/>
        <v>1800000</v>
      </c>
      <c r="M86" s="45"/>
      <c r="O86" s="46"/>
    </row>
    <row r="87" spans="1:16" x14ac:dyDescent="0.25">
      <c r="A87" s="192" t="s">
        <v>2318</v>
      </c>
      <c r="B87" s="203">
        <v>0</v>
      </c>
      <c r="C87" s="203">
        <v>0</v>
      </c>
      <c r="D87" s="203">
        <v>0</v>
      </c>
      <c r="E87" s="203">
        <v>900000</v>
      </c>
      <c r="F87" s="203">
        <v>0</v>
      </c>
      <c r="G87" s="203">
        <v>0</v>
      </c>
      <c r="H87" s="203">
        <v>0</v>
      </c>
      <c r="I87" s="203">
        <v>900000</v>
      </c>
      <c r="J87" s="203">
        <v>0</v>
      </c>
      <c r="K87" s="203">
        <v>0</v>
      </c>
      <c r="L87" s="203">
        <f t="shared" si="4"/>
        <v>1800000</v>
      </c>
      <c r="M87" s="200">
        <f>L87-L86</f>
        <v>0</v>
      </c>
      <c r="N87" t="str">
        <f>A86</f>
        <v>Spammy</v>
      </c>
      <c r="O87" s="46"/>
    </row>
    <row r="88" spans="1:16" x14ac:dyDescent="0.25">
      <c r="A88" s="28" t="s">
        <v>64</v>
      </c>
      <c r="B88" s="66">
        <v>800016</v>
      </c>
      <c r="C88" s="66">
        <v>1000020</v>
      </c>
      <c r="D88" s="66">
        <v>800016</v>
      </c>
      <c r="E88" s="66">
        <v>800016</v>
      </c>
      <c r="F88" s="66">
        <v>600012</v>
      </c>
      <c r="G88" s="66">
        <v>1200024</v>
      </c>
      <c r="H88" s="66">
        <v>400008</v>
      </c>
      <c r="I88" s="66">
        <v>400008</v>
      </c>
      <c r="J88" s="66">
        <v>600012</v>
      </c>
      <c r="K88" s="66">
        <v>800016</v>
      </c>
      <c r="L88" s="66">
        <f t="shared" si="4"/>
        <v>7400148</v>
      </c>
      <c r="M88" s="45"/>
      <c r="O88" s="46"/>
    </row>
    <row r="89" spans="1:16" x14ac:dyDescent="0.25">
      <c r="A89" s="192" t="s">
        <v>2318</v>
      </c>
      <c r="B89" s="193">
        <v>600012</v>
      </c>
      <c r="C89" s="193">
        <v>1200024</v>
      </c>
      <c r="D89" s="193">
        <v>0</v>
      </c>
      <c r="E89" s="193">
        <v>1000020</v>
      </c>
      <c r="F89" s="193">
        <v>800016</v>
      </c>
      <c r="G89" s="193">
        <v>800016</v>
      </c>
      <c r="H89" s="193">
        <v>800016</v>
      </c>
      <c r="I89" s="193">
        <v>800016</v>
      </c>
      <c r="J89" s="193">
        <v>800016</v>
      </c>
      <c r="K89" s="193">
        <v>800016</v>
      </c>
      <c r="L89" s="193">
        <f t="shared" si="4"/>
        <v>7600152</v>
      </c>
      <c r="M89" s="200">
        <f>L89-L88</f>
        <v>200004</v>
      </c>
      <c r="N89" t="str">
        <f>A88</f>
        <v>Starkist Creations</v>
      </c>
      <c r="O89" s="46"/>
    </row>
    <row r="90" spans="1:16" x14ac:dyDescent="0.25">
      <c r="A90" s="28" t="s">
        <v>65</v>
      </c>
      <c r="B90" s="66">
        <v>1225056</v>
      </c>
      <c r="C90" s="66">
        <v>875040</v>
      </c>
      <c r="D90" s="66">
        <v>1050048</v>
      </c>
      <c r="E90" s="66">
        <v>700032</v>
      </c>
      <c r="F90" s="66">
        <v>875040</v>
      </c>
      <c r="G90" s="66">
        <v>350016</v>
      </c>
      <c r="H90" s="66">
        <v>875040</v>
      </c>
      <c r="I90" s="66">
        <v>875040</v>
      </c>
      <c r="J90" s="66">
        <v>700032</v>
      </c>
      <c r="K90" s="66">
        <v>700032</v>
      </c>
      <c r="L90" s="66">
        <f t="shared" si="4"/>
        <v>8225376</v>
      </c>
      <c r="M90" s="45"/>
      <c r="O90" s="46"/>
    </row>
    <row r="91" spans="1:16" x14ac:dyDescent="0.25">
      <c r="A91" s="192" t="s">
        <v>2318</v>
      </c>
      <c r="B91" s="193">
        <v>1225056</v>
      </c>
      <c r="C91" s="193">
        <v>1225056</v>
      </c>
      <c r="D91" s="193">
        <v>0</v>
      </c>
      <c r="E91" s="193">
        <v>1225056</v>
      </c>
      <c r="F91" s="193">
        <v>875040</v>
      </c>
      <c r="G91" s="193">
        <v>525024</v>
      </c>
      <c r="H91" s="193">
        <v>875040</v>
      </c>
      <c r="I91" s="193">
        <v>875040</v>
      </c>
      <c r="J91" s="193">
        <v>875040</v>
      </c>
      <c r="K91" s="193">
        <v>700032</v>
      </c>
      <c r="L91" s="193">
        <f t="shared" si="4"/>
        <v>8400384</v>
      </c>
      <c r="M91" s="200">
        <f>L91-L90</f>
        <v>175008</v>
      </c>
      <c r="N91" t="str">
        <f>A90</f>
        <v>Starkist WHITE</v>
      </c>
      <c r="O91" s="46"/>
    </row>
    <row r="92" spans="1:16" x14ac:dyDescent="0.25">
      <c r="A92" s="28" t="s">
        <v>66</v>
      </c>
      <c r="B92" s="66">
        <v>540000</v>
      </c>
      <c r="C92" s="66">
        <v>0</v>
      </c>
      <c r="D92" s="66">
        <v>432000</v>
      </c>
      <c r="E92" s="66">
        <v>0</v>
      </c>
      <c r="F92" s="66">
        <v>0</v>
      </c>
      <c r="G92" s="66">
        <v>216000</v>
      </c>
      <c r="H92" s="66">
        <v>0</v>
      </c>
      <c r="I92" s="66">
        <v>216000</v>
      </c>
      <c r="J92" s="66">
        <v>108000</v>
      </c>
      <c r="K92" s="66">
        <v>216000</v>
      </c>
      <c r="L92" s="66">
        <f t="shared" si="4"/>
        <v>1728000</v>
      </c>
      <c r="M92" s="45"/>
      <c r="O92" s="46"/>
    </row>
    <row r="93" spans="1:16" ht="15.75" thickBot="1" x14ac:dyDescent="0.3">
      <c r="A93" s="192" t="s">
        <v>2318</v>
      </c>
      <c r="B93" s="193">
        <v>540000</v>
      </c>
      <c r="C93" s="193">
        <v>0</v>
      </c>
      <c r="D93" s="193">
        <v>432000</v>
      </c>
      <c r="E93" s="193">
        <v>0</v>
      </c>
      <c r="F93" s="193">
        <v>0</v>
      </c>
      <c r="G93" s="193">
        <v>216000</v>
      </c>
      <c r="H93" s="193">
        <v>0</v>
      </c>
      <c r="I93" s="193">
        <v>216000</v>
      </c>
      <c r="J93" s="193">
        <v>108000</v>
      </c>
      <c r="K93" s="193">
        <v>216000</v>
      </c>
      <c r="L93" s="193">
        <f t="shared" si="4"/>
        <v>1728000</v>
      </c>
      <c r="M93" s="201">
        <f>L93-L92</f>
        <v>0</v>
      </c>
      <c r="N93" s="54" t="str">
        <f>A92</f>
        <v>Union Supply</v>
      </c>
      <c r="O93" s="202"/>
    </row>
    <row r="94" spans="1:16" ht="19.5" x14ac:dyDescent="0.3">
      <c r="A94" s="44" t="s">
        <v>67</v>
      </c>
      <c r="B94" s="17">
        <f t="shared" ref="B94:K94" si="5">+B75+B66+B25+B17+B2</f>
        <v>16013092</v>
      </c>
      <c r="C94" s="17">
        <f t="shared" si="5"/>
        <v>12139351.25</v>
      </c>
      <c r="D94" s="17">
        <f t="shared" si="5"/>
        <v>11589933.25</v>
      </c>
      <c r="E94" s="17">
        <f t="shared" si="5"/>
        <v>10112347.25</v>
      </c>
      <c r="F94" s="17">
        <f t="shared" si="5"/>
        <v>11246179.25</v>
      </c>
      <c r="G94" s="17">
        <f t="shared" si="5"/>
        <v>10300346.75</v>
      </c>
      <c r="H94" s="17">
        <f t="shared" si="5"/>
        <v>8857271.75</v>
      </c>
      <c r="I94" s="17">
        <f t="shared" si="5"/>
        <v>11380087.75</v>
      </c>
      <c r="J94" s="17">
        <f t="shared" si="5"/>
        <v>9954283.75</v>
      </c>
      <c r="K94" s="17">
        <f t="shared" si="5"/>
        <v>8327315.75</v>
      </c>
      <c r="M94" s="59">
        <f>SUM(B94:K94)</f>
        <v>109920208.75</v>
      </c>
      <c r="N94" s="49">
        <f>SUM('Fds Units'!AE99:AN99)</f>
        <v>112699775.25</v>
      </c>
      <c r="P94" s="59">
        <f>M94+N94</f>
        <v>222619984</v>
      </c>
    </row>
    <row r="95" spans="1:16" x14ac:dyDescent="0.25">
      <c r="M95">
        <v>24076648</v>
      </c>
      <c r="N95" s="59">
        <f>N94-M94</f>
        <v>2779566.5</v>
      </c>
    </row>
    <row r="96" spans="1:16" ht="21" x14ac:dyDescent="0.35">
      <c r="A96" s="41"/>
      <c r="M96" s="59">
        <f>M94+M95</f>
        <v>133996856.75</v>
      </c>
    </row>
    <row r="98" spans="1:16" x14ac:dyDescent="0.25">
      <c r="A98" t="s">
        <v>2319</v>
      </c>
      <c r="B98" s="59">
        <f>B2+B17+B25+B68+B70+B72+B74+B77+B79+B81+B83+B85+B87+B89+B91+B93</f>
        <v>16281088</v>
      </c>
      <c r="C98" s="59">
        <f t="shared" ref="C98:K98" si="6">C2+C17+C25+C68+C70+C72+C74+C77+C79+C81+C83+C85+C87+C89+C91+C93</f>
        <v>11679371.25</v>
      </c>
      <c r="D98" s="59">
        <f t="shared" si="6"/>
        <v>10533867.25</v>
      </c>
      <c r="E98" s="59">
        <f t="shared" si="6"/>
        <v>11080375.25</v>
      </c>
      <c r="F98" s="59">
        <f t="shared" si="6"/>
        <v>10716159.25</v>
      </c>
      <c r="G98" s="59">
        <f t="shared" si="6"/>
        <v>10473266.75</v>
      </c>
      <c r="H98" s="59">
        <f t="shared" si="6"/>
        <v>9479303.75</v>
      </c>
      <c r="I98" s="59">
        <f t="shared" si="6"/>
        <v>11587095.75</v>
      </c>
      <c r="J98" s="59">
        <f t="shared" si="6"/>
        <v>9519295.75</v>
      </c>
      <c r="K98" s="59">
        <f t="shared" si="6"/>
        <v>8141291.75</v>
      </c>
      <c r="M98" s="59">
        <f>SUM(B98:K98)</f>
        <v>109491114.75</v>
      </c>
      <c r="N98" s="49">
        <v>25554544</v>
      </c>
      <c r="P98" s="59">
        <f>M98+N98</f>
        <v>135045658.75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A43F-352F-4A11-BAC3-AF459CFA1D1B}">
  <sheetPr>
    <pageSetUpPr fitToPage="1"/>
  </sheetPr>
  <dimension ref="A1:AH28"/>
  <sheetViews>
    <sheetView showGridLines="0" zoomScale="115" zoomScaleNormal="115" workbookViewId="0">
      <selection activeCell="W12" sqref="W12"/>
    </sheetView>
  </sheetViews>
  <sheetFormatPr defaultRowHeight="15" outlineLevelRow="1" outlineLevelCol="1" x14ac:dyDescent="0.25"/>
  <cols>
    <col min="1" max="1" width="36.42578125" customWidth="1"/>
    <col min="2" max="6" width="11.5703125" hidden="1" customWidth="1" outlineLevel="1"/>
    <col min="7" max="9" width="11.42578125" hidden="1" customWidth="1" outlineLevel="1" collapsed="1"/>
    <col min="10" max="10" width="11.42578125" hidden="1" customWidth="1" outlineLevel="1"/>
    <col min="11" max="11" width="14" hidden="1" customWidth="1" collapsed="1"/>
    <col min="12" max="12" width="14" hidden="1" customWidth="1"/>
    <col min="13" max="19" width="11.5703125" hidden="1" customWidth="1"/>
    <col min="20" max="32" width="11.5703125" customWidth="1"/>
    <col min="33" max="33" width="28" bestFit="1" customWidth="1"/>
  </cols>
  <sheetData>
    <row r="1" spans="1:34" ht="20.25" x14ac:dyDescent="0.3">
      <c r="A1" s="35" t="s">
        <v>0</v>
      </c>
      <c r="B1" s="36">
        <f>EOMONTH(C1,-1)</f>
        <v>45688</v>
      </c>
      <c r="C1" s="36">
        <f>EOMONTH(D1,-1)</f>
        <v>45716</v>
      </c>
      <c r="D1" s="36">
        <v>45747</v>
      </c>
      <c r="E1" s="36">
        <f>EOMONTH(D1,1)</f>
        <v>45777</v>
      </c>
      <c r="F1" s="36">
        <f>EOMONTH(E1,1)</f>
        <v>45808</v>
      </c>
      <c r="G1" s="36">
        <f>EOMONTH(F1,1)</f>
        <v>45838</v>
      </c>
      <c r="H1" s="36">
        <f t="shared" ref="H1:L1" si="0">EOMONTH(G1,1)</f>
        <v>45869</v>
      </c>
      <c r="I1" s="36">
        <f t="shared" si="0"/>
        <v>45900</v>
      </c>
      <c r="J1" s="36">
        <f t="shared" si="0"/>
        <v>45930</v>
      </c>
      <c r="K1" s="36">
        <f t="shared" si="0"/>
        <v>45961</v>
      </c>
      <c r="L1" s="36">
        <f t="shared" si="0"/>
        <v>45991</v>
      </c>
      <c r="M1" s="131">
        <f>+L1</f>
        <v>45991</v>
      </c>
      <c r="N1" s="36"/>
      <c r="O1" s="36"/>
      <c r="P1" s="139">
        <f>EOMONTH(M1,1)</f>
        <v>46022</v>
      </c>
      <c r="Q1" s="131">
        <f>+P1</f>
        <v>46022</v>
      </c>
      <c r="R1" s="36"/>
      <c r="S1" s="172"/>
      <c r="T1" s="36">
        <f>EOMONTH(Q1,1)</f>
        <v>46053</v>
      </c>
      <c r="U1" s="36"/>
      <c r="V1" s="36">
        <f t="shared" ref="V1" si="1">EOMONTH(T1,1)</f>
        <v>46081</v>
      </c>
      <c r="W1" s="36">
        <f t="shared" ref="W1" si="2">EOMONTH(V1,1)</f>
        <v>46112</v>
      </c>
      <c r="X1" s="36">
        <f t="shared" ref="X1" si="3">EOMONTH(W1,1)</f>
        <v>46142</v>
      </c>
      <c r="Y1" s="36">
        <f t="shared" ref="Y1" si="4">EOMONTH(X1,1)</f>
        <v>46173</v>
      </c>
      <c r="Z1" s="36">
        <f t="shared" ref="Z1:AB1" si="5">EOMONTH(Y1,1)</f>
        <v>46203</v>
      </c>
      <c r="AA1" s="36">
        <f t="shared" si="5"/>
        <v>46234</v>
      </c>
      <c r="AB1" s="36">
        <f t="shared" si="5"/>
        <v>46265</v>
      </c>
      <c r="AC1" s="36">
        <f t="shared" ref="AC1" si="6">EOMONTH(AB1,1)</f>
        <v>46295</v>
      </c>
      <c r="AD1" s="36">
        <f t="shared" ref="AD1" si="7">EOMONTH(AC1,1)</f>
        <v>46326</v>
      </c>
      <c r="AE1" s="36">
        <f t="shared" ref="AE1" si="8">EOMONTH(AD1,1)</f>
        <v>46356</v>
      </c>
      <c r="AF1" s="36">
        <f t="shared" ref="AF1" si="9">EOMONTH(AE1,1)</f>
        <v>46387</v>
      </c>
    </row>
    <row r="2" spans="1:34" ht="20.25" x14ac:dyDescent="0.3">
      <c r="A2" s="35" t="s">
        <v>137</v>
      </c>
      <c r="B2" s="37" t="s">
        <v>349</v>
      </c>
      <c r="C2" s="37" t="s">
        <v>349</v>
      </c>
      <c r="D2" s="37" t="s">
        <v>349</v>
      </c>
      <c r="E2" s="37" t="s">
        <v>349</v>
      </c>
      <c r="F2" s="37" t="s">
        <v>349</v>
      </c>
      <c r="G2" s="37" t="s">
        <v>349</v>
      </c>
      <c r="H2" s="37" t="s">
        <v>349</v>
      </c>
      <c r="I2" s="37" t="s">
        <v>349</v>
      </c>
      <c r="J2" s="37" t="s">
        <v>349</v>
      </c>
      <c r="K2" s="37" t="s">
        <v>349</v>
      </c>
      <c r="L2" s="37" t="s">
        <v>349</v>
      </c>
      <c r="M2" s="137" t="s">
        <v>586</v>
      </c>
      <c r="N2" s="37" t="s">
        <v>649</v>
      </c>
      <c r="O2" s="37" t="s">
        <v>651</v>
      </c>
      <c r="P2" s="140" t="s">
        <v>650</v>
      </c>
      <c r="Q2" s="137" t="s">
        <v>586</v>
      </c>
      <c r="R2" s="37" t="s">
        <v>649</v>
      </c>
      <c r="S2" s="173" t="s">
        <v>651</v>
      </c>
      <c r="T2" s="37" t="s">
        <v>586</v>
      </c>
      <c r="U2" s="37" t="s">
        <v>1113</v>
      </c>
      <c r="V2" s="37" t="s">
        <v>649</v>
      </c>
      <c r="W2" s="37" t="s">
        <v>649</v>
      </c>
      <c r="X2" s="37" t="s">
        <v>586</v>
      </c>
      <c r="Y2" s="37" t="s">
        <v>586</v>
      </c>
      <c r="Z2" s="37" t="s">
        <v>586</v>
      </c>
      <c r="AA2" s="37" t="s">
        <v>586</v>
      </c>
      <c r="AB2" s="37" t="s">
        <v>586</v>
      </c>
      <c r="AC2" s="37" t="s">
        <v>586</v>
      </c>
      <c r="AD2" s="37" t="s">
        <v>586</v>
      </c>
      <c r="AE2" s="37" t="s">
        <v>586</v>
      </c>
      <c r="AF2" s="37" t="s">
        <v>586</v>
      </c>
    </row>
    <row r="3" spans="1:34" s="48" customFormat="1" x14ac:dyDescent="0.25">
      <c r="A3" s="102" t="s">
        <v>10</v>
      </c>
      <c r="B3" s="103">
        <f>SUM(B4:B6)</f>
        <v>243756</v>
      </c>
      <c r="C3" s="103">
        <f t="shared" ref="C3:AA3" si="10">SUM(C4:C6)</f>
        <v>145680</v>
      </c>
      <c r="D3" s="103">
        <f t="shared" si="10"/>
        <v>15360</v>
      </c>
      <c r="E3" s="103">
        <f t="shared" si="10"/>
        <v>91800</v>
      </c>
      <c r="F3" s="103">
        <f t="shared" ref="F3" si="11">SUM(F4:F6)</f>
        <v>0</v>
      </c>
      <c r="G3" s="103">
        <f t="shared" ref="G3:H3" si="12">SUM(G4:G6)</f>
        <v>595112</v>
      </c>
      <c r="H3" s="103">
        <f t="shared" si="12"/>
        <v>536880</v>
      </c>
      <c r="I3" s="103">
        <f t="shared" ref="I3:J3" si="13">SUM(I4:I6)</f>
        <v>1595676</v>
      </c>
      <c r="J3" s="103">
        <f t="shared" si="13"/>
        <v>756480</v>
      </c>
      <c r="K3" s="103">
        <f t="shared" ref="K3:L3" si="14">SUM(K4:K6)</f>
        <v>323220</v>
      </c>
      <c r="L3" s="103">
        <f t="shared" si="14"/>
        <v>155316</v>
      </c>
      <c r="M3" s="153">
        <f t="shared" si="10"/>
        <v>7476</v>
      </c>
      <c r="N3" s="103">
        <f t="shared" si="10"/>
        <v>140000</v>
      </c>
      <c r="O3" s="103">
        <f t="shared" ref="O3" si="15">SUM(O4:O6)</f>
        <v>15316</v>
      </c>
      <c r="P3" s="149">
        <f t="shared" ref="P3:R3" si="16">SUM(P4:P6)</f>
        <v>0</v>
      </c>
      <c r="Q3" s="153">
        <f t="shared" si="16"/>
        <v>0</v>
      </c>
      <c r="R3" s="103">
        <f t="shared" si="16"/>
        <v>7476</v>
      </c>
      <c r="S3" s="104">
        <f t="shared" si="10"/>
        <v>7476</v>
      </c>
      <c r="T3" s="106">
        <f t="shared" si="10"/>
        <v>0</v>
      </c>
      <c r="U3" s="106"/>
      <c r="V3" s="106">
        <f t="shared" si="10"/>
        <v>0</v>
      </c>
      <c r="W3" s="103">
        <f>SUM(W4:W6)</f>
        <v>500000</v>
      </c>
      <c r="X3" s="106">
        <f t="shared" si="10"/>
        <v>668400</v>
      </c>
      <c r="Y3" s="106">
        <f t="shared" si="10"/>
        <v>699760</v>
      </c>
      <c r="Z3" s="106">
        <f t="shared" si="10"/>
        <v>136800</v>
      </c>
      <c r="AA3" s="106">
        <f t="shared" si="10"/>
        <v>168000</v>
      </c>
      <c r="AB3" s="106">
        <f t="shared" ref="AB3:AF3" si="17">SUM(AB4:AB6)</f>
        <v>144000</v>
      </c>
      <c r="AC3" s="106">
        <f t="shared" si="17"/>
        <v>136800</v>
      </c>
      <c r="AD3" s="106">
        <f t="shared" si="17"/>
        <v>144000</v>
      </c>
      <c r="AE3" s="106">
        <f t="shared" si="17"/>
        <v>144000</v>
      </c>
      <c r="AF3" s="106">
        <f t="shared" si="17"/>
        <v>96000</v>
      </c>
    </row>
    <row r="4" spans="1:34" s="100" customFormat="1" ht="13.5" outlineLevel="1" x14ac:dyDescent="0.25">
      <c r="A4" s="101" t="s">
        <v>194</v>
      </c>
      <c r="B4" s="98">
        <f>_xlfn.XLOOKUP($A4,Prophix!$R:$R,Prophix!D:D,0)</f>
        <v>0</v>
      </c>
      <c r="C4" s="98">
        <f>_xlfn.XLOOKUP($A4,Prophix!$R:$R,Prophix!E:E,0)</f>
        <v>0</v>
      </c>
      <c r="D4" s="98">
        <f>_xlfn.XLOOKUP($A4,Prophix!$R:$R,Prophix!F:F,0)</f>
        <v>0</v>
      </c>
      <c r="E4" s="98">
        <f>_xlfn.XLOOKUP($A4,Prophix!$R:$R,Prophix!G:G,0)</f>
        <v>42360</v>
      </c>
      <c r="F4" s="98">
        <f>SUMIF(Prophix!$R:$R,'PK units'!$A4,Prophix!H:H)</f>
        <v>0</v>
      </c>
      <c r="G4" s="98">
        <f>SUMIF(Prophix!$R:$R,'PK units'!$A4,Prophix!I:I)</f>
        <v>0</v>
      </c>
      <c r="H4" s="98">
        <f>SUMIF(Prophix!$R:$R,'PK units'!$A4,Prophix!J:J)</f>
        <v>0</v>
      </c>
      <c r="I4" s="98">
        <f>SUMIF(Prophix!$R:$R,'PK units'!$A4,Prophix!K:K)</f>
        <v>81600</v>
      </c>
      <c r="J4" s="98">
        <f>SUMIF(Prophix!$R:$R,'PK units'!$A4,Prophix!L:L)</f>
        <v>0</v>
      </c>
      <c r="K4" s="98">
        <f>SUMIF(Prophix!$R:$R,'PK units'!$A4,Prophix!M:M)</f>
        <v>0</v>
      </c>
      <c r="L4" s="98">
        <f>SUMIF(Prophix!$R:$R,'PK units'!$A4,Prophix!N:N)</f>
        <v>0</v>
      </c>
      <c r="M4" s="152"/>
      <c r="N4" s="98">
        <f>SUMIFS('PK Sch'!$H:$H,'PK Sch'!$L:$L,$A4,'PK Sch'!$M:$M,MONTH(M$1))</f>
        <v>0</v>
      </c>
      <c r="O4" s="98">
        <f>+N4-M4</f>
        <v>0</v>
      </c>
      <c r="P4" s="150"/>
      <c r="Q4" s="152"/>
      <c r="R4" s="98">
        <f>SUMIFS('PK Sch'!$H:$H,'PK Sch'!$L:$L,$A4,'PK Sch'!$M:$M,MONTH(Q$1))</f>
        <v>0</v>
      </c>
      <c r="S4" s="99">
        <f>+R4-Q4</f>
        <v>0</v>
      </c>
      <c r="T4" s="119">
        <v>0</v>
      </c>
      <c r="U4" s="119"/>
      <c r="V4" s="119">
        <v>0</v>
      </c>
      <c r="W4" s="98">
        <v>0</v>
      </c>
      <c r="X4" s="119"/>
      <c r="Y4" s="119"/>
      <c r="Z4" s="119">
        <v>40800</v>
      </c>
      <c r="AA4" s="119"/>
      <c r="AB4" s="119"/>
      <c r="AC4" s="119">
        <v>40800</v>
      </c>
      <c r="AD4" s="119"/>
      <c r="AE4" s="119"/>
      <c r="AF4" s="119"/>
      <c r="AH4" s="100" t="s">
        <v>896</v>
      </c>
    </row>
    <row r="5" spans="1:34" s="100" customFormat="1" ht="13.5" outlineLevel="1" x14ac:dyDescent="0.25">
      <c r="A5" s="101" t="s">
        <v>197</v>
      </c>
      <c r="B5" s="98">
        <f>_xlfn.XLOOKUP($A5,Prophix!$R:$R,Prophix!D:D,0)</f>
        <v>243756</v>
      </c>
      <c r="C5" s="98">
        <f>_xlfn.XLOOKUP($A5,Prophix!$R:$R,Prophix!E:E,0)</f>
        <v>145680</v>
      </c>
      <c r="D5" s="98">
        <f>_xlfn.XLOOKUP($A5,Prophix!$R:$R,Prophix!F:F,0)</f>
        <v>15360</v>
      </c>
      <c r="E5" s="98">
        <f>_xlfn.XLOOKUP($A5,Prophix!$R:$R,Prophix!G:G,0)</f>
        <v>49440</v>
      </c>
      <c r="F5" s="98">
        <f>SUMIF(Prophix!$R:$R,'PK units'!$A5,Prophix!H:H)</f>
        <v>0</v>
      </c>
      <c r="G5" s="98">
        <f>SUMIF(Prophix!$R:$R,'PK units'!$A5,Prophix!I:I)</f>
        <v>141672</v>
      </c>
      <c r="H5" s="98">
        <f>SUMIF(Prophix!$R:$R,'PK units'!$A5,Prophix!J:J)</f>
        <v>56820</v>
      </c>
      <c r="I5" s="98">
        <f>SUMIF(Prophix!$R:$R,'PK units'!$A5,Prophix!K:K)</f>
        <v>230136</v>
      </c>
      <c r="J5" s="98">
        <f>SUMIF(Prophix!$R:$R,'PK units'!$A5,Prophix!L:L)</f>
        <v>25560</v>
      </c>
      <c r="K5" s="98">
        <f>SUMIF(Prophix!$R:$R,'PK units'!$A5,Prophix!M:M)</f>
        <v>323220</v>
      </c>
      <c r="L5" s="98">
        <f>SUMIF(Prophix!$R:$R,'PK units'!$A5,Prophix!N:N)</f>
        <v>155316</v>
      </c>
      <c r="M5" s="152">
        <f>-SUM('[2]Pk Pivot'!$D$7:$G$7)</f>
        <v>7476</v>
      </c>
      <c r="N5" s="98">
        <v>140000</v>
      </c>
      <c r="O5" s="98">
        <f>L5-N5</f>
        <v>15316</v>
      </c>
      <c r="P5" s="150"/>
      <c r="Q5" s="152"/>
      <c r="R5" s="98">
        <v>7476</v>
      </c>
      <c r="S5" s="99">
        <f t="shared" ref="S5:S6" si="18">+R5-Q5</f>
        <v>7476</v>
      </c>
      <c r="T5" s="119">
        <v>0</v>
      </c>
      <c r="U5" s="119"/>
      <c r="V5" s="119">
        <v>0</v>
      </c>
      <c r="W5" s="98">
        <v>500000</v>
      </c>
      <c r="X5" s="98">
        <f>518400-W5</f>
        <v>18400</v>
      </c>
      <c r="Y5" s="119"/>
      <c r="Z5" s="119">
        <v>96000</v>
      </c>
      <c r="AA5" s="119">
        <v>72000</v>
      </c>
      <c r="AB5" s="119">
        <v>72000</v>
      </c>
      <c r="AC5" s="119">
        <v>96000</v>
      </c>
      <c r="AD5" s="119">
        <v>72000</v>
      </c>
      <c r="AE5" s="119">
        <v>72000</v>
      </c>
      <c r="AF5" s="119">
        <v>96000</v>
      </c>
      <c r="AH5" s="100" t="s">
        <v>897</v>
      </c>
    </row>
    <row r="6" spans="1:34" s="100" customFormat="1" ht="13.5" outlineLevel="1" x14ac:dyDescent="0.25">
      <c r="A6" s="101" t="s">
        <v>201</v>
      </c>
      <c r="B6" s="98">
        <f>_xlfn.XLOOKUP($A6,Prophix!$R:$R,Prophix!D:D,0)</f>
        <v>0</v>
      </c>
      <c r="C6" s="98">
        <f>_xlfn.XLOOKUP($A6,Prophix!$R:$R,Prophix!E:E,0)</f>
        <v>0</v>
      </c>
      <c r="D6" s="98">
        <f>_xlfn.XLOOKUP($A6,Prophix!$R:$R,Prophix!F:F,0)</f>
        <v>0</v>
      </c>
      <c r="E6" s="98">
        <f>_xlfn.XLOOKUP($A6,Prophix!$R:$R,Prophix!G:G,0)</f>
        <v>0</v>
      </c>
      <c r="F6" s="98">
        <f>SUMIF(Prophix!$R:$R,'PK units'!$A6,Prophix!H:H)</f>
        <v>0</v>
      </c>
      <c r="G6" s="98">
        <f>SUMIF(Prophix!$R:$R,'PK units'!$A6,Prophix!I:I)</f>
        <v>453440</v>
      </c>
      <c r="H6" s="98">
        <f>SUMIF(Prophix!$R:$R,'PK units'!$A6,Prophix!J:J)</f>
        <v>480060</v>
      </c>
      <c r="I6" s="98">
        <f>SUMIF(Prophix!$R:$R,'PK units'!$A6,Prophix!K:K)</f>
        <v>1283940</v>
      </c>
      <c r="J6" s="98">
        <f>SUMIF(Prophix!$R:$R,'PK units'!$A6,Prophix!L:L)</f>
        <v>730920</v>
      </c>
      <c r="K6" s="98">
        <f>SUMIF(Prophix!$R:$R,'PK units'!$A6,Prophix!M:M)</f>
        <v>0</v>
      </c>
      <c r="L6" s="98">
        <f>SUMIF(Prophix!$R:$R,'PK units'!$A6,Prophix!N:N)</f>
        <v>0</v>
      </c>
      <c r="M6" s="152"/>
      <c r="N6" s="98">
        <f>SUMIFS('PK Sch'!$H:$H,'PK Sch'!$L:$L,$A6,'PK Sch'!$M:$M,MONTH(M$1))</f>
        <v>0</v>
      </c>
      <c r="O6" s="98">
        <f t="shared" ref="O6" si="19">+N6-M6</f>
        <v>0</v>
      </c>
      <c r="P6" s="150"/>
      <c r="Q6" s="152"/>
      <c r="R6" s="98">
        <f>SUMIFS('PK Sch'!$H:$H,'PK Sch'!$L:$L,$A6,'PK Sch'!$M:$M,MONTH(Q$1))</f>
        <v>0</v>
      </c>
      <c r="S6" s="99">
        <f t="shared" si="18"/>
        <v>0</v>
      </c>
      <c r="T6" s="119">
        <v>0</v>
      </c>
      <c r="U6" s="119"/>
      <c r="V6" s="119">
        <v>0</v>
      </c>
      <c r="W6" s="98"/>
      <c r="X6" s="98">
        <v>650000</v>
      </c>
      <c r="Y6" s="98">
        <v>699760</v>
      </c>
      <c r="Z6" s="119"/>
      <c r="AA6" s="119">
        <v>96000</v>
      </c>
      <c r="AB6" s="119">
        <v>72000</v>
      </c>
      <c r="AC6" s="119"/>
      <c r="AD6" s="119">
        <v>72000</v>
      </c>
      <c r="AE6" s="119">
        <v>72000</v>
      </c>
      <c r="AF6" s="119"/>
      <c r="AH6" s="100" t="s">
        <v>898</v>
      </c>
    </row>
    <row r="7" spans="1:34" s="48" customFormat="1" x14ac:dyDescent="0.25">
      <c r="A7" s="102" t="s">
        <v>663</v>
      </c>
      <c r="B7" s="103">
        <f>SUM(B8:B10)</f>
        <v>0</v>
      </c>
      <c r="C7" s="103">
        <f t="shared" ref="C7" si="20">SUM(C8:C10)</f>
        <v>42496</v>
      </c>
      <c r="D7" s="103">
        <f t="shared" ref="D7" si="21">SUM(D8:D10)</f>
        <v>63680</v>
      </c>
      <c r="E7" s="103">
        <f t="shared" ref="E7" si="22">SUM(E8:E10)</f>
        <v>298160</v>
      </c>
      <c r="F7" s="103">
        <f t="shared" ref="F7" si="23">SUM(F8:F10)</f>
        <v>308240</v>
      </c>
      <c r="G7" s="103">
        <f t="shared" ref="G7:H7" si="24">SUM(G8:G10)</f>
        <v>110816</v>
      </c>
      <c r="H7" s="103">
        <f t="shared" si="24"/>
        <v>602496</v>
      </c>
      <c r="I7" s="103">
        <f t="shared" ref="I7:J7" si="25">SUM(I8:I10)</f>
        <v>395416</v>
      </c>
      <c r="J7" s="103">
        <f t="shared" si="25"/>
        <v>524752</v>
      </c>
      <c r="K7" s="103">
        <f t="shared" ref="K7:L7" si="26">SUM(K8:K10)</f>
        <v>863834</v>
      </c>
      <c r="L7" s="103">
        <f t="shared" si="26"/>
        <v>420000</v>
      </c>
      <c r="M7" s="153">
        <f t="shared" ref="M7:N7" si="27">SUM(M8:M10)</f>
        <v>544016</v>
      </c>
      <c r="N7" s="103">
        <f t="shared" si="27"/>
        <v>302416</v>
      </c>
      <c r="O7" s="103">
        <f t="shared" ref="O7" si="28">SUM(O8:O10)</f>
        <v>117584</v>
      </c>
      <c r="P7" s="149">
        <f t="shared" ref="P7:R7" si="29">SUM(P8:P10)</f>
        <v>893760</v>
      </c>
      <c r="Q7" s="153">
        <f t="shared" si="29"/>
        <v>776176</v>
      </c>
      <c r="R7" s="103">
        <f t="shared" si="29"/>
        <v>720000</v>
      </c>
      <c r="S7" s="104">
        <f t="shared" ref="S7:W7" si="30">SUM(S8:S10)</f>
        <v>-56176</v>
      </c>
      <c r="T7" s="103">
        <f t="shared" si="30"/>
        <v>800000</v>
      </c>
      <c r="U7" s="103">
        <f t="shared" si="30"/>
        <v>797009</v>
      </c>
      <c r="V7" s="103">
        <v>489848</v>
      </c>
      <c r="W7" s="103">
        <f t="shared" si="30"/>
        <v>80000</v>
      </c>
      <c r="X7" s="103">
        <v>250880</v>
      </c>
      <c r="Y7" s="106">
        <v>556848</v>
      </c>
      <c r="Z7" s="106">
        <v>518424</v>
      </c>
      <c r="AA7" s="106">
        <v>758424</v>
      </c>
      <c r="AB7" s="106">
        <v>758424</v>
      </c>
      <c r="AC7" s="106">
        <v>600000</v>
      </c>
      <c r="AD7" s="106">
        <v>536000</v>
      </c>
      <c r="AE7" s="106">
        <v>504000</v>
      </c>
      <c r="AF7" s="106">
        <v>600000</v>
      </c>
    </row>
    <row r="8" spans="1:34" s="100" customFormat="1" ht="13.5" hidden="1" outlineLevel="1" x14ac:dyDescent="0.25">
      <c r="A8" s="101" t="s">
        <v>143</v>
      </c>
      <c r="B8" s="98">
        <f>_xlfn.XLOOKUP($A8,Prophix!$R:$R,Prophix!D:D,0)</f>
        <v>0</v>
      </c>
      <c r="C8" s="98">
        <f>_xlfn.XLOOKUP($A8,Prophix!$R:$R,Prophix!E:E,0)</f>
        <v>0</v>
      </c>
      <c r="D8" s="98">
        <f>_xlfn.XLOOKUP($A8,Prophix!$R:$R,Prophix!F:F,0)</f>
        <v>0</v>
      </c>
      <c r="E8" s="98">
        <f>_xlfn.XLOOKUP($A8,Prophix!$R:$R,Prophix!G:G,0)</f>
        <v>160240</v>
      </c>
      <c r="F8" s="98">
        <f>SUMIF(Prophix!$R:$R,'PK units'!$A8,Prophix!H:H)</f>
        <v>202016</v>
      </c>
      <c r="G8" s="98">
        <f>SUMIF(Prophix!$R:$R,'PK units'!$A8,Prophix!I:I)</f>
        <v>75936</v>
      </c>
      <c r="H8" s="98">
        <f>SUMIF(Prophix!$R:$R,'PK units'!$A8,Prophix!J:J)</f>
        <v>228104</v>
      </c>
      <c r="I8" s="98">
        <f>SUMIF(Prophix!$R:$R,'PK units'!$A8,Prophix!K:K)</f>
        <v>290120</v>
      </c>
      <c r="J8" s="98">
        <f>SUMIF(Prophix!$R:$R,'PK units'!$A8,Prophix!L:L)</f>
        <v>418080</v>
      </c>
      <c r="K8" s="98">
        <f>SUMIF(Prophix!$R:$R,'PK units'!$A8,Prophix!M:M)</f>
        <v>347728</v>
      </c>
      <c r="L8" s="98">
        <v>210000</v>
      </c>
      <c r="M8" s="152">
        <v>198576</v>
      </c>
      <c r="N8" s="98">
        <v>157312</v>
      </c>
      <c r="O8" s="98">
        <f>L8-N8</f>
        <v>52688</v>
      </c>
      <c r="P8" s="150">
        <v>376320</v>
      </c>
      <c r="Q8" s="152">
        <f>+P8-O8</f>
        <v>323632</v>
      </c>
      <c r="R8" s="98">
        <v>360000</v>
      </c>
      <c r="S8" s="99">
        <f t="shared" ref="S8:S17" si="31">+R8-Q8</f>
        <v>36368</v>
      </c>
      <c r="T8" s="98">
        <v>400000</v>
      </c>
      <c r="U8" s="98">
        <v>369128</v>
      </c>
      <c r="V8" s="98">
        <v>160000</v>
      </c>
      <c r="W8" s="98">
        <v>0</v>
      </c>
      <c r="X8" s="98">
        <v>192000</v>
      </c>
      <c r="Y8" s="98">
        <v>192000</v>
      </c>
      <c r="Z8" s="98">
        <v>256000</v>
      </c>
      <c r="AA8" s="98">
        <v>256000</v>
      </c>
      <c r="AB8" s="98">
        <v>256000</v>
      </c>
      <c r="AC8" s="98">
        <v>256000</v>
      </c>
      <c r="AD8" s="98">
        <v>256000</v>
      </c>
      <c r="AE8" s="98">
        <v>208000</v>
      </c>
      <c r="AF8" s="98">
        <v>208000</v>
      </c>
      <c r="AH8" s="100" t="s">
        <v>899</v>
      </c>
    </row>
    <row r="9" spans="1:34" s="100" customFormat="1" ht="13.5" hidden="1" outlineLevel="1" x14ac:dyDescent="0.25">
      <c r="A9" s="101" t="s">
        <v>149</v>
      </c>
      <c r="B9" s="98">
        <f>_xlfn.XLOOKUP($A9,Prophix!$R:$R,Prophix!D:D,0)</f>
        <v>0</v>
      </c>
      <c r="C9" s="98">
        <f>_xlfn.XLOOKUP($A9,Prophix!$R:$R,Prophix!E:E,0)</f>
        <v>0</v>
      </c>
      <c r="D9" s="98">
        <f>_xlfn.XLOOKUP($A9,Prophix!$R:$R,Prophix!F:F,0)</f>
        <v>0</v>
      </c>
      <c r="E9" s="98">
        <f>_xlfn.XLOOKUP($A9,Prophix!$R:$R,Prophix!G:G,0)</f>
        <v>137920</v>
      </c>
      <c r="F9" s="98">
        <f>SUMIF(Prophix!$R:$R,'PK units'!$A9,Prophix!H:H)</f>
        <v>65800</v>
      </c>
      <c r="G9" s="98">
        <f>SUMIF(Prophix!$R:$R,'PK units'!$A9,Prophix!I:I)</f>
        <v>11072</v>
      </c>
      <c r="H9" s="98">
        <f>SUMIF(Prophix!$R:$R,'PK units'!$A9,Prophix!J:J)</f>
        <v>218376</v>
      </c>
      <c r="I9" s="98">
        <f>SUMIF(Prophix!$R:$R,'PK units'!$A9,Prophix!K:K)</f>
        <v>105296</v>
      </c>
      <c r="J9" s="98">
        <f>SUMIF(Prophix!$R:$R,'PK units'!$A9,Prophix!L:L)</f>
        <v>67616</v>
      </c>
      <c r="K9" s="98">
        <f>SUMIF(Prophix!$R:$R,'PK units'!$A9,Prophix!M:M)</f>
        <v>346841</v>
      </c>
      <c r="L9" s="98">
        <v>70000</v>
      </c>
      <c r="M9" s="152">
        <v>223096</v>
      </c>
      <c r="N9" s="98">
        <v>132288</v>
      </c>
      <c r="O9" s="98">
        <f>L9-N9</f>
        <v>-62288</v>
      </c>
      <c r="P9" s="150">
        <v>250880</v>
      </c>
      <c r="Q9" s="152">
        <f t="shared" ref="Q9:Q10" si="32">+P9-O9</f>
        <v>313168</v>
      </c>
      <c r="R9" s="98">
        <v>200000</v>
      </c>
      <c r="S9" s="99">
        <f t="shared" si="31"/>
        <v>-113168</v>
      </c>
      <c r="T9" s="98">
        <v>120000</v>
      </c>
      <c r="U9" s="98">
        <v>202873</v>
      </c>
      <c r="V9" s="98">
        <v>200000</v>
      </c>
      <c r="W9" s="98">
        <v>80000</v>
      </c>
      <c r="X9" s="98">
        <v>0</v>
      </c>
      <c r="Y9" s="98">
        <v>192000</v>
      </c>
      <c r="Z9" s="98">
        <v>144000</v>
      </c>
      <c r="AA9" s="98">
        <v>192000</v>
      </c>
      <c r="AB9" s="98">
        <v>192000</v>
      </c>
      <c r="AC9" s="98">
        <v>176000</v>
      </c>
      <c r="AD9" s="98">
        <v>128000</v>
      </c>
      <c r="AE9" s="98">
        <v>160000</v>
      </c>
      <c r="AF9" s="98">
        <v>144000</v>
      </c>
      <c r="AH9" s="100" t="s">
        <v>900</v>
      </c>
    </row>
    <row r="10" spans="1:34" s="100" customFormat="1" ht="13.5" hidden="1" outlineLevel="1" x14ac:dyDescent="0.25">
      <c r="A10" s="101" t="s">
        <v>156</v>
      </c>
      <c r="B10" s="98">
        <f>_xlfn.XLOOKUP($A10,Prophix!$R:$R,Prophix!D:D,0)</f>
        <v>0</v>
      </c>
      <c r="C10" s="98">
        <f>_xlfn.XLOOKUP($A10,Prophix!$R:$R,Prophix!E:E,0)</f>
        <v>42496</v>
      </c>
      <c r="D10" s="98">
        <f>_xlfn.XLOOKUP($A10,Prophix!$R:$R,Prophix!F:F,0)</f>
        <v>63680</v>
      </c>
      <c r="E10" s="98">
        <f>_xlfn.XLOOKUP($A10,Prophix!$R:$R,Prophix!G:G,0)</f>
        <v>0</v>
      </c>
      <c r="F10" s="98">
        <f>SUMIF(Prophix!$R:$R,'PK units'!$A10,Prophix!H:H)</f>
        <v>40424</v>
      </c>
      <c r="G10" s="98">
        <f>SUMIF(Prophix!$R:$R,'PK units'!$A10,Prophix!I:I)</f>
        <v>23808</v>
      </c>
      <c r="H10" s="98">
        <f>SUMIF(Prophix!$R:$R,'PK units'!$A10,Prophix!J:J)</f>
        <v>156016</v>
      </c>
      <c r="I10" s="98">
        <f>SUMIF(Prophix!$R:$R,'PK units'!$A10,Prophix!K:K)</f>
        <v>0</v>
      </c>
      <c r="J10" s="98">
        <f>SUMIF(Prophix!$R:$R,'PK units'!$A10,Prophix!L:L)</f>
        <v>39056</v>
      </c>
      <c r="K10" s="98">
        <f>SUMIF(Prophix!$R:$R,'PK units'!$A10,Prophix!M:M)</f>
        <v>169265</v>
      </c>
      <c r="L10" s="98">
        <v>140000</v>
      </c>
      <c r="M10" s="152">
        <v>122344</v>
      </c>
      <c r="N10" s="98">
        <v>12816</v>
      </c>
      <c r="O10" s="98">
        <f>L10-N10</f>
        <v>127184</v>
      </c>
      <c r="P10" s="150">
        <v>266560</v>
      </c>
      <c r="Q10" s="152">
        <f t="shared" si="32"/>
        <v>139376</v>
      </c>
      <c r="R10" s="98">
        <v>160000</v>
      </c>
      <c r="S10" s="99">
        <f t="shared" si="31"/>
        <v>20624</v>
      </c>
      <c r="T10" s="98">
        <v>280000</v>
      </c>
      <c r="U10" s="98">
        <v>225008</v>
      </c>
      <c r="V10" s="98">
        <v>160000</v>
      </c>
      <c r="W10" s="98">
        <v>0</v>
      </c>
      <c r="X10" s="98">
        <v>0</v>
      </c>
      <c r="Y10" s="98">
        <v>0</v>
      </c>
      <c r="Z10" s="98">
        <v>112000</v>
      </c>
      <c r="AA10" s="98">
        <v>144000</v>
      </c>
      <c r="AB10" s="98">
        <v>128000</v>
      </c>
      <c r="AC10" s="98">
        <v>128000</v>
      </c>
      <c r="AD10" s="98">
        <v>80000</v>
      </c>
      <c r="AE10" s="98">
        <v>64000</v>
      </c>
      <c r="AF10" s="98">
        <v>64000</v>
      </c>
      <c r="AH10" s="100" t="s">
        <v>901</v>
      </c>
    </row>
    <row r="11" spans="1:34" s="48" customFormat="1" collapsed="1" x14ac:dyDescent="0.25">
      <c r="A11" s="102" t="s">
        <v>209</v>
      </c>
      <c r="B11" s="103">
        <f>_xlfn.XLOOKUP($A11,Prophix!$R:$R,Prophix!D:D,0)</f>
        <v>2667</v>
      </c>
      <c r="C11" s="103">
        <f>_xlfn.XLOOKUP($A11,Prophix!$R:$R,Prophix!E:E,0)</f>
        <v>51504</v>
      </c>
      <c r="D11" s="103">
        <f>_xlfn.XLOOKUP($A11,Prophix!$R:$R,Prophix!F:F,0)</f>
        <v>38352</v>
      </c>
      <c r="E11" s="103">
        <f>_xlfn.XLOOKUP($A11,Prophix!$R:$R,Prophix!G:G,0)</f>
        <v>0</v>
      </c>
      <c r="F11" s="103">
        <f>SUMIF(Prophix!R:R,'PK units'!A11,Prophix!H:H)</f>
        <v>33984</v>
      </c>
      <c r="G11" s="103">
        <f>SUMIF(Prophix!$R:$R,'PK units'!$A11,Prophix!I:I)</f>
        <v>19008</v>
      </c>
      <c r="H11" s="103">
        <f>SUMIF(Prophix!$R:$R,'PK units'!$A11,Prophix!J:J)</f>
        <v>18144</v>
      </c>
      <c r="I11" s="103">
        <f>SUMIF(Prophix!$R:$R,'PK units'!$A11,Prophix!K:K)</f>
        <v>0</v>
      </c>
      <c r="J11" s="103">
        <f>SUMIF(Prophix!$R:$R,'PK units'!$A11,Prophix!L:L)</f>
        <v>0</v>
      </c>
      <c r="K11" s="103">
        <f>SUMIF(Prophix!$R:$R,'PK units'!$A11,Prophix!M:M)</f>
        <v>0</v>
      </c>
      <c r="L11" s="103">
        <f>SUMIF(Prophix!$R:$R,'PK units'!$A11,Prophix!N:N)</f>
        <v>0</v>
      </c>
      <c r="M11" s="153"/>
      <c r="N11" s="103">
        <f>SUMIFS('PK Sch'!$H:$H,'PK Sch'!$L:$L,$A11,'PK Sch'!$M:$M,MONTH(M$1))</f>
        <v>0</v>
      </c>
      <c r="O11" s="103">
        <f t="shared" ref="O11:O16" si="33">+N11-M11</f>
        <v>0</v>
      </c>
      <c r="P11" s="149"/>
      <c r="Q11" s="153"/>
      <c r="R11" s="103">
        <f>SUMIFS('PK Sch'!$H:$H,'PK Sch'!$L:$L,$A11,'PK Sch'!$M:$M,MONTH(Q$1))</f>
        <v>0</v>
      </c>
      <c r="S11" s="104">
        <f t="shared" si="31"/>
        <v>0</v>
      </c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H11" s="48" t="s">
        <v>902</v>
      </c>
    </row>
    <row r="12" spans="1:34" s="48" customFormat="1" x14ac:dyDescent="0.25">
      <c r="A12" s="102" t="s">
        <v>164</v>
      </c>
      <c r="B12" s="103">
        <f>_xlfn.XLOOKUP($A12,Prophix!$R:$R,Prophix!D:D,0)</f>
        <v>0</v>
      </c>
      <c r="C12" s="103">
        <f>_xlfn.XLOOKUP($A12,Prophix!$R:$R,Prophix!E:E,0)</f>
        <v>0</v>
      </c>
      <c r="D12" s="103">
        <f>_xlfn.XLOOKUP($A12,Prophix!$R:$R,Prophix!F:F,0)</f>
        <v>28250</v>
      </c>
      <c r="E12" s="103">
        <f>_xlfn.XLOOKUP($A12,Prophix!$R:$R,Prophix!G:G,0)</f>
        <v>0</v>
      </c>
      <c r="F12" s="103">
        <f>SUMIF(Prophix!$R:$R,'PK units'!$A12,Prophix!H:H)</f>
        <v>0</v>
      </c>
      <c r="G12" s="103">
        <f>SUMIF(Prophix!$R:$R,'PK units'!$A12,Prophix!I:I)</f>
        <v>0</v>
      </c>
      <c r="H12" s="103">
        <f>SUMIF(Prophix!$R:$R,'PK units'!$A12,Prophix!J:J)</f>
        <v>0</v>
      </c>
      <c r="I12" s="103">
        <f>SUMIF(Prophix!$R:$R,'PK units'!$A12,Prophix!K:K)</f>
        <v>15000</v>
      </c>
      <c r="J12" s="103">
        <f>SUMIF(Prophix!$R:$R,'PK units'!$A12,Prophix!L:L)</f>
        <v>0</v>
      </c>
      <c r="K12" s="103">
        <f>SUMIF(Prophix!$R:$R,'PK units'!$A12,Prophix!M:M)</f>
        <v>0</v>
      </c>
      <c r="L12" s="103">
        <f>SUMIF(Prophix!$R:$R,'PK units'!$A12,Prophix!N:N)</f>
        <v>0</v>
      </c>
      <c r="M12" s="153"/>
      <c r="N12" s="103">
        <f>SUMIFS('PK Sch'!$H:$H,'PK Sch'!$L:$L,$A12,'PK Sch'!$M:$M,MONTH(M$1))</f>
        <v>0</v>
      </c>
      <c r="O12" s="103">
        <f t="shared" si="33"/>
        <v>0</v>
      </c>
      <c r="P12" s="149"/>
      <c r="Q12" s="153"/>
      <c r="R12" s="103">
        <f>SUMIFS('PK Sch'!$H:$H,'PK Sch'!$L:$L,$A12,'PK Sch'!$M:$M,MONTH(Q$1))</f>
        <v>0</v>
      </c>
      <c r="S12" s="104">
        <f t="shared" si="31"/>
        <v>0</v>
      </c>
      <c r="T12" s="103"/>
      <c r="U12" s="103"/>
      <c r="V12" s="106"/>
      <c r="W12" s="106"/>
      <c r="X12" s="106"/>
      <c r="Y12" s="106"/>
      <c r="Z12" s="106"/>
      <c r="AA12" s="106"/>
      <c r="AB12" s="106"/>
      <c r="AC12" s="103"/>
      <c r="AD12" s="103"/>
      <c r="AE12" s="103"/>
      <c r="AF12" s="103"/>
      <c r="AH12" s="48" t="s">
        <v>903</v>
      </c>
    </row>
    <row r="13" spans="1:34" s="48" customFormat="1" hidden="1" x14ac:dyDescent="0.25">
      <c r="A13" s="102" t="s">
        <v>168</v>
      </c>
      <c r="B13" s="103">
        <f>_xlfn.XLOOKUP($A13,Prophix!$R:$R,Prophix!D:D,0)</f>
        <v>9828</v>
      </c>
      <c r="C13" s="103">
        <f>_xlfn.XLOOKUP($A13,Prophix!$R:$R,Prophix!E:E,0)</f>
        <v>2100</v>
      </c>
      <c r="D13" s="103">
        <f>_xlfn.XLOOKUP($A13,Prophix!$R:$R,Prophix!F:F,0)</f>
        <v>0</v>
      </c>
      <c r="E13" s="103">
        <f>_xlfn.XLOOKUP($A13,Prophix!$R:$R,Prophix!G:G,0)</f>
        <v>0</v>
      </c>
      <c r="F13" s="103">
        <f>SUMIF(Prophix!$R:$R,'PK units'!$A13,Prophix!H:H)</f>
        <v>0</v>
      </c>
      <c r="G13" s="103">
        <f>SUMIF(Prophix!$R:$R,'PK units'!$A13,Prophix!I:I)</f>
        <v>0</v>
      </c>
      <c r="H13" s="103">
        <f>SUMIF(Prophix!$R:$R,'PK units'!$A13,Prophix!J:J)</f>
        <v>0</v>
      </c>
      <c r="I13" s="103">
        <f>SUMIF(Prophix!$R:$R,'PK units'!$A13,Prophix!K:K)</f>
        <v>0</v>
      </c>
      <c r="J13" s="103">
        <f>SUMIF(Prophix!$R:$R,'PK units'!$A13,Prophix!L:L)</f>
        <v>0</v>
      </c>
      <c r="K13" s="103">
        <f>SUMIF(Prophix!$R:$R,'PK units'!$A13,Prophix!M:M)</f>
        <v>0</v>
      </c>
      <c r="L13" s="103">
        <f>SUMIF(Prophix!$R:$R,'PK units'!$A13,Prophix!N:N)</f>
        <v>0</v>
      </c>
      <c r="M13" s="153"/>
      <c r="N13" s="103">
        <f>SUMIFS('PK Sch'!$H:$H,'PK Sch'!$L:$L,$A13,'PK Sch'!$M:$M,MONTH(M$1))</f>
        <v>0</v>
      </c>
      <c r="O13" s="103">
        <f t="shared" si="33"/>
        <v>0</v>
      </c>
      <c r="P13" s="149"/>
      <c r="Q13" s="153"/>
      <c r="R13" s="103">
        <f>SUMIFS('PK Sch'!$H:$H,'PK Sch'!$L:$L,$A13,'PK Sch'!$M:$M,MONTH(Q$1))</f>
        <v>0</v>
      </c>
      <c r="S13" s="104">
        <f t="shared" si="31"/>
        <v>0</v>
      </c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</row>
    <row r="14" spans="1:34" s="48" customFormat="1" x14ac:dyDescent="0.25">
      <c r="A14" s="102" t="s">
        <v>173</v>
      </c>
      <c r="B14" s="103">
        <f>_xlfn.XLOOKUP($A14,Prophix!$R:$R,Prophix!D:D,0)</f>
        <v>126768</v>
      </c>
      <c r="C14" s="103">
        <f>_xlfn.XLOOKUP($A14,Prophix!$R:$R,Prophix!E:E,0)</f>
        <v>119762</v>
      </c>
      <c r="D14" s="103">
        <f>_xlfn.XLOOKUP($A14,Prophix!$R:$R,Prophix!F:F,0)</f>
        <v>130128</v>
      </c>
      <c r="E14" s="103">
        <f>_xlfn.XLOOKUP($A14,Prophix!$R:$R,Prophix!G:G,0)</f>
        <v>191472</v>
      </c>
      <c r="F14" s="103">
        <f>SUMIF(Prophix!$R:$R,'PK units'!$A14,Prophix!H:H)</f>
        <v>122738</v>
      </c>
      <c r="G14" s="103">
        <f>SUMIF(Prophix!$R:$R,'PK units'!$A14,Prophix!I:I)</f>
        <v>151392</v>
      </c>
      <c r="H14" s="103">
        <f>SUMIF(Prophix!$R:$R,'PK units'!$A14,Prophix!J:J)</f>
        <v>159120</v>
      </c>
      <c r="I14" s="103">
        <f>SUMIF(Prophix!$R:$R,'PK units'!$A14,Prophix!K:K)</f>
        <v>129218</v>
      </c>
      <c r="J14" s="103">
        <f>SUMIF(Prophix!$R:$R,'PK units'!$A14,Prophix!L:L)</f>
        <v>150048</v>
      </c>
      <c r="K14" s="103">
        <f>SUMIF(Prophix!$R:$R,'PK units'!$A14,Prophix!M:M)</f>
        <v>147504</v>
      </c>
      <c r="L14" s="103">
        <v>138914</v>
      </c>
      <c r="M14" s="153">
        <f>+N14</f>
        <v>156482</v>
      </c>
      <c r="N14" s="103">
        <v>156482</v>
      </c>
      <c r="O14" s="103">
        <f>L14-N14</f>
        <v>-17568</v>
      </c>
      <c r="P14" s="149"/>
      <c r="Q14" s="153">
        <f>+R14</f>
        <v>144496</v>
      </c>
      <c r="R14" s="103">
        <v>144496</v>
      </c>
      <c r="S14" s="104">
        <f t="shared" si="31"/>
        <v>0</v>
      </c>
      <c r="T14" s="103">
        <v>102672</v>
      </c>
      <c r="U14" s="103">
        <v>102048</v>
      </c>
      <c r="V14" s="103">
        <v>91202</v>
      </c>
      <c r="W14" s="103">
        <v>91200</v>
      </c>
      <c r="X14" s="103">
        <v>91200</v>
      </c>
      <c r="Y14" s="103">
        <v>91200</v>
      </c>
      <c r="Z14" s="103">
        <v>91200</v>
      </c>
      <c r="AA14" s="103">
        <v>91200</v>
      </c>
      <c r="AB14" s="103">
        <v>72960</v>
      </c>
      <c r="AC14" s="103">
        <v>72960</v>
      </c>
      <c r="AD14" s="103">
        <v>72960</v>
      </c>
      <c r="AE14" s="103">
        <v>72960</v>
      </c>
      <c r="AF14" s="103">
        <v>60640</v>
      </c>
    </row>
    <row r="15" spans="1:34" s="48" customFormat="1" x14ac:dyDescent="0.25">
      <c r="A15" s="102" t="s">
        <v>189</v>
      </c>
      <c r="B15" s="103">
        <f>_xlfn.XLOOKUP($A15,Prophix!$R:$R,Prophix!D:D,0)</f>
        <v>0</v>
      </c>
      <c r="C15" s="103">
        <f>_xlfn.XLOOKUP($A15,Prophix!$R:$R,Prophix!E:E,0)</f>
        <v>0</v>
      </c>
      <c r="D15" s="103">
        <f>_xlfn.XLOOKUP($A15,Prophix!$R:$R,Prophix!F:F,0)</f>
        <v>0</v>
      </c>
      <c r="E15" s="103">
        <f>_xlfn.XLOOKUP($A15,Prophix!$R:$R,Prophix!G:G,0)</f>
        <v>3696</v>
      </c>
      <c r="F15" s="103">
        <f>SUMIF(Prophix!$R:$R,'PK units'!$A15,Prophix!H:H)</f>
        <v>0</v>
      </c>
      <c r="G15" s="103">
        <f>SUMIF(Prophix!$R:$R,'PK units'!$A15,Prophix!I:I)</f>
        <v>0</v>
      </c>
      <c r="H15" s="103">
        <f>SUMIF(Prophix!$R:$R,'PK units'!$A15,Prophix!J:J)</f>
        <v>0</v>
      </c>
      <c r="I15" s="103">
        <f>SUMIF(Prophix!$R:$R,'PK units'!$A15,Prophix!K:K)</f>
        <v>0</v>
      </c>
      <c r="J15" s="103">
        <f>SUMIF(Prophix!$R:$R,'PK units'!$A15,Prophix!L:L)</f>
        <v>31680</v>
      </c>
      <c r="K15" s="103">
        <f>SUMIF(Prophix!$R:$R,'PK units'!$A15,Prophix!M:M)</f>
        <v>156310</v>
      </c>
      <c r="L15" s="103">
        <f>SUMIF(Prophix!$R:$R,'PK units'!$A15,Prophix!N:N)</f>
        <v>0</v>
      </c>
      <c r="M15" s="153"/>
      <c r="N15" s="103">
        <f>SUMIFS('PK Sch'!$H:$H,'PK Sch'!$L:$L,$A15,'PK Sch'!$M:$M,MONTH(M$1))</f>
        <v>0</v>
      </c>
      <c r="O15" s="103">
        <f t="shared" si="33"/>
        <v>0</v>
      </c>
      <c r="P15" s="149"/>
      <c r="Q15" s="153"/>
      <c r="R15" s="103">
        <f>SUMIFS('PK Sch'!$H:$H,'PK Sch'!$L:$L,$A15,'PK Sch'!$M:$M,MONTH(Q$1))</f>
        <v>0</v>
      </c>
      <c r="S15" s="104">
        <f t="shared" si="31"/>
        <v>0</v>
      </c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</row>
    <row r="16" spans="1:34" s="48" customFormat="1" hidden="1" x14ac:dyDescent="0.25">
      <c r="A16" s="102" t="s">
        <v>233</v>
      </c>
      <c r="B16" s="103">
        <f>_xlfn.XLOOKUP($A16,Prophix!$R:$R,Prophix!D:D,0)</f>
        <v>0</v>
      </c>
      <c r="C16" s="103">
        <f>_xlfn.XLOOKUP($A16,Prophix!$R:$R,Prophix!E:E,0)</f>
        <v>0</v>
      </c>
      <c r="D16" s="103">
        <f>_xlfn.XLOOKUP($A16,Prophix!$R:$R,Prophix!F:F,0)</f>
        <v>60</v>
      </c>
      <c r="E16" s="103">
        <f>_xlfn.XLOOKUP($A16,Prophix!$R:$R,Prophix!G:G,0)</f>
        <v>0</v>
      </c>
      <c r="F16" s="103">
        <f>SUMIF(Prophix!$R:$R,'PK units'!$A16,Prophix!H:H)</f>
        <v>0</v>
      </c>
      <c r="G16" s="103">
        <f>SUMIF(Prophix!$R:$R,'PK units'!$A16,Prophix!I:I)</f>
        <v>0</v>
      </c>
      <c r="H16" s="103">
        <f>SUMIF(Prophix!$R:$R,'PK units'!$A16,Prophix!J:J)</f>
        <v>0</v>
      </c>
      <c r="I16" s="103">
        <f>SUMIF(Prophix!$R:$R,'PK units'!$A16,Prophix!K:K)</f>
        <v>0</v>
      </c>
      <c r="J16" s="103">
        <f>SUMIF(Prophix!$R:$R,'PK units'!$A16,Prophix!L:L)</f>
        <v>0</v>
      </c>
      <c r="K16" s="103">
        <f>SUMIF(Prophix!$R:$R,'PK units'!$A16,Prophix!M:M)</f>
        <v>0</v>
      </c>
      <c r="L16" s="103">
        <f>SUMIF(Prophix!$R:$R,'PK units'!$A16,Prophix!N:N)</f>
        <v>0</v>
      </c>
      <c r="M16" s="153"/>
      <c r="N16" s="103">
        <f>SUMIFS('PK Sch'!$H:$H,'PK Sch'!$L:$L,$A16,'PK Sch'!$M:$M,MONTH(M$1))</f>
        <v>0</v>
      </c>
      <c r="O16" s="103">
        <f t="shared" si="33"/>
        <v>0</v>
      </c>
      <c r="P16" s="149"/>
      <c r="Q16" s="153"/>
      <c r="R16" s="103">
        <f>SUMIFS('PK Sch'!$H:$H,'PK Sch'!$L:$L,$A16,'PK Sch'!$M:$M,MONTH(Q$1))</f>
        <v>0</v>
      </c>
      <c r="S16" s="104">
        <f t="shared" si="31"/>
        <v>0</v>
      </c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</row>
    <row r="17" spans="1:34" s="48" customFormat="1" x14ac:dyDescent="0.25">
      <c r="A17" s="102" t="s">
        <v>98</v>
      </c>
      <c r="B17" s="103">
        <f>_xlfn.XLOOKUP($A17,Prophix!$R:$R,Prophix!D:D,0)</f>
        <v>7525</v>
      </c>
      <c r="C17" s="103">
        <f>_xlfn.XLOOKUP($A17,Prophix!$R:$R,Prophix!E:E,0)</f>
        <v>14816</v>
      </c>
      <c r="D17" s="103">
        <f>_xlfn.XLOOKUP($A17,Prophix!$R:$R,Prophix!F:F,0)</f>
        <v>4016</v>
      </c>
      <c r="E17" s="103">
        <f>_xlfn.XLOOKUP($A17,Prophix!$R:$R,Prophix!G:G,0)</f>
        <v>6681</v>
      </c>
      <c r="F17" s="103">
        <f>SUMIF(Prophix!$R:$R,'PK units'!$A17,Prophix!H:H)</f>
        <v>16240</v>
      </c>
      <c r="G17" s="103">
        <f>SUMIF(Prophix!$R:$R,'PK units'!$A17,Prophix!I:I)</f>
        <v>8613</v>
      </c>
      <c r="H17" s="103">
        <f>SUMIF(Prophix!$R:$R,'PK units'!$A17,Prophix!J:J)</f>
        <v>5308</v>
      </c>
      <c r="I17" s="103">
        <f>SUMIF(Prophix!$R:$R,'PK units'!$A17,Prophix!K:K)</f>
        <v>1079</v>
      </c>
      <c r="J17" s="103">
        <f>SUMIF(Prophix!$R:$R,'PK units'!$A17,Prophix!L:L)</f>
        <v>1647</v>
      </c>
      <c r="K17" s="103">
        <f>SUMIF(Prophix!$R:$R,'PK units'!$A17,Prophix!M:M)</f>
        <v>14239</v>
      </c>
      <c r="L17" s="103">
        <v>7050</v>
      </c>
      <c r="M17" s="151">
        <f>+N17</f>
        <v>4197</v>
      </c>
      <c r="N17" s="105">
        <v>4197</v>
      </c>
      <c r="O17" s="105">
        <f>L17-N17</f>
        <v>2853</v>
      </c>
      <c r="P17" s="171"/>
      <c r="Q17" s="151">
        <f>+R17</f>
        <v>3803</v>
      </c>
      <c r="R17" s="105">
        <v>3803</v>
      </c>
      <c r="S17" s="174">
        <f t="shared" si="31"/>
        <v>0</v>
      </c>
      <c r="T17" s="178">
        <v>17089</v>
      </c>
      <c r="U17" s="178">
        <v>15174</v>
      </c>
      <c r="V17" s="178">
        <v>18321</v>
      </c>
      <c r="W17" s="178">
        <v>17275</v>
      </c>
      <c r="X17" s="107">
        <v>19041</v>
      </c>
      <c r="Y17" s="107">
        <v>21949</v>
      </c>
      <c r="Z17" s="107">
        <v>17004</v>
      </c>
      <c r="AA17" s="107">
        <v>24924</v>
      </c>
      <c r="AB17" s="107">
        <v>14146</v>
      </c>
      <c r="AC17" s="107">
        <v>17221</v>
      </c>
      <c r="AD17" s="107">
        <v>12035</v>
      </c>
      <c r="AE17" s="107">
        <v>8872</v>
      </c>
      <c r="AF17" s="107">
        <v>11493</v>
      </c>
      <c r="AH17" s="48" t="s">
        <v>904</v>
      </c>
    </row>
    <row r="18" spans="1:34" ht="21" x14ac:dyDescent="0.35">
      <c r="A18" s="41" t="s">
        <v>592</v>
      </c>
      <c r="B18" s="5">
        <f>SUM(B3:B17)-B3-B7</f>
        <v>390544</v>
      </c>
      <c r="C18" s="5">
        <f t="shared" ref="C18:AA18" si="34">SUM(C3:C17)-C3-C7</f>
        <v>376358</v>
      </c>
      <c r="D18" s="5">
        <f t="shared" si="34"/>
        <v>279846</v>
      </c>
      <c r="E18" s="5">
        <f t="shared" si="34"/>
        <v>591809</v>
      </c>
      <c r="F18" s="5">
        <f t="shared" si="34"/>
        <v>481202</v>
      </c>
      <c r="G18" s="5">
        <f t="shared" ref="G18:H18" si="35">SUM(G3:G17)-G3-G7</f>
        <v>884941</v>
      </c>
      <c r="H18" s="5">
        <f t="shared" si="35"/>
        <v>1321948</v>
      </c>
      <c r="I18" s="5">
        <f t="shared" ref="I18:J18" si="36">SUM(I3:I17)-I3-I7</f>
        <v>2136389</v>
      </c>
      <c r="J18" s="5">
        <f t="shared" si="36"/>
        <v>1464607</v>
      </c>
      <c r="K18" s="5">
        <f t="shared" ref="K18:L18" si="37">SUM(K3:K17)-K3-K7</f>
        <v>1505107</v>
      </c>
      <c r="L18" s="5">
        <f t="shared" si="37"/>
        <v>721280</v>
      </c>
      <c r="M18" s="122">
        <f t="shared" ref="M18:R18" si="38">SUM(M3:M17)-M3-M7</f>
        <v>712171</v>
      </c>
      <c r="N18" s="5">
        <f t="shared" si="38"/>
        <v>603095</v>
      </c>
      <c r="O18" s="5">
        <f t="shared" si="38"/>
        <v>118185</v>
      </c>
      <c r="P18" s="141">
        <f t="shared" si="38"/>
        <v>893760</v>
      </c>
      <c r="Q18" s="122">
        <f t="shared" si="38"/>
        <v>924475</v>
      </c>
      <c r="R18" s="5">
        <f t="shared" si="38"/>
        <v>875775</v>
      </c>
      <c r="S18" s="90">
        <f t="shared" ref="S18" si="39">SUM(S3:S17)-S3-S7</f>
        <v>-48700</v>
      </c>
      <c r="T18" s="5">
        <f t="shared" si="34"/>
        <v>919761</v>
      </c>
      <c r="U18" s="5">
        <f t="shared" si="34"/>
        <v>914231</v>
      </c>
      <c r="V18" s="5">
        <f t="shared" si="34"/>
        <v>629523</v>
      </c>
      <c r="W18" s="5">
        <f t="shared" si="34"/>
        <v>688475</v>
      </c>
      <c r="X18" s="5">
        <f t="shared" si="34"/>
        <v>970641</v>
      </c>
      <c r="Y18" s="5">
        <f t="shared" si="34"/>
        <v>1196909</v>
      </c>
      <c r="Z18" s="5">
        <f t="shared" si="34"/>
        <v>757004</v>
      </c>
      <c r="AA18" s="5">
        <f t="shared" si="34"/>
        <v>876124</v>
      </c>
      <c r="AB18" s="5">
        <f t="shared" ref="AB18:AF18" si="40">SUM(AB3:AB17)-AB3-AB7</f>
        <v>807106</v>
      </c>
      <c r="AC18" s="5">
        <f t="shared" si="40"/>
        <v>786981</v>
      </c>
      <c r="AD18" s="5">
        <f t="shared" si="40"/>
        <v>692995</v>
      </c>
      <c r="AE18" s="5">
        <f t="shared" si="40"/>
        <v>657832</v>
      </c>
      <c r="AF18" s="5">
        <f t="shared" si="40"/>
        <v>584133</v>
      </c>
    </row>
    <row r="21" spans="1:34" x14ac:dyDescent="0.25">
      <c r="B21" s="59">
        <f>+B18-Prophix!D256</f>
        <v>0</v>
      </c>
      <c r="C21" s="59">
        <f>+C18-Prophix!E256</f>
        <v>0</v>
      </c>
      <c r="D21" s="59">
        <f>+D18-Prophix!F256</f>
        <v>0</v>
      </c>
      <c r="E21" s="59">
        <f>+E18-Prophix!G256</f>
        <v>0</v>
      </c>
      <c r="F21" s="59">
        <f>+F18-Prophix!H256</f>
        <v>0</v>
      </c>
      <c r="G21" s="59">
        <f>+G18-Prophix!I256</f>
        <v>0</v>
      </c>
      <c r="H21" s="59">
        <f>+H18-Prophix!J256</f>
        <v>0</v>
      </c>
      <c r="I21" s="59">
        <f>+I18-Prophix!K256</f>
        <v>0</v>
      </c>
      <c r="J21" s="59">
        <f>+J18-Prophix!L256</f>
        <v>0</v>
      </c>
      <c r="K21" s="59">
        <f>+K18-Prophix!M256</f>
        <v>0</v>
      </c>
      <c r="L21" s="59">
        <f>+L18-Prophix!N256</f>
        <v>525364</v>
      </c>
      <c r="N21" s="59">
        <f>SUMIF('PK Sch'!$M:$M,11,'PK Sch'!$H:$H)-SUMIFS('PK Sch'!$H:$H,'PK Sch'!$L:$L,"Non FG",'PK Sch'!$M:$M,11)-N18</f>
        <v>-51440</v>
      </c>
      <c r="R21" s="59">
        <f>SUMIF('PK Sch'!$M:$M,12,'PK Sch'!$H:$H)-SUMIFS('PK Sch'!$H:$H,'PK Sch'!$L:$L,"Non FG",'PK Sch'!$M:$M,12)-R18</f>
        <v>-40115</v>
      </c>
    </row>
    <row r="22" spans="1:34" x14ac:dyDescent="0.25">
      <c r="A22" s="101">
        <v>70000</v>
      </c>
    </row>
    <row r="23" spans="1:34" x14ac:dyDescent="0.25">
      <c r="A23" s="101" t="s">
        <v>1010</v>
      </c>
      <c r="M23" s="59"/>
      <c r="N23" s="59"/>
      <c r="O23" s="59"/>
      <c r="P23" s="59"/>
      <c r="Q23" s="59"/>
      <c r="R23" s="59">
        <f t="shared" ref="R23:AA23" si="41">(+R3+R7)/$A$22</f>
        <v>10.392514285714286</v>
      </c>
      <c r="S23" s="59"/>
      <c r="T23" s="59">
        <f t="shared" si="41"/>
        <v>11.428571428571429</v>
      </c>
      <c r="U23" s="59"/>
      <c r="V23" s="59">
        <f t="shared" si="41"/>
        <v>6.9978285714285713</v>
      </c>
      <c r="W23" s="59">
        <f t="shared" si="41"/>
        <v>8.2857142857142865</v>
      </c>
      <c r="X23" s="59">
        <f t="shared" si="41"/>
        <v>13.132571428571429</v>
      </c>
      <c r="Y23" s="59">
        <f t="shared" si="41"/>
        <v>17.951542857142858</v>
      </c>
      <c r="Z23" s="59">
        <f t="shared" si="41"/>
        <v>9.3603428571428573</v>
      </c>
      <c r="AA23" s="59">
        <f t="shared" si="41"/>
        <v>13.234628571428571</v>
      </c>
      <c r="AB23" s="59">
        <f t="shared" ref="AB23:AF23" si="42">(+AB3+AB7)/$A$22</f>
        <v>12.891771428571429</v>
      </c>
      <c r="AC23" s="59">
        <f t="shared" si="42"/>
        <v>10.525714285714285</v>
      </c>
      <c r="AD23" s="59">
        <f t="shared" si="42"/>
        <v>9.7142857142857135</v>
      </c>
      <c r="AE23" s="59">
        <f t="shared" si="42"/>
        <v>9.257142857142858</v>
      </c>
      <c r="AF23" s="59">
        <f t="shared" si="42"/>
        <v>9.9428571428571431</v>
      </c>
    </row>
    <row r="24" spans="1:34" x14ac:dyDescent="0.25">
      <c r="A24" s="101"/>
    </row>
    <row r="25" spans="1:34" x14ac:dyDescent="0.25">
      <c r="A25" s="102"/>
    </row>
    <row r="26" spans="1:34" x14ac:dyDescent="0.25">
      <c r="A26" s="101"/>
    </row>
    <row r="27" spans="1:34" x14ac:dyDescent="0.25">
      <c r="A27" s="45"/>
    </row>
    <row r="28" spans="1:34" x14ac:dyDescent="0.25">
      <c r="A28" s="45"/>
    </row>
  </sheetData>
  <pageMargins left="0.7" right="0.7" top="0.75" bottom="0.75" header="0.3" footer="0.3"/>
  <pageSetup orientation="portrait" r:id="rId1"/>
  <ignoredErrors>
    <ignoredError sqref="B7:E7 W7 V11:W11 V18:W18 V15:W16 V13:W13 T15:T16 T18 T11:T13 T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6083-828F-4F2B-88EA-4963BF74C216}">
  <dimension ref="A1:S20"/>
  <sheetViews>
    <sheetView zoomScale="145" zoomScaleNormal="145" workbookViewId="0">
      <selection activeCell="D18" sqref="D18"/>
    </sheetView>
  </sheetViews>
  <sheetFormatPr defaultRowHeight="15" x14ac:dyDescent="0.25"/>
  <cols>
    <col min="1" max="1" width="31.42578125" customWidth="1"/>
    <col min="2" max="2" width="12.28515625" hidden="1" customWidth="1"/>
    <col min="3" max="3" width="12.28515625" bestFit="1" customWidth="1"/>
    <col min="4" max="4" width="11.140625" bestFit="1" customWidth="1"/>
    <col min="5" max="5" width="15.140625" bestFit="1" customWidth="1"/>
    <col min="6" max="6" width="62.85546875" customWidth="1"/>
    <col min="7" max="7" width="10.5703125" bestFit="1" customWidth="1"/>
    <col min="8" max="8" width="11.5703125" bestFit="1" customWidth="1"/>
    <col min="17" max="18" width="12.28515625" bestFit="1" customWidth="1"/>
    <col min="19" max="19" width="11.28515625" bestFit="1" customWidth="1"/>
  </cols>
  <sheetData>
    <row r="1" spans="1:19" x14ac:dyDescent="0.25">
      <c r="B1" s="120" t="s">
        <v>131</v>
      </c>
      <c r="C1" s="120" t="s">
        <v>132</v>
      </c>
      <c r="D1" s="120" t="s">
        <v>133</v>
      </c>
      <c r="E1" s="125" t="s">
        <v>1381</v>
      </c>
      <c r="F1" s="120" t="s">
        <v>651</v>
      </c>
      <c r="Q1" t="s">
        <v>1011</v>
      </c>
      <c r="R1" t="s">
        <v>1012</v>
      </c>
    </row>
    <row r="2" spans="1:19" ht="21" x14ac:dyDescent="0.35">
      <c r="A2" s="41" t="s">
        <v>1382</v>
      </c>
      <c r="B2" s="105">
        <v>10400577</v>
      </c>
      <c r="C2" s="105">
        <v>8753292</v>
      </c>
      <c r="D2" s="105">
        <v>8109988.8991999999</v>
      </c>
      <c r="E2" s="126">
        <f>SUM(C2:D2)</f>
        <v>16863280.8992</v>
      </c>
      <c r="F2" s="49"/>
      <c r="G2" s="49"/>
      <c r="H2" s="49"/>
    </row>
    <row r="3" spans="1:19" ht="21" x14ac:dyDescent="0.35">
      <c r="A3" s="41" t="s">
        <v>1</v>
      </c>
      <c r="B3" s="49">
        <f>+R3-Q3</f>
        <v>1815677</v>
      </c>
      <c r="C3" s="49">
        <f>+R9-Q9</f>
        <v>1794185</v>
      </c>
      <c r="D3" s="49">
        <f>+R15-Q15</f>
        <v>887079</v>
      </c>
      <c r="E3" s="127">
        <f t="shared" ref="E3:E8" si="0">SUM(C3:D3)</f>
        <v>2681264</v>
      </c>
      <c r="F3" s="154"/>
      <c r="H3" s="49"/>
      <c r="Q3" s="49">
        <f>+'[3]Fds Units'!$O$3</f>
        <v>2085000</v>
      </c>
      <c r="R3" s="49">
        <f>+'Fds Units'!N3+'Fds Units'!L3</f>
        <v>3900677</v>
      </c>
    </row>
    <row r="4" spans="1:19" ht="21" x14ac:dyDescent="0.35">
      <c r="A4" s="41" t="s">
        <v>10</v>
      </c>
      <c r="B4" s="49">
        <f>+R4-Q4</f>
        <v>807384</v>
      </c>
      <c r="C4" s="49">
        <f t="shared" ref="C4:C7" si="1">+R10-Q10</f>
        <v>949704</v>
      </c>
      <c r="D4" s="49">
        <f>+R16-Q16</f>
        <v>-559872</v>
      </c>
      <c r="E4" s="127">
        <f t="shared" si="0"/>
        <v>389832</v>
      </c>
      <c r="F4" s="154" t="s">
        <v>1415</v>
      </c>
      <c r="H4" s="49"/>
      <c r="Q4" s="49">
        <f>+'[3]Fds Units'!$O$18</f>
        <v>1138080</v>
      </c>
      <c r="R4" s="49">
        <f>+'Fds Units'!N18+'Fds Units'!L18</f>
        <v>1945464</v>
      </c>
    </row>
    <row r="5" spans="1:19" ht="21" x14ac:dyDescent="0.35">
      <c r="A5" s="41" t="s">
        <v>15</v>
      </c>
      <c r="B5" s="49">
        <f>+R5-Q5</f>
        <v>614484</v>
      </c>
      <c r="C5" s="49">
        <f>+R11-Q11</f>
        <v>1589928</v>
      </c>
      <c r="D5" s="49">
        <f>+R17-Q17</f>
        <v>2051364</v>
      </c>
      <c r="E5" s="127">
        <f t="shared" si="0"/>
        <v>3641292</v>
      </c>
      <c r="F5" s="154" t="s">
        <v>2040</v>
      </c>
      <c r="H5" s="49"/>
      <c r="Q5" s="49">
        <f>+'[3]Fds Units'!$O$24</f>
        <v>2220012</v>
      </c>
      <c r="R5" s="49">
        <f>+'Fds Units'!N26+'Fds Units'!L26</f>
        <v>2834496</v>
      </c>
    </row>
    <row r="6" spans="1:19" ht="21" x14ac:dyDescent="0.35">
      <c r="A6" s="41" t="s">
        <v>53</v>
      </c>
      <c r="B6" s="49">
        <f>+R6-Q6</f>
        <v>1780032</v>
      </c>
      <c r="C6" s="49">
        <f t="shared" si="1"/>
        <v>1848032</v>
      </c>
      <c r="D6" s="49">
        <f>+R18-Q18</f>
        <v>929204</v>
      </c>
      <c r="E6" s="127">
        <f t="shared" si="0"/>
        <v>2777236</v>
      </c>
      <c r="F6" s="154" t="s">
        <v>56</v>
      </c>
      <c r="H6" s="49"/>
      <c r="Q6" s="49">
        <f>+'[3]Fds Units'!$O$65</f>
        <v>2471612</v>
      </c>
      <c r="R6" s="49">
        <f>+'Fds Units'!N76+'Fds Units'!L76</f>
        <v>4251644</v>
      </c>
    </row>
    <row r="7" spans="1:19" ht="21" x14ac:dyDescent="0.35">
      <c r="A7" s="41" t="s">
        <v>58</v>
      </c>
      <c r="B7" s="49">
        <f>+R7-Q7</f>
        <v>1347204</v>
      </c>
      <c r="C7" s="49">
        <f t="shared" si="1"/>
        <v>1829400</v>
      </c>
      <c r="D7" s="49">
        <f>+R19-Q19</f>
        <v>-971847.89919999987</v>
      </c>
      <c r="E7" s="127">
        <f t="shared" si="0"/>
        <v>857552.10080000013</v>
      </c>
      <c r="F7" s="154" t="s">
        <v>1416</v>
      </c>
      <c r="H7" s="49"/>
      <c r="Q7" s="49">
        <f>+'[3]Fds Units'!$O$71</f>
        <v>2485056</v>
      </c>
      <c r="R7" s="49">
        <f>+'Fds Units'!N82+'Fds Units'!L82</f>
        <v>3832260</v>
      </c>
    </row>
    <row r="8" spans="1:19" ht="21" x14ac:dyDescent="0.35">
      <c r="A8" s="41" t="s">
        <v>1414</v>
      </c>
      <c r="B8" s="105">
        <f t="shared" ref="B8:D8" si="2">SUM(B2:B7)</f>
        <v>16765358</v>
      </c>
      <c r="C8" s="105">
        <f>SUM(C2:C7)</f>
        <v>16764541</v>
      </c>
      <c r="D8" s="105">
        <f t="shared" si="2"/>
        <v>10445916</v>
      </c>
      <c r="E8" s="128">
        <f t="shared" si="0"/>
        <v>27210457</v>
      </c>
      <c r="Q8" s="121">
        <f>SUM(Q3:Q7)</f>
        <v>10399760</v>
      </c>
      <c r="R8" s="121">
        <f>SUM(R3:R7)</f>
        <v>16764541</v>
      </c>
      <c r="S8" s="59">
        <f>+R8-Q8</f>
        <v>6364781</v>
      </c>
    </row>
    <row r="9" spans="1:19" x14ac:dyDescent="0.25">
      <c r="E9" s="49"/>
      <c r="Q9" s="49">
        <f>+'[4]Fds Units'!$Q$3</f>
        <v>2106492</v>
      </c>
      <c r="R9" s="49">
        <f>+'Fds Units'!N3+'Fds Units'!L3</f>
        <v>3900677</v>
      </c>
      <c r="S9" s="59">
        <f t="shared" ref="S9:S12" si="3">+R9-Q9</f>
        <v>1794185</v>
      </c>
    </row>
    <row r="10" spans="1:19" ht="21" x14ac:dyDescent="0.35">
      <c r="A10" s="41" t="s">
        <v>651</v>
      </c>
      <c r="B10" s="155">
        <f>SUM(B3:B7)</f>
        <v>6364781</v>
      </c>
      <c r="C10" s="156">
        <f>SUM(C3:C7)</f>
        <v>8011249</v>
      </c>
      <c r="D10" s="157">
        <f t="shared" ref="D10" si="4">SUM(D3:D7)</f>
        <v>2335927.1008000001</v>
      </c>
      <c r="Q10" s="49">
        <f>+'[4]Fds Units'!$Q$18</f>
        <v>995760</v>
      </c>
      <c r="R10" s="49">
        <f>+'Fds Units'!N18+'Fds Units'!L18</f>
        <v>1945464</v>
      </c>
      <c r="S10" s="59">
        <f t="shared" si="3"/>
        <v>949704</v>
      </c>
    </row>
    <row r="11" spans="1:19" x14ac:dyDescent="0.25">
      <c r="Q11" s="49">
        <f>+'[4]Fds Units'!$Q$24</f>
        <v>1244568</v>
      </c>
      <c r="R11" s="49">
        <f>+'Fds Units'!N26+'Fds Units'!L26</f>
        <v>2834496</v>
      </c>
      <c r="S11" s="59">
        <f t="shared" si="3"/>
        <v>1589928</v>
      </c>
    </row>
    <row r="12" spans="1:19" x14ac:dyDescent="0.25">
      <c r="Q12" s="49">
        <f>+'[4]Fds Units'!$Q$65</f>
        <v>2403612</v>
      </c>
      <c r="R12" s="49">
        <f>+'Fds Units'!N76+'Fds Units'!L76</f>
        <v>4251644</v>
      </c>
      <c r="S12" s="59">
        <f t="shared" si="3"/>
        <v>1848032</v>
      </c>
    </row>
    <row r="13" spans="1:19" x14ac:dyDescent="0.25">
      <c r="Q13" s="49">
        <f>+'[4]Fds Units'!$Q$71</f>
        <v>2002860</v>
      </c>
      <c r="R13" s="49">
        <f>+'Fds Units'!N82+'Fds Units'!L82</f>
        <v>3832260</v>
      </c>
      <c r="S13" s="59">
        <f>+R13-Q13</f>
        <v>1829400</v>
      </c>
    </row>
    <row r="14" spans="1:19" x14ac:dyDescent="0.25">
      <c r="Q14" s="121">
        <f>SUM(Q9:Q13)</f>
        <v>8753292</v>
      </c>
      <c r="R14" s="121">
        <f>SUM(R9:R13)</f>
        <v>16764541</v>
      </c>
      <c r="S14" s="59">
        <f>+R14-Q14</f>
        <v>8011249</v>
      </c>
    </row>
    <row r="15" spans="1:19" x14ac:dyDescent="0.25">
      <c r="Q15" s="49">
        <f>+'[4]Fds Units'!$S$3</f>
        <v>1341721</v>
      </c>
      <c r="R15" s="49">
        <f>+'Fds Units'!R3</f>
        <v>2228800</v>
      </c>
    </row>
    <row r="16" spans="1:19" x14ac:dyDescent="0.25">
      <c r="Q16" s="49">
        <f>+'[4]Fds Units'!$S$18</f>
        <v>579072</v>
      </c>
      <c r="R16" s="49">
        <f>+'Fds Units'!R18</f>
        <v>19200</v>
      </c>
    </row>
    <row r="17" spans="17:19" x14ac:dyDescent="0.25">
      <c r="Q17" s="49">
        <f>+'[4]Fds Units'!$S$24</f>
        <v>1358004</v>
      </c>
      <c r="R17" s="49">
        <f>+'Fds Units'!R26</f>
        <v>3409368</v>
      </c>
    </row>
    <row r="18" spans="17:19" x14ac:dyDescent="0.25">
      <c r="Q18" s="49">
        <f>+'[4]Fds Units'!$S$65</f>
        <v>844008</v>
      </c>
      <c r="R18" s="49">
        <f>+'Fds Units'!R76</f>
        <v>1773212</v>
      </c>
    </row>
    <row r="19" spans="17:19" x14ac:dyDescent="0.25">
      <c r="Q19" s="49">
        <f>+'[4]Fds Units'!$S$71</f>
        <v>3987183.8991999999</v>
      </c>
      <c r="R19" s="49">
        <f>+'Fds Units'!R82</f>
        <v>3015336</v>
      </c>
    </row>
    <row r="20" spans="17:19" x14ac:dyDescent="0.25">
      <c r="Q20" s="121">
        <f>SUM(Q15:Q19)</f>
        <v>8109988.8991999999</v>
      </c>
      <c r="R20" s="121">
        <f>SUM(R15:R19)</f>
        <v>10445916</v>
      </c>
      <c r="S20" s="59">
        <f>+R20-Q20</f>
        <v>2335927.1008000001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D18C8-A684-4D29-AC6C-E22615C83388}">
  <dimension ref="A1:Q584"/>
  <sheetViews>
    <sheetView topLeftCell="F99" workbookViewId="0">
      <selection activeCell="H777" sqref="H777:H839"/>
    </sheetView>
  </sheetViews>
  <sheetFormatPr defaultColWidth="9.140625" defaultRowHeight="15" x14ac:dyDescent="0.25"/>
  <cols>
    <col min="1" max="1" width="53.140625" style="28" bestFit="1" customWidth="1"/>
    <col min="2" max="2" width="44.42578125" style="28" bestFit="1" customWidth="1"/>
    <col min="3" max="3" width="19.140625" style="28" bestFit="1" customWidth="1"/>
    <col min="4" max="4" width="19.140625" style="28" customWidth="1"/>
    <col min="5" max="5" width="9.140625" style="28"/>
    <col min="6" max="6" width="52.42578125" style="28" bestFit="1" customWidth="1"/>
    <col min="7" max="7" width="7.42578125" style="28" bestFit="1" customWidth="1"/>
    <col min="8" max="8" width="9.140625" style="28"/>
    <col min="9" max="9" width="34.85546875" style="28" bestFit="1" customWidth="1"/>
    <col min="10" max="10" width="33.42578125" style="28" bestFit="1" customWidth="1"/>
    <col min="11" max="12" width="9.140625" style="28"/>
    <col min="13" max="14" width="48.140625" style="28" bestFit="1" customWidth="1"/>
    <col min="15" max="15" width="10.140625" style="28" bestFit="1" customWidth="1"/>
    <col min="16" max="16384" width="9.140625" style="28"/>
  </cols>
  <sheetData>
    <row r="1" spans="1:15" s="27" customFormat="1" x14ac:dyDescent="0.25">
      <c r="A1" s="27" t="s">
        <v>134</v>
      </c>
      <c r="F1" s="27" t="s">
        <v>135</v>
      </c>
      <c r="I1" s="27" t="s">
        <v>136</v>
      </c>
      <c r="M1" s="27" t="s">
        <v>137</v>
      </c>
    </row>
    <row r="2" spans="1:15" x14ac:dyDescent="0.25">
      <c r="A2" s="28" t="s">
        <v>138</v>
      </c>
      <c r="B2" s="28" t="s">
        <v>139</v>
      </c>
      <c r="D2" s="28" t="e">
        <v>#N/A</v>
      </c>
      <c r="F2" s="28" t="s">
        <v>140</v>
      </c>
      <c r="G2" s="28" t="s">
        <v>135</v>
      </c>
      <c r="I2" s="28" t="s">
        <v>141</v>
      </c>
      <c r="J2" s="28" t="s">
        <v>142</v>
      </c>
      <c r="M2" s="28" t="s">
        <v>143</v>
      </c>
      <c r="N2" s="28" t="s">
        <v>143</v>
      </c>
      <c r="O2" s="28" t="s">
        <v>144</v>
      </c>
    </row>
    <row r="3" spans="1:15" x14ac:dyDescent="0.25">
      <c r="A3" s="28" t="s">
        <v>145</v>
      </c>
      <c r="B3" s="28" t="s">
        <v>7</v>
      </c>
      <c r="C3" s="28" t="s">
        <v>1</v>
      </c>
      <c r="D3" s="28" t="s">
        <v>108</v>
      </c>
      <c r="F3" s="28" t="s">
        <v>146</v>
      </c>
      <c r="G3" s="28" t="s">
        <v>135</v>
      </c>
      <c r="I3" s="28" t="s">
        <v>147</v>
      </c>
      <c r="J3" s="28" t="s">
        <v>148</v>
      </c>
      <c r="M3" s="28" t="s">
        <v>149</v>
      </c>
      <c r="N3" s="28" t="s">
        <v>149</v>
      </c>
      <c r="O3" s="28" t="s">
        <v>150</v>
      </c>
    </row>
    <row r="4" spans="1:15" x14ac:dyDescent="0.25">
      <c r="A4" s="28" t="s">
        <v>1112</v>
      </c>
      <c r="B4" s="28" t="s">
        <v>7</v>
      </c>
      <c r="C4" s="28" t="s">
        <v>1</v>
      </c>
      <c r="D4" s="28" t="s">
        <v>108</v>
      </c>
      <c r="F4" s="28" t="s">
        <v>154</v>
      </c>
      <c r="G4" s="28" t="s">
        <v>135</v>
      </c>
      <c r="I4" s="28" t="s">
        <v>155</v>
      </c>
      <c r="J4" s="28" t="s">
        <v>155</v>
      </c>
      <c r="M4" s="28" t="s">
        <v>156</v>
      </c>
      <c r="N4" s="28" t="s">
        <v>156</v>
      </c>
      <c r="O4" s="29" t="s">
        <v>157</v>
      </c>
    </row>
    <row r="5" spans="1:15" x14ac:dyDescent="0.25">
      <c r="A5" s="28" t="s">
        <v>151</v>
      </c>
      <c r="B5" s="28" t="s">
        <v>152</v>
      </c>
      <c r="C5" s="28" t="s">
        <v>58</v>
      </c>
      <c r="D5" s="28" t="s">
        <v>153</v>
      </c>
      <c r="F5" s="28" t="s">
        <v>160</v>
      </c>
      <c r="G5" s="28" t="s">
        <v>135</v>
      </c>
      <c r="I5" s="28" t="s">
        <v>161</v>
      </c>
      <c r="J5" s="28" t="s">
        <v>162</v>
      </c>
      <c r="M5" s="28" t="s">
        <v>163</v>
      </c>
      <c r="N5" s="7" t="s">
        <v>164</v>
      </c>
    </row>
    <row r="6" spans="1:15" x14ac:dyDescent="0.25">
      <c r="A6" s="28" t="s">
        <v>158</v>
      </c>
      <c r="B6" s="28" t="s">
        <v>59</v>
      </c>
      <c r="C6" s="28" t="s">
        <v>58</v>
      </c>
      <c r="D6" s="28" t="s">
        <v>159</v>
      </c>
      <c r="F6" s="28" t="s">
        <v>166</v>
      </c>
      <c r="G6" s="28" t="s">
        <v>135</v>
      </c>
      <c r="M6" s="30" t="s">
        <v>167</v>
      </c>
      <c r="N6" s="28" t="s">
        <v>168</v>
      </c>
      <c r="O6" s="28" t="s">
        <v>169</v>
      </c>
    </row>
    <row r="7" spans="1:15" x14ac:dyDescent="0.25">
      <c r="A7" s="28" t="s">
        <v>165</v>
      </c>
      <c r="B7" s="28" t="s">
        <v>3</v>
      </c>
      <c r="C7" s="28" t="s">
        <v>1</v>
      </c>
      <c r="D7" s="28" t="s">
        <v>101</v>
      </c>
      <c r="F7" s="28" t="s">
        <v>171</v>
      </c>
      <c r="G7" s="28" t="s">
        <v>135</v>
      </c>
      <c r="M7" s="28" t="s">
        <v>172</v>
      </c>
      <c r="N7" s="28" t="s">
        <v>173</v>
      </c>
      <c r="O7" s="28" t="s">
        <v>174</v>
      </c>
    </row>
    <row r="8" spans="1:15" x14ac:dyDescent="0.25">
      <c r="A8" s="28" t="s">
        <v>170</v>
      </c>
      <c r="B8" s="28" t="s">
        <v>55</v>
      </c>
      <c r="C8" s="28" t="s">
        <v>53</v>
      </c>
      <c r="D8" s="28" t="s">
        <v>99</v>
      </c>
      <c r="F8" s="28" t="s">
        <v>178</v>
      </c>
      <c r="G8" s="28" t="s">
        <v>135</v>
      </c>
      <c r="M8" s="28" t="s">
        <v>179</v>
      </c>
      <c r="N8" s="28" t="s">
        <v>173</v>
      </c>
      <c r="O8" s="28" t="s">
        <v>180</v>
      </c>
    </row>
    <row r="9" spans="1:15" x14ac:dyDescent="0.25">
      <c r="A9" s="28" t="s">
        <v>175</v>
      </c>
      <c r="B9" s="28" t="s">
        <v>176</v>
      </c>
      <c r="C9" s="28" t="s">
        <v>53</v>
      </c>
      <c r="D9" s="28" t="s">
        <v>177</v>
      </c>
      <c r="F9" s="28" t="s">
        <v>182</v>
      </c>
      <c r="G9" s="28" t="s">
        <v>135</v>
      </c>
      <c r="M9" s="28" t="s">
        <v>183</v>
      </c>
      <c r="N9" s="28" t="s">
        <v>173</v>
      </c>
      <c r="O9" s="28" t="s">
        <v>184</v>
      </c>
    </row>
    <row r="10" spans="1:15" x14ac:dyDescent="0.25">
      <c r="A10" s="28" t="s">
        <v>181</v>
      </c>
      <c r="B10" s="28" t="s">
        <v>62</v>
      </c>
      <c r="C10" s="28" t="s">
        <v>58</v>
      </c>
      <c r="D10" s="28" t="s">
        <v>124</v>
      </c>
      <c r="F10" s="28" t="s">
        <v>187</v>
      </c>
      <c r="G10" s="28" t="s">
        <v>135</v>
      </c>
      <c r="M10" s="28" t="s">
        <v>188</v>
      </c>
      <c r="N10" s="28" t="s">
        <v>189</v>
      </c>
    </row>
    <row r="11" spans="1:15" x14ac:dyDescent="0.25">
      <c r="A11" s="28" t="s">
        <v>185</v>
      </c>
      <c r="B11" s="28" t="s">
        <v>186</v>
      </c>
      <c r="C11" s="28">
        <v>0</v>
      </c>
      <c r="M11" s="28" t="s">
        <v>191</v>
      </c>
      <c r="N11" s="28" t="s">
        <v>98</v>
      </c>
      <c r="O11" s="28" t="s">
        <v>98</v>
      </c>
    </row>
    <row r="12" spans="1:15" x14ac:dyDescent="0.25">
      <c r="A12" s="28" t="s">
        <v>190</v>
      </c>
      <c r="B12" s="28" t="s">
        <v>186</v>
      </c>
      <c r="C12" s="28">
        <v>0</v>
      </c>
      <c r="M12" s="28" t="s">
        <v>194</v>
      </c>
      <c r="N12" s="28" t="s">
        <v>194</v>
      </c>
      <c r="O12" s="29" t="s">
        <v>195</v>
      </c>
    </row>
    <row r="13" spans="1:15" x14ac:dyDescent="0.25">
      <c r="A13" s="28" t="s">
        <v>192</v>
      </c>
      <c r="B13" s="28" t="s">
        <v>39</v>
      </c>
      <c r="C13" s="28" t="s">
        <v>193</v>
      </c>
      <c r="D13" s="29" t="s">
        <v>116</v>
      </c>
      <c r="G13" s="26"/>
      <c r="M13" s="28" t="s">
        <v>197</v>
      </c>
      <c r="N13" s="28" t="s">
        <v>197</v>
      </c>
      <c r="O13" s="28" t="s">
        <v>198</v>
      </c>
    </row>
    <row r="14" spans="1:15" x14ac:dyDescent="0.25">
      <c r="A14" s="28" t="s">
        <v>196</v>
      </c>
      <c r="B14" s="28" t="s">
        <v>186</v>
      </c>
      <c r="C14" s="28">
        <v>0</v>
      </c>
      <c r="G14" s="26"/>
      <c r="M14" s="28" t="s">
        <v>201</v>
      </c>
      <c r="N14" s="28" t="s">
        <v>201</v>
      </c>
      <c r="O14" s="29" t="s">
        <v>202</v>
      </c>
    </row>
    <row r="15" spans="1:15" x14ac:dyDescent="0.25">
      <c r="A15" s="28" t="s">
        <v>199</v>
      </c>
      <c r="B15" s="28" t="s">
        <v>17</v>
      </c>
      <c r="C15" s="28" t="s">
        <v>193</v>
      </c>
      <c r="D15" s="28" t="s">
        <v>200</v>
      </c>
      <c r="M15" s="28" t="s">
        <v>205</v>
      </c>
      <c r="N15" s="28" t="s">
        <v>206</v>
      </c>
      <c r="O15" s="28" t="s">
        <v>207</v>
      </c>
    </row>
    <row r="16" spans="1:15" x14ac:dyDescent="0.25">
      <c r="A16" s="28" t="s">
        <v>203</v>
      </c>
      <c r="B16" s="28" t="s">
        <v>18</v>
      </c>
      <c r="C16" s="28" t="s">
        <v>193</v>
      </c>
      <c r="D16" s="28" t="s">
        <v>204</v>
      </c>
      <c r="M16" s="28" t="s">
        <v>145</v>
      </c>
      <c r="N16" s="28" t="s">
        <v>209</v>
      </c>
      <c r="O16" s="28" t="s">
        <v>210</v>
      </c>
    </row>
    <row r="17" spans="1:17" x14ac:dyDescent="0.25">
      <c r="A17" s="28" t="s">
        <v>208</v>
      </c>
      <c r="B17" s="28" t="s">
        <v>186</v>
      </c>
      <c r="C17" s="28">
        <v>0</v>
      </c>
      <c r="N17" s="28" t="s">
        <v>189</v>
      </c>
      <c r="O17" s="28" t="s">
        <v>212</v>
      </c>
    </row>
    <row r="18" spans="1:17" x14ac:dyDescent="0.25">
      <c r="A18" s="28" t="s">
        <v>211</v>
      </c>
      <c r="B18" s="28" t="s">
        <v>21</v>
      </c>
      <c r="C18" s="28" t="s">
        <v>193</v>
      </c>
      <c r="D18" s="28" t="s">
        <v>84</v>
      </c>
      <c r="N18" s="28" t="s">
        <v>189</v>
      </c>
      <c r="O18" s="31" t="s">
        <v>214</v>
      </c>
    </row>
    <row r="19" spans="1:17" x14ac:dyDescent="0.25">
      <c r="A19" s="28" t="s">
        <v>213</v>
      </c>
      <c r="B19" s="28" t="s">
        <v>21</v>
      </c>
      <c r="C19" s="28" t="s">
        <v>193</v>
      </c>
      <c r="D19" s="28" t="s">
        <v>84</v>
      </c>
      <c r="O19" s="31"/>
    </row>
    <row r="20" spans="1:17" x14ac:dyDescent="0.25">
      <c r="A20" s="28" t="s">
        <v>555</v>
      </c>
      <c r="B20" s="28" t="s">
        <v>21</v>
      </c>
      <c r="C20" s="28" t="s">
        <v>193</v>
      </c>
      <c r="D20" s="28" t="s">
        <v>84</v>
      </c>
      <c r="F20" s="28" t="s">
        <v>17</v>
      </c>
      <c r="M20" s="28" t="s">
        <v>145</v>
      </c>
      <c r="N20" s="28" t="s">
        <v>209</v>
      </c>
      <c r="O20" s="28" t="s">
        <v>216</v>
      </c>
    </row>
    <row r="21" spans="1:17" x14ac:dyDescent="0.25">
      <c r="A21" s="28" t="s">
        <v>140</v>
      </c>
      <c r="B21" s="28" t="s">
        <v>215</v>
      </c>
      <c r="C21" s="28">
        <v>0</v>
      </c>
      <c r="M21" s="28" t="s">
        <v>145</v>
      </c>
      <c r="N21" s="28" t="s">
        <v>209</v>
      </c>
      <c r="O21" s="28" t="s">
        <v>919</v>
      </c>
    </row>
    <row r="22" spans="1:17" x14ac:dyDescent="0.25">
      <c r="A22" s="26" t="s">
        <v>217</v>
      </c>
      <c r="B22" s="12" t="s">
        <v>22</v>
      </c>
      <c r="C22" s="28" t="s">
        <v>193</v>
      </c>
      <c r="D22" s="28" t="s">
        <v>129</v>
      </c>
    </row>
    <row r="23" spans="1:17" x14ac:dyDescent="0.25">
      <c r="A23" s="26" t="s">
        <v>217</v>
      </c>
      <c r="B23" s="12" t="s">
        <v>22</v>
      </c>
      <c r="C23" s="28" t="s">
        <v>193</v>
      </c>
      <c r="D23" s="28" t="s">
        <v>917</v>
      </c>
      <c r="F23" s="28" t="s">
        <v>18</v>
      </c>
      <c r="M23" s="28" t="s">
        <v>145</v>
      </c>
      <c r="N23" s="28" t="s">
        <v>209</v>
      </c>
      <c r="O23" s="28" t="s">
        <v>219</v>
      </c>
    </row>
    <row r="24" spans="1:17" x14ac:dyDescent="0.25">
      <c r="A24" s="28" t="s">
        <v>218</v>
      </c>
      <c r="B24" s="28" t="s">
        <v>23</v>
      </c>
      <c r="C24" s="28" t="s">
        <v>193</v>
      </c>
      <c r="D24" s="28" t="s">
        <v>122</v>
      </c>
      <c r="M24" s="28" t="s">
        <v>221</v>
      </c>
      <c r="N24" s="28" t="s">
        <v>173</v>
      </c>
      <c r="O24" s="28" t="s">
        <v>222</v>
      </c>
    </row>
    <row r="25" spans="1:17" x14ac:dyDescent="0.25">
      <c r="A25" s="28" t="s">
        <v>218</v>
      </c>
      <c r="B25" s="28" t="s">
        <v>23</v>
      </c>
      <c r="C25" s="28" t="s">
        <v>193</v>
      </c>
      <c r="D25" s="28" t="s">
        <v>918</v>
      </c>
      <c r="F25" s="28" t="s">
        <v>19</v>
      </c>
      <c r="H25" s="28" t="s">
        <v>911</v>
      </c>
      <c r="N25" s="28" t="s">
        <v>173</v>
      </c>
      <c r="O25" s="28" t="s">
        <v>223</v>
      </c>
    </row>
    <row r="26" spans="1:17" x14ac:dyDescent="0.25">
      <c r="A26" s="28" t="s">
        <v>220</v>
      </c>
      <c r="B26" s="28" t="s">
        <v>24</v>
      </c>
      <c r="C26" s="28" t="s">
        <v>193</v>
      </c>
      <c r="D26" s="28" t="s">
        <v>123</v>
      </c>
      <c r="F26" s="28" t="s">
        <v>20</v>
      </c>
      <c r="M26" s="28" t="s">
        <v>163</v>
      </c>
      <c r="N26" s="28" t="s">
        <v>164</v>
      </c>
      <c r="O26" s="28" t="s">
        <v>226</v>
      </c>
    </row>
    <row r="27" spans="1:17" x14ac:dyDescent="0.25">
      <c r="A27" s="28" t="s">
        <v>146</v>
      </c>
      <c r="B27" s="28" t="s">
        <v>215</v>
      </c>
      <c r="C27" s="28" t="s">
        <v>193</v>
      </c>
      <c r="F27" s="28" t="s">
        <v>21</v>
      </c>
      <c r="M27" s="28" t="s">
        <v>163</v>
      </c>
      <c r="N27" s="28" t="s">
        <v>164</v>
      </c>
      <c r="O27" s="28" t="s">
        <v>228</v>
      </c>
    </row>
    <row r="28" spans="1:17" x14ac:dyDescent="0.25">
      <c r="A28" s="28" t="s">
        <v>224</v>
      </c>
      <c r="B28" s="28" t="s">
        <v>25</v>
      </c>
      <c r="C28" s="28" t="s">
        <v>193</v>
      </c>
      <c r="D28" s="28" t="s">
        <v>225</v>
      </c>
      <c r="F28" s="28" t="s">
        <v>22</v>
      </c>
      <c r="N28" s="28" t="s">
        <v>173</v>
      </c>
      <c r="O28" s="28" t="s">
        <v>1601</v>
      </c>
    </row>
    <row r="29" spans="1:17" x14ac:dyDescent="0.25">
      <c r="A29" s="28" t="s">
        <v>227</v>
      </c>
      <c r="B29" s="28" t="s">
        <v>186</v>
      </c>
      <c r="C29" s="28">
        <v>0</v>
      </c>
      <c r="N29" s="28" t="s">
        <v>173</v>
      </c>
      <c r="O29" s="29" t="s">
        <v>1582</v>
      </c>
    </row>
    <row r="30" spans="1:17" x14ac:dyDescent="0.25">
      <c r="A30" s="28" t="s">
        <v>826</v>
      </c>
      <c r="B30" s="28" t="s">
        <v>27</v>
      </c>
      <c r="C30" s="28" t="s">
        <v>193</v>
      </c>
      <c r="D30" s="28" t="s">
        <v>126</v>
      </c>
    </row>
    <row r="31" spans="1:17" x14ac:dyDescent="0.25">
      <c r="A31" s="28" t="s">
        <v>1084</v>
      </c>
      <c r="B31" s="28" t="s">
        <v>27</v>
      </c>
      <c r="C31" s="28" t="s">
        <v>193</v>
      </c>
      <c r="D31" s="28" t="s">
        <v>995</v>
      </c>
      <c r="F31" s="28" t="s">
        <v>23</v>
      </c>
      <c r="M31" s="28" t="s">
        <v>232</v>
      </c>
      <c r="N31" s="28" t="s">
        <v>233</v>
      </c>
      <c r="O31" s="29" t="s">
        <v>234</v>
      </c>
    </row>
    <row r="32" spans="1:17" x14ac:dyDescent="0.25">
      <c r="A32" s="28" t="s">
        <v>229</v>
      </c>
      <c r="B32" s="28" t="s">
        <v>28</v>
      </c>
      <c r="C32" s="28" t="s">
        <v>193</v>
      </c>
      <c r="D32" s="29" t="s">
        <v>230</v>
      </c>
      <c r="F32" s="28" t="s">
        <v>24</v>
      </c>
      <c r="N32" s="28" t="s">
        <v>209</v>
      </c>
      <c r="O32" s="28" t="s">
        <v>235</v>
      </c>
      <c r="Q32" s="28" t="s">
        <v>1127</v>
      </c>
    </row>
    <row r="33" spans="1:17" x14ac:dyDescent="0.25">
      <c r="A33" s="28" t="s">
        <v>231</v>
      </c>
      <c r="B33" s="28" t="s">
        <v>28</v>
      </c>
      <c r="C33" s="28" t="s">
        <v>193</v>
      </c>
      <c r="D33" s="29" t="s">
        <v>112</v>
      </c>
      <c r="F33" s="28" t="s">
        <v>25</v>
      </c>
      <c r="M33" s="28" t="s">
        <v>143</v>
      </c>
      <c r="N33" s="28" t="s">
        <v>143</v>
      </c>
      <c r="O33" s="28" t="s">
        <v>752</v>
      </c>
      <c r="Q33" s="28" t="s">
        <v>1128</v>
      </c>
    </row>
    <row r="34" spans="1:17" x14ac:dyDescent="0.25">
      <c r="A34" s="28" t="s">
        <v>154</v>
      </c>
      <c r="B34" s="28" t="s">
        <v>215</v>
      </c>
      <c r="C34" s="28">
        <v>0</v>
      </c>
      <c r="F34" s="28" t="s">
        <v>26</v>
      </c>
      <c r="M34" s="28" t="s">
        <v>156</v>
      </c>
      <c r="N34" s="28" t="s">
        <v>156</v>
      </c>
      <c r="O34" s="28" t="s">
        <v>809</v>
      </c>
    </row>
    <row r="35" spans="1:17" x14ac:dyDescent="0.25">
      <c r="A35" s="28" t="s">
        <v>236</v>
      </c>
      <c r="B35" s="28" t="s">
        <v>29</v>
      </c>
      <c r="C35" s="28" t="s">
        <v>193</v>
      </c>
      <c r="D35" s="28" t="s">
        <v>237</v>
      </c>
      <c r="F35" s="28" t="s">
        <v>28</v>
      </c>
      <c r="M35" s="28" t="s">
        <v>149</v>
      </c>
      <c r="N35" s="28" t="s">
        <v>149</v>
      </c>
      <c r="O35" s="81" t="s">
        <v>823</v>
      </c>
    </row>
    <row r="36" spans="1:17" x14ac:dyDescent="0.25">
      <c r="A36" s="28" t="s">
        <v>238</v>
      </c>
      <c r="B36" s="28" t="s">
        <v>29</v>
      </c>
      <c r="C36" s="28" t="s">
        <v>193</v>
      </c>
      <c r="D36" s="28" t="s">
        <v>120</v>
      </c>
      <c r="F36" s="28" t="s">
        <v>29</v>
      </c>
      <c r="M36" s="28" t="s">
        <v>833</v>
      </c>
      <c r="N36" s="28" t="s">
        <v>143</v>
      </c>
    </row>
    <row r="37" spans="1:17" x14ac:dyDescent="0.25">
      <c r="A37" s="28" t="s">
        <v>160</v>
      </c>
      <c r="B37" s="28" t="s">
        <v>215</v>
      </c>
      <c r="C37" s="28">
        <v>0</v>
      </c>
      <c r="F37" s="28" t="s">
        <v>30</v>
      </c>
      <c r="M37" s="28" t="s">
        <v>834</v>
      </c>
      <c r="N37" s="28" t="s">
        <v>156</v>
      </c>
    </row>
    <row r="38" spans="1:17" x14ac:dyDescent="0.25">
      <c r="A38" s="28" t="s">
        <v>239</v>
      </c>
      <c r="B38" s="28" t="s">
        <v>30</v>
      </c>
      <c r="C38" s="28" t="s">
        <v>193</v>
      </c>
      <c r="D38" s="28" t="s">
        <v>86</v>
      </c>
      <c r="F38" s="28" t="s">
        <v>31</v>
      </c>
      <c r="M38" s="28" t="s">
        <v>951</v>
      </c>
      <c r="N38" s="28" t="s">
        <v>149</v>
      </c>
      <c r="O38" s="81" t="s">
        <v>823</v>
      </c>
    </row>
    <row r="39" spans="1:17" x14ac:dyDescent="0.25">
      <c r="A39" s="28" t="s">
        <v>240</v>
      </c>
      <c r="B39" s="28" t="s">
        <v>30</v>
      </c>
      <c r="C39" s="28" t="s">
        <v>193</v>
      </c>
      <c r="D39" s="28" t="s">
        <v>103</v>
      </c>
      <c r="F39" s="28" t="s">
        <v>32</v>
      </c>
      <c r="M39" s="28" t="s">
        <v>1385</v>
      </c>
      <c r="N39" s="28" t="s">
        <v>156</v>
      </c>
      <c r="O39" s="28" t="s">
        <v>1126</v>
      </c>
    </row>
    <row r="40" spans="1:17" x14ac:dyDescent="0.25">
      <c r="A40" s="28" t="s">
        <v>166</v>
      </c>
      <c r="B40" s="28" t="s">
        <v>215</v>
      </c>
      <c r="C40" s="28">
        <v>0</v>
      </c>
      <c r="F40" t="s">
        <v>33</v>
      </c>
      <c r="M40" s="28" t="s">
        <v>1379</v>
      </c>
      <c r="N40" s="28" t="s">
        <v>143</v>
      </c>
      <c r="O40" s="28" t="s">
        <v>1127</v>
      </c>
    </row>
    <row r="41" spans="1:17" x14ac:dyDescent="0.25">
      <c r="A41" s="28" t="s">
        <v>241</v>
      </c>
      <c r="B41" s="28" t="s">
        <v>31</v>
      </c>
      <c r="C41" s="28" t="s">
        <v>193</v>
      </c>
      <c r="D41" s="28" t="s">
        <v>242</v>
      </c>
      <c r="F41" t="s">
        <v>34</v>
      </c>
      <c r="M41" s="28" t="s">
        <v>1380</v>
      </c>
      <c r="N41" s="28" t="s">
        <v>149</v>
      </c>
      <c r="O41" s="28" t="s">
        <v>1128</v>
      </c>
    </row>
    <row r="42" spans="1:17" x14ac:dyDescent="0.25">
      <c r="A42" s="28" t="s">
        <v>243</v>
      </c>
      <c r="B42" s="28" t="s">
        <v>31</v>
      </c>
      <c r="C42" s="28" t="s">
        <v>193</v>
      </c>
      <c r="D42" s="28" t="s">
        <v>106</v>
      </c>
      <c r="F42" t="s">
        <v>35</v>
      </c>
    </row>
    <row r="43" spans="1:17" x14ac:dyDescent="0.25">
      <c r="A43" s="28" t="s">
        <v>171</v>
      </c>
      <c r="B43" s="28" t="s">
        <v>215</v>
      </c>
      <c r="C43" s="28">
        <v>0</v>
      </c>
      <c r="F43" t="s">
        <v>36</v>
      </c>
    </row>
    <row r="44" spans="1:17" x14ac:dyDescent="0.25">
      <c r="A44" s="28" t="s">
        <v>244</v>
      </c>
      <c r="B44" s="28" t="s">
        <v>245</v>
      </c>
      <c r="C44" s="28">
        <v>0</v>
      </c>
      <c r="F44" t="s">
        <v>37</v>
      </c>
      <c r="G44" s="28" t="s">
        <v>1081</v>
      </c>
    </row>
    <row r="45" spans="1:17" x14ac:dyDescent="0.25">
      <c r="A45" s="28" t="s">
        <v>246</v>
      </c>
      <c r="B45" s="28" t="s">
        <v>41</v>
      </c>
      <c r="C45" s="28" t="s">
        <v>193</v>
      </c>
      <c r="D45" s="28" t="s">
        <v>100</v>
      </c>
      <c r="F45" t="s">
        <v>38</v>
      </c>
      <c r="N45" s="28" t="s">
        <v>932</v>
      </c>
      <c r="O45" s="28" t="s">
        <v>1130</v>
      </c>
    </row>
    <row r="46" spans="1:17" x14ac:dyDescent="0.25">
      <c r="A46" s="28" t="s">
        <v>247</v>
      </c>
      <c r="B46" s="28" t="s">
        <v>245</v>
      </c>
      <c r="C46" s="28">
        <v>0</v>
      </c>
      <c r="F46" t="s">
        <v>39</v>
      </c>
      <c r="N46" s="28" t="s">
        <v>932</v>
      </c>
      <c r="O46" s="28" t="s">
        <v>1131</v>
      </c>
    </row>
    <row r="47" spans="1:17" x14ac:dyDescent="0.25">
      <c r="A47" s="28" t="s">
        <v>248</v>
      </c>
      <c r="B47" s="28" t="s">
        <v>33</v>
      </c>
      <c r="C47" s="28" t="s">
        <v>193</v>
      </c>
      <c r="D47" s="28" t="s">
        <v>85</v>
      </c>
      <c r="F47" t="s">
        <v>40</v>
      </c>
    </row>
    <row r="48" spans="1:17" x14ac:dyDescent="0.25">
      <c r="A48" s="28" t="s">
        <v>249</v>
      </c>
      <c r="B48" s="28" t="s">
        <v>33</v>
      </c>
      <c r="C48" s="28" t="s">
        <v>193</v>
      </c>
      <c r="D48" s="28" t="s">
        <v>102</v>
      </c>
      <c r="F48" t="s">
        <v>250</v>
      </c>
      <c r="N48" s="28" t="s">
        <v>932</v>
      </c>
      <c r="O48" s="28" t="s">
        <v>1124</v>
      </c>
    </row>
    <row r="49" spans="1:15" x14ac:dyDescent="0.25">
      <c r="A49" s="28" t="s">
        <v>178</v>
      </c>
      <c r="B49" s="28" t="s">
        <v>215</v>
      </c>
      <c r="C49" s="28">
        <v>0</v>
      </c>
      <c r="F49" t="s">
        <v>43</v>
      </c>
      <c r="N49" s="28" t="s">
        <v>932</v>
      </c>
      <c r="O49" s="28" t="s">
        <v>1125</v>
      </c>
    </row>
    <row r="50" spans="1:15" x14ac:dyDescent="0.25">
      <c r="A50" s="28" t="s">
        <v>251</v>
      </c>
      <c r="B50" s="28" t="s">
        <v>34</v>
      </c>
      <c r="C50" s="28" t="s">
        <v>193</v>
      </c>
      <c r="D50" s="28" t="s">
        <v>252</v>
      </c>
      <c r="F50" s="12" t="s">
        <v>44</v>
      </c>
      <c r="N50" s="28" t="s">
        <v>932</v>
      </c>
      <c r="O50" s="28" t="s">
        <v>1026</v>
      </c>
    </row>
    <row r="51" spans="1:15" x14ac:dyDescent="0.25">
      <c r="A51" s="28" t="s">
        <v>253</v>
      </c>
      <c r="B51" s="28" t="s">
        <v>34</v>
      </c>
      <c r="C51" s="28" t="s">
        <v>193</v>
      </c>
      <c r="D51" s="28" t="s">
        <v>110</v>
      </c>
      <c r="F51" s="12" t="s">
        <v>46</v>
      </c>
    </row>
    <row r="52" spans="1:15" x14ac:dyDescent="0.25">
      <c r="A52" s="28" t="s">
        <v>182</v>
      </c>
      <c r="B52" s="28" t="s">
        <v>215</v>
      </c>
      <c r="C52" s="28">
        <v>0</v>
      </c>
      <c r="F52" s="12" t="s">
        <v>45</v>
      </c>
      <c r="N52" s="28" t="s">
        <v>932</v>
      </c>
      <c r="O52" s="28" t="s">
        <v>929</v>
      </c>
    </row>
    <row r="53" spans="1:15" x14ac:dyDescent="0.25">
      <c r="A53" s="28" t="s">
        <v>254</v>
      </c>
      <c r="B53" s="28" t="s">
        <v>35</v>
      </c>
      <c r="C53" s="28" t="s">
        <v>193</v>
      </c>
      <c r="D53" s="28" t="s">
        <v>87</v>
      </c>
      <c r="F53" s="28" t="s">
        <v>47</v>
      </c>
      <c r="N53" s="28" t="s">
        <v>932</v>
      </c>
      <c r="O53" s="28" t="s">
        <v>930</v>
      </c>
    </row>
    <row r="54" spans="1:15" x14ac:dyDescent="0.25">
      <c r="A54" s="28" t="s">
        <v>255</v>
      </c>
      <c r="B54" s="28" t="s">
        <v>35</v>
      </c>
      <c r="C54" s="28" t="s">
        <v>193</v>
      </c>
      <c r="D54" s="28" t="s">
        <v>97</v>
      </c>
      <c r="N54" s="28" t="s">
        <v>932</v>
      </c>
      <c r="O54" s="28" t="s">
        <v>931</v>
      </c>
    </row>
    <row r="55" spans="1:15" x14ac:dyDescent="0.25">
      <c r="A55" s="28" t="s">
        <v>187</v>
      </c>
      <c r="B55" s="28" t="s">
        <v>215</v>
      </c>
      <c r="C55" s="28">
        <v>0</v>
      </c>
      <c r="N55" s="28" t="s">
        <v>932</v>
      </c>
      <c r="O55" s="28" t="s">
        <v>920</v>
      </c>
    </row>
    <row r="56" spans="1:15" x14ac:dyDescent="0.25">
      <c r="A56" s="28" t="s">
        <v>256</v>
      </c>
      <c r="B56" s="28" t="s">
        <v>36</v>
      </c>
      <c r="C56" s="28" t="s">
        <v>193</v>
      </c>
      <c r="D56" s="29" t="s">
        <v>257</v>
      </c>
      <c r="N56" s="28" t="s">
        <v>932</v>
      </c>
      <c r="O56" s="28" t="s">
        <v>921</v>
      </c>
    </row>
    <row r="57" spans="1:15" x14ac:dyDescent="0.25">
      <c r="A57" s="28" t="s">
        <v>258</v>
      </c>
      <c r="B57" s="28" t="s">
        <v>36</v>
      </c>
      <c r="C57" s="28" t="s">
        <v>193</v>
      </c>
      <c r="D57" s="29" t="s">
        <v>259</v>
      </c>
    </row>
    <row r="58" spans="1:15" x14ac:dyDescent="0.25">
      <c r="A58" s="28" t="s">
        <v>1111</v>
      </c>
      <c r="B58" s="28" t="s">
        <v>1082</v>
      </c>
      <c r="C58" s="28" t="s">
        <v>193</v>
      </c>
      <c r="D58" s="29" t="s">
        <v>1081</v>
      </c>
      <c r="N58" s="28" t="s">
        <v>932</v>
      </c>
      <c r="O58" s="28" t="s">
        <v>922</v>
      </c>
    </row>
    <row r="59" spans="1:15" x14ac:dyDescent="0.25">
      <c r="A59" s="28" t="s">
        <v>260</v>
      </c>
      <c r="B59" s="28" t="s">
        <v>186</v>
      </c>
      <c r="C59" s="28">
        <v>0</v>
      </c>
      <c r="N59" s="28" t="s">
        <v>932</v>
      </c>
      <c r="O59" s="28" t="s">
        <v>923</v>
      </c>
    </row>
    <row r="60" spans="1:15" x14ac:dyDescent="0.25">
      <c r="A60" s="12" t="s">
        <v>261</v>
      </c>
      <c r="B60" s="12" t="s">
        <v>44</v>
      </c>
      <c r="C60" s="28" t="s">
        <v>193</v>
      </c>
      <c r="D60" s="28" t="s">
        <v>262</v>
      </c>
      <c r="N60" s="28" t="s">
        <v>932</v>
      </c>
      <c r="O60" s="28" t="s">
        <v>924</v>
      </c>
    </row>
    <row r="61" spans="1:15" x14ac:dyDescent="0.25">
      <c r="A61" s="12" t="s">
        <v>263</v>
      </c>
      <c r="B61" s="12" t="s">
        <v>44</v>
      </c>
      <c r="C61" s="28" t="s">
        <v>193</v>
      </c>
      <c r="D61" s="28" t="s">
        <v>109</v>
      </c>
      <c r="N61" s="28" t="s">
        <v>932</v>
      </c>
      <c r="O61" s="28" t="s">
        <v>925</v>
      </c>
    </row>
    <row r="62" spans="1:15" x14ac:dyDescent="0.25">
      <c r="A62" s="12" t="s">
        <v>264</v>
      </c>
      <c r="B62" s="28" t="s">
        <v>46</v>
      </c>
      <c r="C62" s="28" t="s">
        <v>193</v>
      </c>
      <c r="D62" s="28" t="s">
        <v>265</v>
      </c>
      <c r="N62" s="28" t="s">
        <v>932</v>
      </c>
      <c r="O62" s="28" t="s">
        <v>806</v>
      </c>
    </row>
    <row r="63" spans="1:15" x14ac:dyDescent="0.25">
      <c r="A63" s="28" t="s">
        <v>266</v>
      </c>
      <c r="B63" s="28" t="s">
        <v>46</v>
      </c>
      <c r="C63" s="28" t="s">
        <v>193</v>
      </c>
      <c r="D63" s="28" t="s">
        <v>107</v>
      </c>
      <c r="N63" s="28" t="s">
        <v>932</v>
      </c>
      <c r="O63" s="28" t="s">
        <v>716</v>
      </c>
    </row>
    <row r="64" spans="1:15" x14ac:dyDescent="0.25">
      <c r="A64" s="28" t="s">
        <v>267</v>
      </c>
      <c r="B64" s="28" t="s">
        <v>45</v>
      </c>
      <c r="C64" s="28" t="s">
        <v>193</v>
      </c>
      <c r="D64" s="29" t="s">
        <v>268</v>
      </c>
      <c r="N64" s="28" t="s">
        <v>932</v>
      </c>
      <c r="O64" s="28" t="s">
        <v>810</v>
      </c>
    </row>
    <row r="65" spans="1:15" x14ac:dyDescent="0.25">
      <c r="A65" s="28" t="s">
        <v>267</v>
      </c>
      <c r="B65" s="28" t="s">
        <v>45</v>
      </c>
      <c r="C65" s="28" t="s">
        <v>193</v>
      </c>
      <c r="D65" s="28" t="s">
        <v>121</v>
      </c>
      <c r="F65" s="28" t="s">
        <v>267</v>
      </c>
      <c r="N65" s="28" t="s">
        <v>932</v>
      </c>
      <c r="O65" s="28" t="s">
        <v>680</v>
      </c>
    </row>
    <row r="66" spans="1:15" x14ac:dyDescent="0.25">
      <c r="A66" s="28" t="s">
        <v>269</v>
      </c>
      <c r="B66" s="28" t="s">
        <v>47</v>
      </c>
      <c r="C66" s="28" t="s">
        <v>193</v>
      </c>
      <c r="D66" s="29" t="s">
        <v>105</v>
      </c>
      <c r="F66" s="28" t="s">
        <v>266</v>
      </c>
      <c r="N66" s="28" t="s">
        <v>932</v>
      </c>
      <c r="O66" s="28" t="s">
        <v>718</v>
      </c>
    </row>
    <row r="67" spans="1:15" x14ac:dyDescent="0.25">
      <c r="A67" s="28" t="s">
        <v>270</v>
      </c>
      <c r="B67" s="28" t="s">
        <v>48</v>
      </c>
      <c r="C67" s="28">
        <v>0</v>
      </c>
      <c r="N67" s="28" t="s">
        <v>932</v>
      </c>
      <c r="O67" s="28" t="s">
        <v>753</v>
      </c>
    </row>
    <row r="68" spans="1:15" x14ac:dyDescent="0.25">
      <c r="A68" s="28" t="s">
        <v>271</v>
      </c>
      <c r="B68" s="28" t="s">
        <v>49</v>
      </c>
      <c r="C68" s="28" t="s">
        <v>193</v>
      </c>
      <c r="D68" s="28" t="s">
        <v>272</v>
      </c>
      <c r="N68" s="28" t="s">
        <v>932</v>
      </c>
      <c r="O68" s="28" t="s">
        <v>738</v>
      </c>
    </row>
    <row r="69" spans="1:15" x14ac:dyDescent="0.25">
      <c r="A69" s="28" t="s">
        <v>273</v>
      </c>
      <c r="B69" s="28" t="s">
        <v>50</v>
      </c>
      <c r="C69" s="28" t="s">
        <v>193</v>
      </c>
      <c r="D69" s="28" t="s">
        <v>274</v>
      </c>
      <c r="N69" s="28" t="s">
        <v>932</v>
      </c>
      <c r="O69" s="28" t="s">
        <v>720</v>
      </c>
    </row>
    <row r="70" spans="1:15" x14ac:dyDescent="0.25">
      <c r="A70" s="28" t="s">
        <v>275</v>
      </c>
      <c r="B70" s="28" t="s">
        <v>51</v>
      </c>
      <c r="C70" s="28" t="s">
        <v>193</v>
      </c>
      <c r="D70" s="28" t="s">
        <v>276</v>
      </c>
      <c r="N70" s="28" t="s">
        <v>932</v>
      </c>
      <c r="O70" s="28" t="s">
        <v>683</v>
      </c>
    </row>
    <row r="71" spans="1:15" x14ac:dyDescent="0.25">
      <c r="A71" s="28" t="s">
        <v>277</v>
      </c>
      <c r="B71" s="28" t="s">
        <v>52</v>
      </c>
      <c r="C71" s="28" t="s">
        <v>193</v>
      </c>
      <c r="D71" s="28" t="s">
        <v>278</v>
      </c>
      <c r="N71" s="28" t="s">
        <v>932</v>
      </c>
      <c r="O71" s="28" t="s">
        <v>767</v>
      </c>
    </row>
    <row r="72" spans="1:15" x14ac:dyDescent="0.25">
      <c r="A72" s="28" t="s">
        <v>279</v>
      </c>
      <c r="B72" s="28" t="s">
        <v>9</v>
      </c>
      <c r="C72" s="28" t="s">
        <v>1</v>
      </c>
      <c r="D72" s="28" t="s">
        <v>280</v>
      </c>
      <c r="N72" s="28" t="s">
        <v>932</v>
      </c>
      <c r="O72" s="28" t="s">
        <v>769</v>
      </c>
    </row>
    <row r="73" spans="1:15" x14ac:dyDescent="0.25">
      <c r="A73" s="28" t="s">
        <v>167</v>
      </c>
      <c r="B73" s="28" t="s">
        <v>8</v>
      </c>
      <c r="C73" s="28" t="s">
        <v>1</v>
      </c>
      <c r="D73" s="28" t="s">
        <v>281</v>
      </c>
      <c r="N73" s="28" t="s">
        <v>932</v>
      </c>
      <c r="O73" s="28" t="s">
        <v>722</v>
      </c>
    </row>
    <row r="74" spans="1:15" x14ac:dyDescent="0.25">
      <c r="A74" s="28" t="s">
        <v>282</v>
      </c>
      <c r="B74" s="28" t="s">
        <v>60</v>
      </c>
      <c r="C74" s="28" t="s">
        <v>58</v>
      </c>
      <c r="D74" s="28" t="s">
        <v>283</v>
      </c>
      <c r="N74" s="28" t="s">
        <v>932</v>
      </c>
      <c r="O74" s="28" t="s">
        <v>686</v>
      </c>
    </row>
    <row r="75" spans="1:15" x14ac:dyDescent="0.25">
      <c r="A75" s="28" t="s">
        <v>221</v>
      </c>
      <c r="B75" s="28" t="s">
        <v>2</v>
      </c>
      <c r="C75" s="28" t="s">
        <v>1</v>
      </c>
      <c r="D75" s="28" t="s">
        <v>94</v>
      </c>
      <c r="N75" s="28" t="s">
        <v>932</v>
      </c>
      <c r="O75" s="28" t="s">
        <v>740</v>
      </c>
    </row>
    <row r="76" spans="1:15" x14ac:dyDescent="0.25">
      <c r="A76" s="28" t="s">
        <v>394</v>
      </c>
      <c r="B76" s="28" t="s">
        <v>1123</v>
      </c>
      <c r="C76" s="28" t="s">
        <v>1</v>
      </c>
      <c r="D76" s="28" t="s">
        <v>94</v>
      </c>
      <c r="N76" s="28" t="s">
        <v>932</v>
      </c>
      <c r="O76" s="28" t="s">
        <v>782</v>
      </c>
    </row>
    <row r="77" spans="1:15" x14ac:dyDescent="0.25">
      <c r="A77" s="28" t="s">
        <v>284</v>
      </c>
      <c r="B77" s="28" t="s">
        <v>61</v>
      </c>
      <c r="C77" s="28" t="s">
        <v>58</v>
      </c>
      <c r="D77" s="28" t="s">
        <v>125</v>
      </c>
      <c r="N77" s="28" t="s">
        <v>932</v>
      </c>
      <c r="O77" s="28" t="s">
        <v>784</v>
      </c>
    </row>
    <row r="78" spans="1:15" x14ac:dyDescent="0.25">
      <c r="A78" s="28" t="s">
        <v>285</v>
      </c>
      <c r="B78" s="28" t="s">
        <v>5</v>
      </c>
      <c r="C78" s="28" t="s">
        <v>1</v>
      </c>
      <c r="D78" s="28" t="s">
        <v>117</v>
      </c>
      <c r="N78" s="28" t="s">
        <v>932</v>
      </c>
      <c r="O78" s="28" t="s">
        <v>689</v>
      </c>
    </row>
    <row r="79" spans="1:15" x14ac:dyDescent="0.25">
      <c r="A79" s="28" t="s">
        <v>286</v>
      </c>
      <c r="B79" s="28" t="s">
        <v>287</v>
      </c>
      <c r="C79" s="28" t="s">
        <v>58</v>
      </c>
      <c r="D79" s="28" t="s">
        <v>288</v>
      </c>
      <c r="N79" s="28" t="s">
        <v>932</v>
      </c>
      <c r="O79" s="28" t="s">
        <v>691</v>
      </c>
    </row>
    <row r="80" spans="1:15" x14ac:dyDescent="0.25">
      <c r="A80" s="28" t="s">
        <v>289</v>
      </c>
      <c r="B80" s="28" t="s">
        <v>290</v>
      </c>
      <c r="C80" s="28" t="s">
        <v>291</v>
      </c>
      <c r="D80" s="28" t="s">
        <v>292</v>
      </c>
      <c r="N80" s="28" t="s">
        <v>932</v>
      </c>
      <c r="O80" s="28" t="s">
        <v>724</v>
      </c>
    </row>
    <row r="81" spans="1:15" x14ac:dyDescent="0.25">
      <c r="A81" s="28" t="s">
        <v>293</v>
      </c>
      <c r="B81" s="28" t="s">
        <v>56</v>
      </c>
      <c r="C81" s="28" t="s">
        <v>53</v>
      </c>
      <c r="D81" s="28" t="s">
        <v>95</v>
      </c>
      <c r="N81" s="28" t="s">
        <v>932</v>
      </c>
      <c r="O81" s="28" t="s">
        <v>696</v>
      </c>
    </row>
    <row r="82" spans="1:15" x14ac:dyDescent="0.25">
      <c r="A82" s="28" t="s">
        <v>294</v>
      </c>
      <c r="B82" s="28" t="s">
        <v>57</v>
      </c>
      <c r="C82" s="28" t="s">
        <v>53</v>
      </c>
      <c r="D82" s="28" t="s">
        <v>130</v>
      </c>
      <c r="N82" s="28" t="s">
        <v>932</v>
      </c>
      <c r="O82" s="28" t="s">
        <v>665</v>
      </c>
    </row>
    <row r="83" spans="1:15" x14ac:dyDescent="0.25">
      <c r="A83" s="28" t="s">
        <v>295</v>
      </c>
      <c r="B83" s="28" t="s">
        <v>64</v>
      </c>
      <c r="C83" s="28" t="s">
        <v>58</v>
      </c>
      <c r="D83" s="28" t="s">
        <v>127</v>
      </c>
      <c r="N83" s="28" t="s">
        <v>932</v>
      </c>
      <c r="O83" s="28" t="s">
        <v>704</v>
      </c>
    </row>
    <row r="84" spans="1:15" x14ac:dyDescent="0.25">
      <c r="A84" s="28" t="s">
        <v>296</v>
      </c>
      <c r="B84" s="28" t="s">
        <v>64</v>
      </c>
      <c r="C84" s="28" t="s">
        <v>58</v>
      </c>
      <c r="D84" s="28" t="s">
        <v>88</v>
      </c>
      <c r="N84" s="28" t="s">
        <v>932</v>
      </c>
      <c r="O84" s="28" t="s">
        <v>667</v>
      </c>
    </row>
    <row r="85" spans="1:15" x14ac:dyDescent="0.25">
      <c r="A85" s="28" t="s">
        <v>297</v>
      </c>
      <c r="B85" s="28" t="s">
        <v>64</v>
      </c>
      <c r="C85" s="28" t="s">
        <v>58</v>
      </c>
      <c r="D85" s="28" t="s">
        <v>92</v>
      </c>
      <c r="N85" s="28" t="s">
        <v>932</v>
      </c>
      <c r="O85" s="28" t="s">
        <v>726</v>
      </c>
    </row>
    <row r="86" spans="1:15" x14ac:dyDescent="0.25">
      <c r="A86" s="28" t="s">
        <v>298</v>
      </c>
      <c r="B86" s="28" t="s">
        <v>64</v>
      </c>
      <c r="C86" s="28" t="s">
        <v>58</v>
      </c>
      <c r="D86" s="28" t="s">
        <v>299</v>
      </c>
      <c r="N86" s="28" t="s">
        <v>932</v>
      </c>
      <c r="O86" s="28" t="s">
        <v>742</v>
      </c>
    </row>
    <row r="87" spans="1:15" x14ac:dyDescent="0.25">
      <c r="A87" s="28" t="s">
        <v>300</v>
      </c>
      <c r="B87" s="28" t="s">
        <v>64</v>
      </c>
      <c r="C87" s="28" t="s">
        <v>58</v>
      </c>
      <c r="D87" s="28" t="s">
        <v>301</v>
      </c>
      <c r="N87" s="28" t="s">
        <v>932</v>
      </c>
      <c r="O87" s="28" t="s">
        <v>669</v>
      </c>
    </row>
    <row r="88" spans="1:15" x14ac:dyDescent="0.25">
      <c r="A88" s="28" t="s">
        <v>302</v>
      </c>
      <c r="B88" s="28" t="s">
        <v>64</v>
      </c>
      <c r="C88" s="28" t="s">
        <v>58</v>
      </c>
      <c r="D88" s="28" t="s">
        <v>303</v>
      </c>
      <c r="N88" s="28" t="s">
        <v>932</v>
      </c>
      <c r="O88" s="28" t="s">
        <v>728</v>
      </c>
    </row>
    <row r="89" spans="1:15" x14ac:dyDescent="0.25">
      <c r="A89" s="28" t="s">
        <v>304</v>
      </c>
      <c r="B89" s="28" t="s">
        <v>65</v>
      </c>
      <c r="C89" s="28" t="s">
        <v>58</v>
      </c>
      <c r="D89" s="28" t="s">
        <v>89</v>
      </c>
      <c r="N89" s="28" t="s">
        <v>932</v>
      </c>
      <c r="O89" s="28" t="s">
        <v>755</v>
      </c>
    </row>
    <row r="90" spans="1:15" x14ac:dyDescent="0.25">
      <c r="A90" s="28" t="s">
        <v>305</v>
      </c>
      <c r="B90" s="28" t="s">
        <v>65</v>
      </c>
      <c r="C90" s="28" t="s">
        <v>58</v>
      </c>
      <c r="D90" s="28" t="s">
        <v>90</v>
      </c>
      <c r="N90" s="28" t="s">
        <v>932</v>
      </c>
      <c r="O90" s="28" t="s">
        <v>730</v>
      </c>
    </row>
    <row r="91" spans="1:15" x14ac:dyDescent="0.25">
      <c r="A91" s="28" t="s">
        <v>306</v>
      </c>
      <c r="B91" s="28" t="s">
        <v>1005</v>
      </c>
      <c r="C91" s="28" t="s">
        <v>58</v>
      </c>
      <c r="D91" s="28" t="s">
        <v>119</v>
      </c>
      <c r="N91" s="28" t="s">
        <v>932</v>
      </c>
      <c r="O91" s="28" t="s">
        <v>698</v>
      </c>
    </row>
    <row r="92" spans="1:15" x14ac:dyDescent="0.25">
      <c r="A92" s="28" t="s">
        <v>821</v>
      </c>
      <c r="B92" s="28" t="s">
        <v>65</v>
      </c>
      <c r="C92" s="28" t="s">
        <v>58</v>
      </c>
      <c r="D92" s="28" t="s">
        <v>642</v>
      </c>
    </row>
    <row r="93" spans="1:15" x14ac:dyDescent="0.25">
      <c r="A93" s="28" t="s">
        <v>1384</v>
      </c>
      <c r="B93" s="28" t="s">
        <v>1006</v>
      </c>
      <c r="C93" s="28" t="s">
        <v>58</v>
      </c>
      <c r="D93" s="81" t="s">
        <v>997</v>
      </c>
      <c r="N93" s="28" t="s">
        <v>932</v>
      </c>
      <c r="O93" s="28" t="s">
        <v>671</v>
      </c>
    </row>
    <row r="94" spans="1:15" x14ac:dyDescent="0.25">
      <c r="A94" s="28" t="s">
        <v>307</v>
      </c>
      <c r="B94" s="28" t="s">
        <v>64</v>
      </c>
      <c r="C94" s="28" t="s">
        <v>58</v>
      </c>
      <c r="D94" s="28" t="s">
        <v>91</v>
      </c>
      <c r="N94" s="28" t="s">
        <v>932</v>
      </c>
      <c r="O94" s="28" t="s">
        <v>706</v>
      </c>
    </row>
    <row r="95" spans="1:15" x14ac:dyDescent="0.25">
      <c r="A95" s="28" t="s">
        <v>308</v>
      </c>
      <c r="B95" s="28" t="s">
        <v>64</v>
      </c>
      <c r="C95" s="28" t="s">
        <v>58</v>
      </c>
      <c r="D95" s="29" t="s">
        <v>128</v>
      </c>
      <c r="N95" s="28" t="s">
        <v>932</v>
      </c>
      <c r="O95" s="28" t="s">
        <v>732</v>
      </c>
    </row>
    <row r="96" spans="1:15" x14ac:dyDescent="0.25">
      <c r="A96" s="28" t="s">
        <v>309</v>
      </c>
      <c r="B96" s="28" t="s">
        <v>63</v>
      </c>
      <c r="C96" s="28" t="s">
        <v>58</v>
      </c>
      <c r="D96" s="28" t="s">
        <v>310</v>
      </c>
      <c r="N96" s="28" t="s">
        <v>932</v>
      </c>
      <c r="O96" s="28" t="s">
        <v>700</v>
      </c>
    </row>
    <row r="97" spans="1:15" x14ac:dyDescent="0.25">
      <c r="A97" s="28" t="s">
        <v>311</v>
      </c>
      <c r="B97" s="28" t="s">
        <v>63</v>
      </c>
      <c r="C97" s="28" t="s">
        <v>58</v>
      </c>
      <c r="D97" s="28" t="s">
        <v>312</v>
      </c>
      <c r="N97" s="28" t="s">
        <v>932</v>
      </c>
      <c r="O97" s="28" t="s">
        <v>673</v>
      </c>
    </row>
    <row r="98" spans="1:15" x14ac:dyDescent="0.25">
      <c r="A98" s="28" t="s">
        <v>313</v>
      </c>
      <c r="B98" s="28" t="s">
        <v>63</v>
      </c>
      <c r="C98" s="28" t="s">
        <v>58</v>
      </c>
      <c r="D98" s="28" t="s">
        <v>314</v>
      </c>
      <c r="N98" s="28" t="s">
        <v>932</v>
      </c>
      <c r="O98" s="28" t="s">
        <v>734</v>
      </c>
    </row>
    <row r="99" spans="1:15" x14ac:dyDescent="0.25">
      <c r="B99" s="28" t="s">
        <v>64</v>
      </c>
      <c r="C99" s="28" t="s">
        <v>58</v>
      </c>
      <c r="D99" s="28" t="s">
        <v>234</v>
      </c>
      <c r="N99" s="28" t="s">
        <v>932</v>
      </c>
      <c r="O99" s="28" t="s">
        <v>675</v>
      </c>
    </row>
    <row r="100" spans="1:15" x14ac:dyDescent="0.25">
      <c r="A100" s="28" t="s">
        <v>315</v>
      </c>
      <c r="B100" s="28" t="s">
        <v>64</v>
      </c>
      <c r="C100" s="28" t="s">
        <v>58</v>
      </c>
      <c r="D100" s="28" t="s">
        <v>316</v>
      </c>
      <c r="N100" s="28" t="s">
        <v>932</v>
      </c>
      <c r="O100" s="28" t="s">
        <v>708</v>
      </c>
    </row>
    <row r="101" spans="1:15" x14ac:dyDescent="0.25">
      <c r="A101" s="28" t="s">
        <v>191</v>
      </c>
      <c r="B101" s="28" t="s">
        <v>81</v>
      </c>
      <c r="C101" s="28" t="s">
        <v>317</v>
      </c>
      <c r="D101" s="28" t="s">
        <v>98</v>
      </c>
      <c r="N101" s="28" t="s">
        <v>932</v>
      </c>
      <c r="O101" s="28" t="s">
        <v>736</v>
      </c>
    </row>
    <row r="102" spans="1:15" x14ac:dyDescent="0.25">
      <c r="A102" s="28" t="s">
        <v>318</v>
      </c>
      <c r="B102" s="28" t="s">
        <v>10</v>
      </c>
      <c r="C102" s="28" t="s">
        <v>10</v>
      </c>
      <c r="N102" s="28" t="s">
        <v>932</v>
      </c>
      <c r="O102" s="28" t="s">
        <v>702</v>
      </c>
    </row>
    <row r="103" spans="1:15" x14ac:dyDescent="0.25">
      <c r="A103" s="28" t="s">
        <v>319</v>
      </c>
      <c r="B103" s="28" t="s">
        <v>11</v>
      </c>
      <c r="C103" s="28" t="s">
        <v>10</v>
      </c>
      <c r="D103" s="28" t="s">
        <v>118</v>
      </c>
      <c r="N103" s="28" t="s">
        <v>932</v>
      </c>
      <c r="O103" s="28" t="s">
        <v>677</v>
      </c>
    </row>
    <row r="104" spans="1:15" x14ac:dyDescent="0.25">
      <c r="A104" s="28" t="s">
        <v>320</v>
      </c>
      <c r="B104" s="28" t="s">
        <v>321</v>
      </c>
      <c r="C104" s="28" t="s">
        <v>10</v>
      </c>
      <c r="D104" s="28" t="s">
        <v>322</v>
      </c>
      <c r="N104" s="28" t="s">
        <v>932</v>
      </c>
      <c r="O104" s="28" t="s">
        <v>710</v>
      </c>
    </row>
    <row r="105" spans="1:15" x14ac:dyDescent="0.25">
      <c r="A105" s="28" t="s">
        <v>323</v>
      </c>
      <c r="B105" s="28" t="s">
        <v>13</v>
      </c>
      <c r="C105" s="28" t="s">
        <v>10</v>
      </c>
      <c r="D105" s="28" t="s">
        <v>324</v>
      </c>
      <c r="N105" s="28" t="s">
        <v>932</v>
      </c>
      <c r="O105" t="s">
        <v>998</v>
      </c>
    </row>
    <row r="106" spans="1:15" x14ac:dyDescent="0.25">
      <c r="A106" s="28" t="s">
        <v>325</v>
      </c>
      <c r="B106" s="28" t="s">
        <v>12</v>
      </c>
      <c r="C106" s="28" t="s">
        <v>10</v>
      </c>
      <c r="D106" s="28" t="s">
        <v>104</v>
      </c>
      <c r="N106" s="28" t="s">
        <v>932</v>
      </c>
      <c r="O106" t="s">
        <v>999</v>
      </c>
    </row>
    <row r="107" spans="1:15" x14ac:dyDescent="0.25">
      <c r="A107" s="28" t="s">
        <v>326</v>
      </c>
      <c r="B107" s="28" t="s">
        <v>66</v>
      </c>
      <c r="C107" s="28" t="s">
        <v>58</v>
      </c>
      <c r="D107" s="28" t="s">
        <v>96</v>
      </c>
      <c r="N107" s="28" t="s">
        <v>932</v>
      </c>
      <c r="O107" t="s">
        <v>1000</v>
      </c>
    </row>
    <row r="108" spans="1:15" x14ac:dyDescent="0.25">
      <c r="A108" s="28" t="s">
        <v>327</v>
      </c>
      <c r="B108" s="28" t="s">
        <v>4</v>
      </c>
      <c r="C108" s="28" t="s">
        <v>1</v>
      </c>
      <c r="D108" s="28" t="s">
        <v>328</v>
      </c>
      <c r="N108" s="28" t="s">
        <v>932</v>
      </c>
      <c r="O108" t="s">
        <v>1001</v>
      </c>
    </row>
    <row r="109" spans="1:15" x14ac:dyDescent="0.25">
      <c r="A109" s="28" t="s">
        <v>329</v>
      </c>
      <c r="B109" s="28" t="s">
        <v>6</v>
      </c>
      <c r="C109" s="28" t="s">
        <v>1</v>
      </c>
      <c r="D109" s="28" t="s">
        <v>6</v>
      </c>
      <c r="N109" s="28" t="s">
        <v>932</v>
      </c>
      <c r="O109" t="s">
        <v>1002</v>
      </c>
    </row>
    <row r="110" spans="1:15" x14ac:dyDescent="0.25">
      <c r="N110" s="28" t="s">
        <v>932</v>
      </c>
      <c r="O110" t="s">
        <v>1003</v>
      </c>
    </row>
    <row r="111" spans="1:15" x14ac:dyDescent="0.25">
      <c r="A111" s="28" t="s">
        <v>330</v>
      </c>
      <c r="B111" s="28" t="s">
        <v>54</v>
      </c>
      <c r="C111" s="32" t="s">
        <v>58</v>
      </c>
      <c r="D111" s="28" t="s">
        <v>111</v>
      </c>
      <c r="N111" s="28" t="s">
        <v>932</v>
      </c>
      <c r="O111" t="s">
        <v>1795</v>
      </c>
    </row>
    <row r="112" spans="1:15" x14ac:dyDescent="0.25">
      <c r="A112" s="28" t="s">
        <v>331</v>
      </c>
      <c r="B112" s="28" t="s">
        <v>652</v>
      </c>
      <c r="C112" s="32"/>
      <c r="N112" s="28" t="s">
        <v>932</v>
      </c>
      <c r="O112" t="s">
        <v>1803</v>
      </c>
    </row>
    <row r="113" spans="1:15" x14ac:dyDescent="0.25">
      <c r="A113" s="28" t="s">
        <v>332</v>
      </c>
      <c r="B113" s="28" t="s">
        <v>652</v>
      </c>
      <c r="C113" s="32"/>
      <c r="D113" s="28" t="s">
        <v>915</v>
      </c>
      <c r="N113" s="28" t="s">
        <v>932</v>
      </c>
      <c r="O113" t="s">
        <v>1811</v>
      </c>
    </row>
    <row r="114" spans="1:15" x14ac:dyDescent="0.25">
      <c r="A114" s="28" t="s">
        <v>571</v>
      </c>
      <c r="B114" s="28" t="s">
        <v>1008</v>
      </c>
      <c r="D114" s="28" t="s">
        <v>333</v>
      </c>
      <c r="N114" s="28" t="s">
        <v>932</v>
      </c>
      <c r="O114" t="s">
        <v>1819</v>
      </c>
    </row>
    <row r="115" spans="1:15" x14ac:dyDescent="0.25">
      <c r="A115" s="28" t="s">
        <v>570</v>
      </c>
      <c r="B115" s="28" t="s">
        <v>1008</v>
      </c>
      <c r="D115" s="28" t="s">
        <v>334</v>
      </c>
      <c r="N115" s="28" t="s">
        <v>932</v>
      </c>
      <c r="O115" t="s">
        <v>1827</v>
      </c>
    </row>
    <row r="116" spans="1:15" x14ac:dyDescent="0.25">
      <c r="A116" s="28" t="s">
        <v>569</v>
      </c>
      <c r="B116" s="28" t="s">
        <v>1008</v>
      </c>
      <c r="D116" s="28" t="s">
        <v>335</v>
      </c>
      <c r="N116" s="28" t="s">
        <v>932</v>
      </c>
      <c r="O116" t="s">
        <v>1835</v>
      </c>
    </row>
    <row r="117" spans="1:15" x14ac:dyDescent="0.25">
      <c r="A117" s="28" t="s">
        <v>566</v>
      </c>
      <c r="B117" s="28" t="s">
        <v>1007</v>
      </c>
      <c r="D117" s="28" t="s">
        <v>113</v>
      </c>
      <c r="N117" s="28" t="s">
        <v>932</v>
      </c>
      <c r="O117" t="s">
        <v>1843</v>
      </c>
    </row>
    <row r="118" spans="1:15" x14ac:dyDescent="0.25">
      <c r="A118" s="28" t="s">
        <v>567</v>
      </c>
      <c r="B118" s="28" t="s">
        <v>1007</v>
      </c>
      <c r="D118" s="28" t="s">
        <v>114</v>
      </c>
      <c r="N118" s="28" t="s">
        <v>932</v>
      </c>
      <c r="O118" t="s">
        <v>1851</v>
      </c>
    </row>
    <row r="119" spans="1:15" x14ac:dyDescent="0.25">
      <c r="A119" s="28" t="s">
        <v>568</v>
      </c>
      <c r="B119" s="28" t="s">
        <v>1007</v>
      </c>
      <c r="D119" s="28" t="s">
        <v>115</v>
      </c>
      <c r="N119" s="28" t="s">
        <v>932</v>
      </c>
      <c r="O119" t="s">
        <v>1859</v>
      </c>
    </row>
    <row r="120" spans="1:15" x14ac:dyDescent="0.25">
      <c r="B120" s="28" t="s">
        <v>215</v>
      </c>
      <c r="D120" s="28" t="s">
        <v>336</v>
      </c>
      <c r="F120"/>
      <c r="N120" s="28" t="s">
        <v>932</v>
      </c>
      <c r="O120" t="s">
        <v>1867</v>
      </c>
    </row>
    <row r="121" spans="1:15" x14ac:dyDescent="0.25">
      <c r="B121" s="28" t="s">
        <v>215</v>
      </c>
      <c r="D121" s="28" t="s">
        <v>337</v>
      </c>
      <c r="F121"/>
      <c r="N121" s="28" t="s">
        <v>932</v>
      </c>
      <c r="O121" t="s">
        <v>1875</v>
      </c>
    </row>
    <row r="122" spans="1:15" x14ac:dyDescent="0.25">
      <c r="B122" s="28" t="s">
        <v>215</v>
      </c>
      <c r="D122" s="28" t="s">
        <v>338</v>
      </c>
      <c r="F122"/>
      <c r="N122" s="28" t="s">
        <v>932</v>
      </c>
      <c r="O122" t="s">
        <v>1883</v>
      </c>
    </row>
    <row r="123" spans="1:15" x14ac:dyDescent="0.25">
      <c r="B123" s="28" t="s">
        <v>215</v>
      </c>
      <c r="D123" s="28" t="s">
        <v>339</v>
      </c>
      <c r="F123"/>
      <c r="N123" s="28" t="s">
        <v>932</v>
      </c>
      <c r="O123" t="s">
        <v>1891</v>
      </c>
    </row>
    <row r="124" spans="1:15" x14ac:dyDescent="0.25">
      <c r="B124" s="28" t="s">
        <v>215</v>
      </c>
      <c r="D124" s="28" t="s">
        <v>340</v>
      </c>
      <c r="F124"/>
      <c r="N124" s="28" t="s">
        <v>932</v>
      </c>
      <c r="O124" t="s">
        <v>1899</v>
      </c>
    </row>
    <row r="125" spans="1:15" x14ac:dyDescent="0.25">
      <c r="A125" s="28" t="s">
        <v>341</v>
      </c>
      <c r="B125" s="28" t="s">
        <v>215</v>
      </c>
      <c r="D125" s="28" t="s">
        <v>342</v>
      </c>
      <c r="F125"/>
      <c r="N125" s="28" t="s">
        <v>932</v>
      </c>
      <c r="O125" t="s">
        <v>1907</v>
      </c>
    </row>
    <row r="126" spans="1:15" x14ac:dyDescent="0.25">
      <c r="B126" s="28" t="s">
        <v>215</v>
      </c>
      <c r="D126" s="28" t="s">
        <v>343</v>
      </c>
      <c r="F126"/>
      <c r="N126" s="28" t="s">
        <v>932</v>
      </c>
      <c r="O126" t="s">
        <v>1915</v>
      </c>
    </row>
    <row r="127" spans="1:15" x14ac:dyDescent="0.25">
      <c r="B127" s="28" t="s">
        <v>215</v>
      </c>
      <c r="D127" s="28" t="s">
        <v>344</v>
      </c>
      <c r="F127"/>
      <c r="N127" s="28" t="s">
        <v>932</v>
      </c>
      <c r="O127" t="s">
        <v>1923</v>
      </c>
    </row>
    <row r="128" spans="1:15" x14ac:dyDescent="0.25">
      <c r="A128" s="28" t="s">
        <v>345</v>
      </c>
      <c r="B128" s="28" t="s">
        <v>186</v>
      </c>
      <c r="D128"/>
      <c r="F128"/>
      <c r="N128" s="28" t="s">
        <v>932</v>
      </c>
      <c r="O128" t="s">
        <v>1931</v>
      </c>
    </row>
    <row r="129" spans="1:15" x14ac:dyDescent="0.25">
      <c r="A129" s="28" t="s">
        <v>346</v>
      </c>
      <c r="B129" s="28" t="s">
        <v>347</v>
      </c>
      <c r="D129"/>
      <c r="F129"/>
      <c r="N129" s="28" t="s">
        <v>932</v>
      </c>
      <c r="O129" t="s">
        <v>1939</v>
      </c>
    </row>
    <row r="130" spans="1:15" x14ac:dyDescent="0.25">
      <c r="B130" s="28" t="s">
        <v>215</v>
      </c>
      <c r="D130" s="28" t="s">
        <v>348</v>
      </c>
      <c r="F130"/>
      <c r="N130" s="28" t="s">
        <v>932</v>
      </c>
      <c r="O130" t="s">
        <v>1947</v>
      </c>
    </row>
    <row r="131" spans="1:15" x14ac:dyDescent="0.25">
      <c r="A131" s="28" t="s">
        <v>827</v>
      </c>
      <c r="B131" s="28" t="s">
        <v>843</v>
      </c>
      <c r="C131" s="28" t="s">
        <v>1</v>
      </c>
      <c r="D131" s="29" t="s">
        <v>844</v>
      </c>
      <c r="N131" s="28" t="s">
        <v>932</v>
      </c>
      <c r="O131" t="s">
        <v>1955</v>
      </c>
    </row>
    <row r="132" spans="1:15" x14ac:dyDescent="0.25">
      <c r="A132" s="28" t="s">
        <v>911</v>
      </c>
      <c r="B132" s="43" t="s">
        <v>846</v>
      </c>
      <c r="D132" s="28" t="s">
        <v>845</v>
      </c>
      <c r="N132" s="28" t="s">
        <v>932</v>
      </c>
      <c r="O132" t="s">
        <v>1963</v>
      </c>
    </row>
    <row r="133" spans="1:15" x14ac:dyDescent="0.25">
      <c r="A133" s="28" t="s">
        <v>935</v>
      </c>
      <c r="B133" s="28" t="s">
        <v>215</v>
      </c>
      <c r="D133" s="28" t="s">
        <v>939</v>
      </c>
      <c r="N133" s="28" t="s">
        <v>932</v>
      </c>
      <c r="O133" t="s">
        <v>1971</v>
      </c>
    </row>
    <row r="134" spans="1:15" x14ac:dyDescent="0.25">
      <c r="A134" s="28" t="s">
        <v>941</v>
      </c>
      <c r="B134" s="28" t="s">
        <v>215</v>
      </c>
      <c r="D134" s="28" t="s">
        <v>1009</v>
      </c>
      <c r="N134" s="28" t="s">
        <v>932</v>
      </c>
      <c r="O134" t="s">
        <v>1979</v>
      </c>
    </row>
    <row r="135" spans="1:15" x14ac:dyDescent="0.25">
      <c r="A135" s="28" t="s">
        <v>942</v>
      </c>
      <c r="B135" s="28" t="s">
        <v>215</v>
      </c>
      <c r="O135"/>
    </row>
    <row r="136" spans="1:15" x14ac:dyDescent="0.25">
      <c r="B136" s="28" t="s">
        <v>42</v>
      </c>
      <c r="D136" s="28" t="s">
        <v>1396</v>
      </c>
      <c r="O136"/>
    </row>
    <row r="137" spans="1:15" x14ac:dyDescent="0.25">
      <c r="B137" s="28" t="s">
        <v>1082</v>
      </c>
      <c r="D137" s="28" t="s">
        <v>1400</v>
      </c>
      <c r="O137"/>
    </row>
    <row r="138" spans="1:15" x14ac:dyDescent="0.25">
      <c r="B138" s="28" t="s">
        <v>21</v>
      </c>
      <c r="D138" s="28" t="s">
        <v>1401</v>
      </c>
      <c r="O138"/>
    </row>
    <row r="139" spans="1:15" x14ac:dyDescent="0.25">
      <c r="B139" s="28" t="s">
        <v>822</v>
      </c>
      <c r="C139" s="28" t="s">
        <v>1409</v>
      </c>
      <c r="D139" s="28" t="s">
        <v>1409</v>
      </c>
      <c r="O139"/>
    </row>
    <row r="140" spans="1:15" x14ac:dyDescent="0.25">
      <c r="B140" s="28" t="s">
        <v>822</v>
      </c>
      <c r="C140" s="28" t="s">
        <v>1409</v>
      </c>
      <c r="D140" s="28" t="s">
        <v>1409</v>
      </c>
      <c r="O140"/>
    </row>
    <row r="141" spans="1:15" x14ac:dyDescent="0.25">
      <c r="B141" s="28" t="s">
        <v>822</v>
      </c>
      <c r="C141" s="28" t="s">
        <v>1409</v>
      </c>
      <c r="D141" s="28" t="s">
        <v>1409</v>
      </c>
      <c r="O141"/>
    </row>
    <row r="142" spans="1:15" x14ac:dyDescent="0.25">
      <c r="B142" s="28" t="s">
        <v>347</v>
      </c>
      <c r="C142" s="28" t="s">
        <v>347</v>
      </c>
      <c r="D142" s="28" t="s">
        <v>347</v>
      </c>
      <c r="O142"/>
    </row>
    <row r="143" spans="1:15" x14ac:dyDescent="0.25">
      <c r="O143"/>
    </row>
    <row r="144" spans="1:15" x14ac:dyDescent="0.25">
      <c r="O144"/>
    </row>
    <row r="145" spans="15:15" x14ac:dyDescent="0.25">
      <c r="O145"/>
    </row>
    <row r="146" spans="15:15" x14ac:dyDescent="0.25">
      <c r="O146"/>
    </row>
    <row r="147" spans="15:15" x14ac:dyDescent="0.25">
      <c r="O147"/>
    </row>
    <row r="148" spans="15:15" x14ac:dyDescent="0.25">
      <c r="O148"/>
    </row>
    <row r="149" spans="15:15" x14ac:dyDescent="0.25">
      <c r="O149"/>
    </row>
    <row r="150" spans="15:15" x14ac:dyDescent="0.25">
      <c r="O150"/>
    </row>
    <row r="151" spans="15:15" x14ac:dyDescent="0.25">
      <c r="O151"/>
    </row>
    <row r="152" spans="15:15" x14ac:dyDescent="0.25">
      <c r="O152"/>
    </row>
    <row r="153" spans="15:15" x14ac:dyDescent="0.25">
      <c r="O153"/>
    </row>
    <row r="154" spans="15:15" x14ac:dyDescent="0.25">
      <c r="O154"/>
    </row>
    <row r="155" spans="15:15" x14ac:dyDescent="0.25">
      <c r="O155"/>
    </row>
    <row r="156" spans="15:15" x14ac:dyDescent="0.25">
      <c r="O156"/>
    </row>
    <row r="157" spans="15:15" x14ac:dyDescent="0.25">
      <c r="O157"/>
    </row>
    <row r="158" spans="15:15" x14ac:dyDescent="0.25">
      <c r="O158"/>
    </row>
    <row r="159" spans="15:15" x14ac:dyDescent="0.25">
      <c r="O159"/>
    </row>
    <row r="160" spans="15:15" x14ac:dyDescent="0.25">
      <c r="O160"/>
    </row>
    <row r="161" spans="15:15" x14ac:dyDescent="0.25">
      <c r="O161"/>
    </row>
    <row r="162" spans="15:15" x14ac:dyDescent="0.25">
      <c r="O162"/>
    </row>
    <row r="163" spans="15:15" x14ac:dyDescent="0.25">
      <c r="O163"/>
    </row>
    <row r="164" spans="15:15" x14ac:dyDescent="0.25">
      <c r="O164"/>
    </row>
    <row r="165" spans="15:15" x14ac:dyDescent="0.25">
      <c r="O165"/>
    </row>
    <row r="166" spans="15:15" x14ac:dyDescent="0.25">
      <c r="O166"/>
    </row>
    <row r="167" spans="15:15" x14ac:dyDescent="0.25">
      <c r="O167"/>
    </row>
    <row r="168" spans="15:15" x14ac:dyDescent="0.25">
      <c r="O168"/>
    </row>
    <row r="169" spans="15:15" x14ac:dyDescent="0.25">
      <c r="O169"/>
    </row>
    <row r="170" spans="15:15" x14ac:dyDescent="0.25">
      <c r="O170"/>
    </row>
    <row r="171" spans="15:15" x14ac:dyDescent="0.25">
      <c r="O171"/>
    </row>
    <row r="172" spans="15:15" x14ac:dyDescent="0.25">
      <c r="O172"/>
    </row>
    <row r="173" spans="15:15" x14ac:dyDescent="0.25">
      <c r="O173"/>
    </row>
    <row r="174" spans="15:15" x14ac:dyDescent="0.25">
      <c r="O174"/>
    </row>
    <row r="175" spans="15:15" x14ac:dyDescent="0.25">
      <c r="O175"/>
    </row>
    <row r="176" spans="15:15" x14ac:dyDescent="0.25">
      <c r="O176"/>
    </row>
    <row r="177" spans="15:15" x14ac:dyDescent="0.25">
      <c r="O177"/>
    </row>
    <row r="178" spans="15:15" x14ac:dyDescent="0.25">
      <c r="O178"/>
    </row>
    <row r="179" spans="15:15" x14ac:dyDescent="0.25">
      <c r="O179"/>
    </row>
    <row r="180" spans="15:15" x14ac:dyDescent="0.25">
      <c r="O180"/>
    </row>
    <row r="181" spans="15:15" x14ac:dyDescent="0.25">
      <c r="O181"/>
    </row>
    <row r="182" spans="15:15" x14ac:dyDescent="0.25">
      <c r="O182"/>
    </row>
    <row r="183" spans="15:15" x14ac:dyDescent="0.25">
      <c r="O183"/>
    </row>
    <row r="184" spans="15:15" x14ac:dyDescent="0.25">
      <c r="O184"/>
    </row>
    <row r="185" spans="15:15" x14ac:dyDescent="0.25">
      <c r="O185"/>
    </row>
    <row r="186" spans="15:15" x14ac:dyDescent="0.25">
      <c r="O186"/>
    </row>
    <row r="187" spans="15:15" x14ac:dyDescent="0.25">
      <c r="O187"/>
    </row>
    <row r="188" spans="15:15" x14ac:dyDescent="0.25">
      <c r="O188"/>
    </row>
    <row r="189" spans="15:15" x14ac:dyDescent="0.25">
      <c r="O189"/>
    </row>
    <row r="190" spans="15:15" x14ac:dyDescent="0.25">
      <c r="O190"/>
    </row>
    <row r="191" spans="15:15" x14ac:dyDescent="0.25">
      <c r="O191"/>
    </row>
    <row r="192" spans="15:15" x14ac:dyDescent="0.25">
      <c r="O192"/>
    </row>
    <row r="193" spans="15:15" x14ac:dyDescent="0.25">
      <c r="O193"/>
    </row>
    <row r="194" spans="15:15" x14ac:dyDescent="0.25">
      <c r="O194"/>
    </row>
    <row r="195" spans="15:15" x14ac:dyDescent="0.25">
      <c r="O195"/>
    </row>
    <row r="196" spans="15:15" x14ac:dyDescent="0.25">
      <c r="O196"/>
    </row>
    <row r="197" spans="15:15" x14ac:dyDescent="0.25">
      <c r="O197"/>
    </row>
    <row r="198" spans="15:15" x14ac:dyDescent="0.25">
      <c r="O198"/>
    </row>
    <row r="199" spans="15:15" x14ac:dyDescent="0.25">
      <c r="O199"/>
    </row>
    <row r="200" spans="15:15" x14ac:dyDescent="0.25">
      <c r="O200"/>
    </row>
    <row r="201" spans="15:15" x14ac:dyDescent="0.25">
      <c r="O201"/>
    </row>
    <row r="202" spans="15:15" x14ac:dyDescent="0.25">
      <c r="O202"/>
    </row>
    <row r="203" spans="15:15" x14ac:dyDescent="0.25">
      <c r="O203"/>
    </row>
    <row r="204" spans="15:15" x14ac:dyDescent="0.25">
      <c r="O204"/>
    </row>
    <row r="205" spans="15:15" x14ac:dyDescent="0.25">
      <c r="O205"/>
    </row>
    <row r="206" spans="15:15" x14ac:dyDescent="0.25">
      <c r="O206"/>
    </row>
    <row r="207" spans="15:15" x14ac:dyDescent="0.25">
      <c r="O207"/>
    </row>
    <row r="208" spans="15:15" x14ac:dyDescent="0.25">
      <c r="O208"/>
    </row>
    <row r="209" spans="15:15" x14ac:dyDescent="0.25">
      <c r="O209"/>
    </row>
    <row r="210" spans="15:15" x14ac:dyDescent="0.25">
      <c r="O210"/>
    </row>
    <row r="211" spans="15:15" x14ac:dyDescent="0.25">
      <c r="O211"/>
    </row>
    <row r="212" spans="15:15" x14ac:dyDescent="0.25">
      <c r="O212"/>
    </row>
    <row r="213" spans="15:15" x14ac:dyDescent="0.25">
      <c r="O213"/>
    </row>
    <row r="214" spans="15:15" x14ac:dyDescent="0.25">
      <c r="O214"/>
    </row>
    <row r="215" spans="15:15" x14ac:dyDescent="0.25">
      <c r="O215"/>
    </row>
    <row r="216" spans="15:15" x14ac:dyDescent="0.25">
      <c r="O216"/>
    </row>
    <row r="217" spans="15:15" x14ac:dyDescent="0.25">
      <c r="O217"/>
    </row>
    <row r="218" spans="15:15" x14ac:dyDescent="0.25">
      <c r="O218"/>
    </row>
    <row r="219" spans="15:15" x14ac:dyDescent="0.25">
      <c r="O219"/>
    </row>
    <row r="220" spans="15:15" x14ac:dyDescent="0.25">
      <c r="O220"/>
    </row>
    <row r="221" spans="15:15" x14ac:dyDescent="0.25">
      <c r="O221"/>
    </row>
    <row r="222" spans="15:15" x14ac:dyDescent="0.25">
      <c r="O222"/>
    </row>
    <row r="223" spans="15:15" x14ac:dyDescent="0.25">
      <c r="O223"/>
    </row>
    <row r="224" spans="15:15" x14ac:dyDescent="0.25">
      <c r="O224"/>
    </row>
    <row r="225" spans="15:15" x14ac:dyDescent="0.25">
      <c r="O225"/>
    </row>
    <row r="226" spans="15:15" x14ac:dyDescent="0.25">
      <c r="O226"/>
    </row>
    <row r="227" spans="15:15" x14ac:dyDescent="0.25">
      <c r="O227"/>
    </row>
    <row r="228" spans="15:15" x14ac:dyDescent="0.25">
      <c r="O228"/>
    </row>
    <row r="229" spans="15:15" x14ac:dyDescent="0.25">
      <c r="O229"/>
    </row>
    <row r="230" spans="15:15" x14ac:dyDescent="0.25">
      <c r="O230"/>
    </row>
    <row r="231" spans="15:15" x14ac:dyDescent="0.25">
      <c r="O231"/>
    </row>
    <row r="232" spans="15:15" x14ac:dyDescent="0.25">
      <c r="O232"/>
    </row>
    <row r="233" spans="15:15" x14ac:dyDescent="0.25">
      <c r="O233"/>
    </row>
    <row r="234" spans="15:15" x14ac:dyDescent="0.25">
      <c r="O234"/>
    </row>
    <row r="235" spans="15:15" x14ac:dyDescent="0.25">
      <c r="O235"/>
    </row>
    <row r="236" spans="15:15" x14ac:dyDescent="0.25">
      <c r="O236"/>
    </row>
    <row r="237" spans="15:15" x14ac:dyDescent="0.25">
      <c r="O237"/>
    </row>
    <row r="238" spans="15:15" x14ac:dyDescent="0.25">
      <c r="O238"/>
    </row>
    <row r="239" spans="15:15" x14ac:dyDescent="0.25">
      <c r="O239"/>
    </row>
    <row r="240" spans="15:15" x14ac:dyDescent="0.25">
      <c r="O240"/>
    </row>
    <row r="241" spans="15:15" x14ac:dyDescent="0.25">
      <c r="O241"/>
    </row>
    <row r="242" spans="15:15" x14ac:dyDescent="0.25">
      <c r="O242"/>
    </row>
    <row r="243" spans="15:15" x14ac:dyDescent="0.25">
      <c r="O243"/>
    </row>
    <row r="244" spans="15:15" x14ac:dyDescent="0.25">
      <c r="O244"/>
    </row>
    <row r="245" spans="15:15" x14ac:dyDescent="0.25">
      <c r="O245"/>
    </row>
    <row r="246" spans="15:15" x14ac:dyDescent="0.25">
      <c r="O246"/>
    </row>
    <row r="247" spans="15:15" x14ac:dyDescent="0.25">
      <c r="O247"/>
    </row>
    <row r="248" spans="15:15" x14ac:dyDescent="0.25">
      <c r="O248"/>
    </row>
    <row r="249" spans="15:15" x14ac:dyDescent="0.25">
      <c r="O249"/>
    </row>
    <row r="250" spans="15:15" x14ac:dyDescent="0.25">
      <c r="O250"/>
    </row>
    <row r="251" spans="15:15" x14ac:dyDescent="0.25">
      <c r="O251"/>
    </row>
    <row r="252" spans="15:15" x14ac:dyDescent="0.25">
      <c r="O252"/>
    </row>
    <row r="253" spans="15:15" x14ac:dyDescent="0.25">
      <c r="O253"/>
    </row>
    <row r="254" spans="15:15" x14ac:dyDescent="0.25">
      <c r="O254"/>
    </row>
    <row r="255" spans="15:15" x14ac:dyDescent="0.25">
      <c r="O255"/>
    </row>
    <row r="256" spans="15:15" x14ac:dyDescent="0.25">
      <c r="O256"/>
    </row>
    <row r="257" spans="15:15" x14ac:dyDescent="0.25">
      <c r="O257"/>
    </row>
    <row r="258" spans="15:15" x14ac:dyDescent="0.25">
      <c r="O258"/>
    </row>
    <row r="259" spans="15:15" x14ac:dyDescent="0.25">
      <c r="O259"/>
    </row>
    <row r="260" spans="15:15" x14ac:dyDescent="0.25">
      <c r="O260"/>
    </row>
    <row r="261" spans="15:15" x14ac:dyDescent="0.25">
      <c r="O261"/>
    </row>
    <row r="262" spans="15:15" x14ac:dyDescent="0.25">
      <c r="O262"/>
    </row>
    <row r="263" spans="15:15" x14ac:dyDescent="0.25">
      <c r="O263"/>
    </row>
    <row r="264" spans="15:15" x14ac:dyDescent="0.25">
      <c r="O264"/>
    </row>
    <row r="265" spans="15:15" x14ac:dyDescent="0.25">
      <c r="O265"/>
    </row>
    <row r="266" spans="15:15" x14ac:dyDescent="0.25">
      <c r="O266"/>
    </row>
    <row r="267" spans="15:15" x14ac:dyDescent="0.25">
      <c r="O267"/>
    </row>
    <row r="268" spans="15:15" x14ac:dyDescent="0.25">
      <c r="O268"/>
    </row>
    <row r="269" spans="15:15" x14ac:dyDescent="0.25">
      <c r="O269"/>
    </row>
    <row r="270" spans="15:15" x14ac:dyDescent="0.25">
      <c r="O270"/>
    </row>
    <row r="271" spans="15:15" x14ac:dyDescent="0.25">
      <c r="O271"/>
    </row>
    <row r="272" spans="15:15" x14ac:dyDescent="0.25">
      <c r="O272"/>
    </row>
    <row r="273" spans="15:15" x14ac:dyDescent="0.25">
      <c r="O273"/>
    </row>
    <row r="274" spans="15:15" x14ac:dyDescent="0.25">
      <c r="O274"/>
    </row>
    <row r="275" spans="15:15" x14ac:dyDescent="0.25">
      <c r="O275"/>
    </row>
    <row r="276" spans="15:15" x14ac:dyDescent="0.25">
      <c r="O276"/>
    </row>
    <row r="277" spans="15:15" x14ac:dyDescent="0.25">
      <c r="O277"/>
    </row>
    <row r="278" spans="15:15" x14ac:dyDescent="0.25">
      <c r="O278"/>
    </row>
    <row r="279" spans="15:15" x14ac:dyDescent="0.25">
      <c r="O279"/>
    </row>
    <row r="280" spans="15:15" x14ac:dyDescent="0.25">
      <c r="O280"/>
    </row>
    <row r="281" spans="15:15" x14ac:dyDescent="0.25">
      <c r="O281"/>
    </row>
    <row r="282" spans="15:15" x14ac:dyDescent="0.25">
      <c r="O282"/>
    </row>
    <row r="283" spans="15:15" x14ac:dyDescent="0.25">
      <c r="O283"/>
    </row>
    <row r="284" spans="15:15" x14ac:dyDescent="0.25">
      <c r="O284"/>
    </row>
    <row r="285" spans="15:15" x14ac:dyDescent="0.25">
      <c r="O285"/>
    </row>
    <row r="286" spans="15:15" x14ac:dyDescent="0.25">
      <c r="O286"/>
    </row>
    <row r="287" spans="15:15" x14ac:dyDescent="0.25">
      <c r="O287"/>
    </row>
    <row r="288" spans="15:15" x14ac:dyDescent="0.25">
      <c r="O288"/>
    </row>
    <row r="289" spans="15:15" x14ac:dyDescent="0.25">
      <c r="O289"/>
    </row>
    <row r="290" spans="15:15" x14ac:dyDescent="0.25">
      <c r="O290"/>
    </row>
    <row r="291" spans="15:15" x14ac:dyDescent="0.25">
      <c r="O291"/>
    </row>
    <row r="292" spans="15:15" x14ac:dyDescent="0.25">
      <c r="O292"/>
    </row>
    <row r="293" spans="15:15" x14ac:dyDescent="0.25">
      <c r="O293"/>
    </row>
    <row r="294" spans="15:15" x14ac:dyDescent="0.25">
      <c r="O294"/>
    </row>
    <row r="295" spans="15:15" x14ac:dyDescent="0.25">
      <c r="O295"/>
    </row>
    <row r="296" spans="15:15" x14ac:dyDescent="0.25">
      <c r="O296"/>
    </row>
    <row r="297" spans="15:15" x14ac:dyDescent="0.25">
      <c r="O297"/>
    </row>
    <row r="298" spans="15:15" x14ac:dyDescent="0.25">
      <c r="O298"/>
    </row>
    <row r="299" spans="15:15" x14ac:dyDescent="0.25">
      <c r="O299"/>
    </row>
    <row r="300" spans="15:15" x14ac:dyDescent="0.25">
      <c r="O300"/>
    </row>
    <row r="301" spans="15:15" x14ac:dyDescent="0.25">
      <c r="O301"/>
    </row>
    <row r="302" spans="15:15" x14ac:dyDescent="0.25">
      <c r="O302"/>
    </row>
    <row r="303" spans="15:15" x14ac:dyDescent="0.25">
      <c r="O303"/>
    </row>
    <row r="304" spans="15:15" x14ac:dyDescent="0.25">
      <c r="O304"/>
    </row>
    <row r="305" spans="15:15" x14ac:dyDescent="0.25">
      <c r="O305"/>
    </row>
    <row r="306" spans="15:15" x14ac:dyDescent="0.25">
      <c r="O306"/>
    </row>
    <row r="307" spans="15:15" x14ac:dyDescent="0.25">
      <c r="O307"/>
    </row>
    <row r="308" spans="15:15" x14ac:dyDescent="0.25">
      <c r="O308"/>
    </row>
    <row r="309" spans="15:15" x14ac:dyDescent="0.25">
      <c r="O309"/>
    </row>
    <row r="310" spans="15:15" x14ac:dyDescent="0.25">
      <c r="O310"/>
    </row>
    <row r="311" spans="15:15" x14ac:dyDescent="0.25">
      <c r="O311"/>
    </row>
    <row r="312" spans="15:15" x14ac:dyDescent="0.25">
      <c r="O312"/>
    </row>
    <row r="313" spans="15:15" x14ac:dyDescent="0.25">
      <c r="O313"/>
    </row>
    <row r="314" spans="15:15" x14ac:dyDescent="0.25">
      <c r="O314"/>
    </row>
    <row r="315" spans="15:15" x14ac:dyDescent="0.25">
      <c r="O315"/>
    </row>
    <row r="316" spans="15:15" x14ac:dyDescent="0.25">
      <c r="O316"/>
    </row>
    <row r="317" spans="15:15" x14ac:dyDescent="0.25">
      <c r="O317"/>
    </row>
    <row r="318" spans="15:15" x14ac:dyDescent="0.25">
      <c r="O318"/>
    </row>
    <row r="319" spans="15:15" x14ac:dyDescent="0.25">
      <c r="O319"/>
    </row>
    <row r="320" spans="15:15" x14ac:dyDescent="0.25">
      <c r="O320"/>
    </row>
    <row r="321" spans="15:15" x14ac:dyDescent="0.25">
      <c r="O321"/>
    </row>
    <row r="322" spans="15:15" x14ac:dyDescent="0.25">
      <c r="O322"/>
    </row>
    <row r="323" spans="15:15" x14ac:dyDescent="0.25">
      <c r="O323"/>
    </row>
    <row r="324" spans="15:15" x14ac:dyDescent="0.25">
      <c r="O324"/>
    </row>
    <row r="325" spans="15:15" x14ac:dyDescent="0.25">
      <c r="O325"/>
    </row>
    <row r="326" spans="15:15" x14ac:dyDescent="0.25">
      <c r="O326"/>
    </row>
    <row r="327" spans="15:15" x14ac:dyDescent="0.25">
      <c r="O327"/>
    </row>
    <row r="328" spans="15:15" x14ac:dyDescent="0.25">
      <c r="O328"/>
    </row>
    <row r="329" spans="15:15" x14ac:dyDescent="0.25">
      <c r="O329"/>
    </row>
    <row r="330" spans="15:15" x14ac:dyDescent="0.25">
      <c r="O330"/>
    </row>
    <row r="331" spans="15:15" x14ac:dyDescent="0.25">
      <c r="O331"/>
    </row>
    <row r="332" spans="15:15" x14ac:dyDescent="0.25">
      <c r="O332"/>
    </row>
    <row r="333" spans="15:15" x14ac:dyDescent="0.25">
      <c r="O333"/>
    </row>
    <row r="334" spans="15:15" x14ac:dyDescent="0.25">
      <c r="O334"/>
    </row>
    <row r="335" spans="15:15" x14ac:dyDescent="0.25">
      <c r="O335"/>
    </row>
    <row r="336" spans="15:15" x14ac:dyDescent="0.25">
      <c r="O336"/>
    </row>
    <row r="337" spans="15:15" x14ac:dyDescent="0.25">
      <c r="O337"/>
    </row>
    <row r="338" spans="15:15" x14ac:dyDescent="0.25">
      <c r="O338"/>
    </row>
    <row r="339" spans="15:15" x14ac:dyDescent="0.25">
      <c r="O339"/>
    </row>
    <row r="340" spans="15:15" x14ac:dyDescent="0.25">
      <c r="O340"/>
    </row>
    <row r="341" spans="15:15" x14ac:dyDescent="0.25">
      <c r="O341"/>
    </row>
    <row r="342" spans="15:15" x14ac:dyDescent="0.25">
      <c r="O342"/>
    </row>
    <row r="343" spans="15:15" x14ac:dyDescent="0.25">
      <c r="O343"/>
    </row>
    <row r="344" spans="15:15" x14ac:dyDescent="0.25">
      <c r="O344"/>
    </row>
    <row r="345" spans="15:15" x14ac:dyDescent="0.25">
      <c r="O345"/>
    </row>
    <row r="346" spans="15:15" x14ac:dyDescent="0.25">
      <c r="O346"/>
    </row>
    <row r="347" spans="15:15" x14ac:dyDescent="0.25">
      <c r="O347"/>
    </row>
    <row r="348" spans="15:15" x14ac:dyDescent="0.25">
      <c r="O348"/>
    </row>
    <row r="349" spans="15:15" x14ac:dyDescent="0.25">
      <c r="O349"/>
    </row>
    <row r="350" spans="15:15" x14ac:dyDescent="0.25">
      <c r="O350"/>
    </row>
    <row r="351" spans="15:15" x14ac:dyDescent="0.25">
      <c r="O351"/>
    </row>
    <row r="352" spans="15:15" x14ac:dyDescent="0.25">
      <c r="O352"/>
    </row>
    <row r="353" spans="15:15" x14ac:dyDescent="0.25">
      <c r="O353"/>
    </row>
    <row r="354" spans="15:15" x14ac:dyDescent="0.25">
      <c r="O354"/>
    </row>
    <row r="355" spans="15:15" x14ac:dyDescent="0.25">
      <c r="O355"/>
    </row>
    <row r="356" spans="15:15" x14ac:dyDescent="0.25">
      <c r="O356"/>
    </row>
    <row r="357" spans="15:15" x14ac:dyDescent="0.25">
      <c r="O357"/>
    </row>
    <row r="358" spans="15:15" x14ac:dyDescent="0.25">
      <c r="O358"/>
    </row>
    <row r="359" spans="15:15" x14ac:dyDescent="0.25">
      <c r="O359"/>
    </row>
    <row r="360" spans="15:15" x14ac:dyDescent="0.25">
      <c r="O360"/>
    </row>
    <row r="361" spans="15:15" x14ac:dyDescent="0.25">
      <c r="O361"/>
    </row>
    <row r="362" spans="15:15" x14ac:dyDescent="0.25">
      <c r="O362"/>
    </row>
    <row r="363" spans="15:15" x14ac:dyDescent="0.25">
      <c r="O363"/>
    </row>
    <row r="364" spans="15:15" x14ac:dyDescent="0.25">
      <c r="O364"/>
    </row>
    <row r="365" spans="15:15" x14ac:dyDescent="0.25">
      <c r="O365"/>
    </row>
    <row r="366" spans="15:15" x14ac:dyDescent="0.25">
      <c r="O366"/>
    </row>
    <row r="367" spans="15:15" x14ac:dyDescent="0.25">
      <c r="O367"/>
    </row>
    <row r="368" spans="15:15" x14ac:dyDescent="0.25">
      <c r="O368"/>
    </row>
    <row r="369" spans="15:15" x14ac:dyDescent="0.25">
      <c r="O369"/>
    </row>
    <row r="370" spans="15:15" x14ac:dyDescent="0.25">
      <c r="O370"/>
    </row>
    <row r="371" spans="15:15" x14ac:dyDescent="0.25">
      <c r="O371"/>
    </row>
    <row r="372" spans="15:15" x14ac:dyDescent="0.25">
      <c r="O372"/>
    </row>
    <row r="373" spans="15:15" x14ac:dyDescent="0.25">
      <c r="O373"/>
    </row>
    <row r="374" spans="15:15" x14ac:dyDescent="0.25">
      <c r="O374"/>
    </row>
    <row r="375" spans="15:15" x14ac:dyDescent="0.25">
      <c r="O375"/>
    </row>
    <row r="376" spans="15:15" x14ac:dyDescent="0.25">
      <c r="O376"/>
    </row>
    <row r="377" spans="15:15" x14ac:dyDescent="0.25">
      <c r="O377"/>
    </row>
    <row r="378" spans="15:15" x14ac:dyDescent="0.25">
      <c r="O378"/>
    </row>
    <row r="379" spans="15:15" x14ac:dyDescent="0.25">
      <c r="O379"/>
    </row>
    <row r="380" spans="15:15" x14ac:dyDescent="0.25">
      <c r="O380"/>
    </row>
    <row r="381" spans="15:15" x14ac:dyDescent="0.25">
      <c r="O381"/>
    </row>
    <row r="382" spans="15:15" x14ac:dyDescent="0.25">
      <c r="O382"/>
    </row>
    <row r="383" spans="15:15" x14ac:dyDescent="0.25">
      <c r="O383"/>
    </row>
    <row r="384" spans="15:15" x14ac:dyDescent="0.25">
      <c r="O384"/>
    </row>
    <row r="385" spans="15:15" x14ac:dyDescent="0.25">
      <c r="O385"/>
    </row>
    <row r="386" spans="15:15" x14ac:dyDescent="0.25">
      <c r="O386"/>
    </row>
    <row r="387" spans="15:15" x14ac:dyDescent="0.25">
      <c r="O387"/>
    </row>
    <row r="388" spans="15:15" x14ac:dyDescent="0.25">
      <c r="O388"/>
    </row>
    <row r="389" spans="15:15" x14ac:dyDescent="0.25">
      <c r="O389"/>
    </row>
    <row r="390" spans="15:15" x14ac:dyDescent="0.25">
      <c r="O390"/>
    </row>
    <row r="391" spans="15:15" x14ac:dyDescent="0.25">
      <c r="O391"/>
    </row>
    <row r="392" spans="15:15" x14ac:dyDescent="0.25">
      <c r="O392"/>
    </row>
    <row r="393" spans="15:15" x14ac:dyDescent="0.25">
      <c r="O393"/>
    </row>
    <row r="394" spans="15:15" x14ac:dyDescent="0.25">
      <c r="O394"/>
    </row>
    <row r="395" spans="15:15" x14ac:dyDescent="0.25">
      <c r="O395"/>
    </row>
    <row r="396" spans="15:15" x14ac:dyDescent="0.25">
      <c r="O396"/>
    </row>
    <row r="397" spans="15:15" x14ac:dyDescent="0.25">
      <c r="O397"/>
    </row>
    <row r="398" spans="15:15" x14ac:dyDescent="0.25">
      <c r="O398"/>
    </row>
    <row r="399" spans="15:15" x14ac:dyDescent="0.25">
      <c r="O399"/>
    </row>
    <row r="400" spans="15:15" x14ac:dyDescent="0.25">
      <c r="O400"/>
    </row>
    <row r="401" spans="15:15" x14ac:dyDescent="0.25">
      <c r="O401"/>
    </row>
    <row r="402" spans="15:15" x14ac:dyDescent="0.25">
      <c r="O402"/>
    </row>
    <row r="403" spans="15:15" x14ac:dyDescent="0.25">
      <c r="O403"/>
    </row>
    <row r="404" spans="15:15" x14ac:dyDescent="0.25">
      <c r="O404"/>
    </row>
    <row r="405" spans="15:15" x14ac:dyDescent="0.25">
      <c r="O405"/>
    </row>
    <row r="406" spans="15:15" x14ac:dyDescent="0.25">
      <c r="O406"/>
    </row>
    <row r="407" spans="15:15" x14ac:dyDescent="0.25">
      <c r="O407"/>
    </row>
    <row r="408" spans="15:15" x14ac:dyDescent="0.25">
      <c r="O408"/>
    </row>
    <row r="409" spans="15:15" x14ac:dyDescent="0.25">
      <c r="O409"/>
    </row>
    <row r="410" spans="15:15" x14ac:dyDescent="0.25">
      <c r="O410"/>
    </row>
    <row r="411" spans="15:15" x14ac:dyDescent="0.25">
      <c r="O411"/>
    </row>
    <row r="412" spans="15:15" x14ac:dyDescent="0.25">
      <c r="O412"/>
    </row>
    <row r="413" spans="15:15" x14ac:dyDescent="0.25">
      <c r="O413"/>
    </row>
    <row r="414" spans="15:15" x14ac:dyDescent="0.25">
      <c r="O414"/>
    </row>
    <row r="415" spans="15:15" x14ac:dyDescent="0.25">
      <c r="O415"/>
    </row>
    <row r="416" spans="15:15" x14ac:dyDescent="0.25">
      <c r="O416"/>
    </row>
    <row r="417" spans="15:15" x14ac:dyDescent="0.25">
      <c r="O417"/>
    </row>
    <row r="418" spans="15:15" x14ac:dyDescent="0.25">
      <c r="O418"/>
    </row>
    <row r="419" spans="15:15" x14ac:dyDescent="0.25">
      <c r="O419"/>
    </row>
    <row r="420" spans="15:15" x14ac:dyDescent="0.25">
      <c r="O420"/>
    </row>
    <row r="421" spans="15:15" x14ac:dyDescent="0.25">
      <c r="O421"/>
    </row>
    <row r="422" spans="15:15" x14ac:dyDescent="0.25">
      <c r="O422"/>
    </row>
    <row r="423" spans="15:15" x14ac:dyDescent="0.25">
      <c r="O423"/>
    </row>
    <row r="424" spans="15:15" x14ac:dyDescent="0.25">
      <c r="O424"/>
    </row>
    <row r="425" spans="15:15" x14ac:dyDescent="0.25">
      <c r="O425"/>
    </row>
    <row r="426" spans="15:15" x14ac:dyDescent="0.25">
      <c r="O426"/>
    </row>
    <row r="427" spans="15:15" x14ac:dyDescent="0.25">
      <c r="O427"/>
    </row>
    <row r="428" spans="15:15" x14ac:dyDescent="0.25">
      <c r="O428"/>
    </row>
    <row r="429" spans="15:15" x14ac:dyDescent="0.25">
      <c r="O429"/>
    </row>
    <row r="430" spans="15:15" x14ac:dyDescent="0.25">
      <c r="O430"/>
    </row>
    <row r="431" spans="15:15" x14ac:dyDescent="0.25">
      <c r="O431"/>
    </row>
    <row r="432" spans="15:15" x14ac:dyDescent="0.25">
      <c r="O432"/>
    </row>
    <row r="433" spans="15:15" x14ac:dyDescent="0.25">
      <c r="O433"/>
    </row>
    <row r="434" spans="15:15" x14ac:dyDescent="0.25">
      <c r="O434"/>
    </row>
    <row r="435" spans="15:15" x14ac:dyDescent="0.25">
      <c r="O435"/>
    </row>
    <row r="436" spans="15:15" x14ac:dyDescent="0.25">
      <c r="O436"/>
    </row>
    <row r="437" spans="15:15" x14ac:dyDescent="0.25">
      <c r="O437"/>
    </row>
    <row r="438" spans="15:15" x14ac:dyDescent="0.25">
      <c r="O438"/>
    </row>
    <row r="439" spans="15:15" x14ac:dyDescent="0.25">
      <c r="O439"/>
    </row>
    <row r="440" spans="15:15" x14ac:dyDescent="0.25">
      <c r="O440"/>
    </row>
    <row r="441" spans="15:15" x14ac:dyDescent="0.25">
      <c r="O441"/>
    </row>
    <row r="442" spans="15:15" x14ac:dyDescent="0.25">
      <c r="O442"/>
    </row>
    <row r="443" spans="15:15" x14ac:dyDescent="0.25">
      <c r="O443"/>
    </row>
    <row r="444" spans="15:15" x14ac:dyDescent="0.25">
      <c r="O444"/>
    </row>
    <row r="445" spans="15:15" x14ac:dyDescent="0.25">
      <c r="O445"/>
    </row>
    <row r="446" spans="15:15" x14ac:dyDescent="0.25">
      <c r="O446"/>
    </row>
    <row r="447" spans="15:15" x14ac:dyDescent="0.25">
      <c r="O447"/>
    </row>
    <row r="448" spans="15:15" x14ac:dyDescent="0.25">
      <c r="O448"/>
    </row>
    <row r="449" spans="15:15" x14ac:dyDescent="0.25">
      <c r="O449"/>
    </row>
    <row r="450" spans="15:15" x14ac:dyDescent="0.25">
      <c r="O450"/>
    </row>
    <row r="451" spans="15:15" x14ac:dyDescent="0.25">
      <c r="O451"/>
    </row>
    <row r="452" spans="15:15" x14ac:dyDescent="0.25">
      <c r="O452"/>
    </row>
    <row r="453" spans="15:15" x14ac:dyDescent="0.25">
      <c r="O453"/>
    </row>
    <row r="454" spans="15:15" x14ac:dyDescent="0.25">
      <c r="O454"/>
    </row>
    <row r="455" spans="15:15" x14ac:dyDescent="0.25">
      <c r="O455"/>
    </row>
    <row r="456" spans="15:15" x14ac:dyDescent="0.25">
      <c r="O456"/>
    </row>
    <row r="457" spans="15:15" x14ac:dyDescent="0.25">
      <c r="O457"/>
    </row>
    <row r="458" spans="15:15" x14ac:dyDescent="0.25">
      <c r="O458"/>
    </row>
    <row r="459" spans="15:15" x14ac:dyDescent="0.25">
      <c r="O459"/>
    </row>
    <row r="460" spans="15:15" x14ac:dyDescent="0.25">
      <c r="O460"/>
    </row>
    <row r="461" spans="15:15" x14ac:dyDescent="0.25">
      <c r="O461"/>
    </row>
    <row r="462" spans="15:15" x14ac:dyDescent="0.25">
      <c r="O462"/>
    </row>
    <row r="463" spans="15:15" x14ac:dyDescent="0.25">
      <c r="O463"/>
    </row>
    <row r="464" spans="15:15" x14ac:dyDescent="0.25">
      <c r="O464"/>
    </row>
    <row r="465" spans="15:15" x14ac:dyDescent="0.25">
      <c r="O465"/>
    </row>
    <row r="466" spans="15:15" x14ac:dyDescent="0.25">
      <c r="O466"/>
    </row>
    <row r="467" spans="15:15" x14ac:dyDescent="0.25">
      <c r="O467"/>
    </row>
    <row r="468" spans="15:15" x14ac:dyDescent="0.25">
      <c r="O468"/>
    </row>
    <row r="469" spans="15:15" x14ac:dyDescent="0.25">
      <c r="O469"/>
    </row>
    <row r="470" spans="15:15" x14ac:dyDescent="0.25">
      <c r="O470"/>
    </row>
    <row r="471" spans="15:15" x14ac:dyDescent="0.25">
      <c r="O471"/>
    </row>
    <row r="472" spans="15:15" x14ac:dyDescent="0.25">
      <c r="O472"/>
    </row>
    <row r="473" spans="15:15" x14ac:dyDescent="0.25">
      <c r="O473"/>
    </row>
    <row r="474" spans="15:15" x14ac:dyDescent="0.25">
      <c r="O474"/>
    </row>
    <row r="475" spans="15:15" x14ac:dyDescent="0.25">
      <c r="O475"/>
    </row>
    <row r="476" spans="15:15" x14ac:dyDescent="0.25">
      <c r="O476"/>
    </row>
    <row r="477" spans="15:15" x14ac:dyDescent="0.25">
      <c r="O477"/>
    </row>
    <row r="478" spans="15:15" x14ac:dyDescent="0.25">
      <c r="O478"/>
    </row>
    <row r="479" spans="15:15" x14ac:dyDescent="0.25">
      <c r="O479"/>
    </row>
    <row r="480" spans="15:15" x14ac:dyDescent="0.25">
      <c r="O480"/>
    </row>
    <row r="481" spans="15:15" x14ac:dyDescent="0.25">
      <c r="O481"/>
    </row>
    <row r="482" spans="15:15" x14ac:dyDescent="0.25">
      <c r="O482"/>
    </row>
    <row r="483" spans="15:15" x14ac:dyDescent="0.25">
      <c r="O483"/>
    </row>
    <row r="484" spans="15:15" x14ac:dyDescent="0.25">
      <c r="O484"/>
    </row>
    <row r="485" spans="15:15" x14ac:dyDescent="0.25">
      <c r="O485"/>
    </row>
    <row r="486" spans="15:15" x14ac:dyDescent="0.25">
      <c r="O486"/>
    </row>
    <row r="487" spans="15:15" x14ac:dyDescent="0.25">
      <c r="O487"/>
    </row>
    <row r="488" spans="15:15" x14ac:dyDescent="0.25">
      <c r="O488"/>
    </row>
    <row r="489" spans="15:15" x14ac:dyDescent="0.25">
      <c r="O489"/>
    </row>
    <row r="490" spans="15:15" x14ac:dyDescent="0.25">
      <c r="O490"/>
    </row>
    <row r="491" spans="15:15" x14ac:dyDescent="0.25">
      <c r="O491"/>
    </row>
    <row r="492" spans="15:15" x14ac:dyDescent="0.25">
      <c r="O492"/>
    </row>
    <row r="493" spans="15:15" x14ac:dyDescent="0.25">
      <c r="O493"/>
    </row>
    <row r="494" spans="15:15" x14ac:dyDescent="0.25">
      <c r="O494"/>
    </row>
    <row r="495" spans="15:15" x14ac:dyDescent="0.25">
      <c r="O495"/>
    </row>
    <row r="496" spans="15:15" x14ac:dyDescent="0.25">
      <c r="O496"/>
    </row>
    <row r="497" spans="15:15" x14ac:dyDescent="0.25">
      <c r="O497"/>
    </row>
    <row r="498" spans="15:15" x14ac:dyDescent="0.25">
      <c r="O498"/>
    </row>
    <row r="499" spans="15:15" x14ac:dyDescent="0.25">
      <c r="O499"/>
    </row>
    <row r="500" spans="15:15" x14ac:dyDescent="0.25">
      <c r="O500"/>
    </row>
    <row r="501" spans="15:15" x14ac:dyDescent="0.25">
      <c r="O501"/>
    </row>
    <row r="502" spans="15:15" x14ac:dyDescent="0.25">
      <c r="O502"/>
    </row>
    <row r="503" spans="15:15" x14ac:dyDescent="0.25">
      <c r="O503"/>
    </row>
    <row r="504" spans="15:15" x14ac:dyDescent="0.25">
      <c r="O504"/>
    </row>
    <row r="505" spans="15:15" x14ac:dyDescent="0.25">
      <c r="O505"/>
    </row>
    <row r="506" spans="15:15" x14ac:dyDescent="0.25">
      <c r="O506"/>
    </row>
    <row r="507" spans="15:15" x14ac:dyDescent="0.25">
      <c r="O507"/>
    </row>
    <row r="508" spans="15:15" x14ac:dyDescent="0.25">
      <c r="O508"/>
    </row>
    <row r="509" spans="15:15" x14ac:dyDescent="0.25">
      <c r="O509"/>
    </row>
    <row r="510" spans="15:15" x14ac:dyDescent="0.25">
      <c r="O510"/>
    </row>
    <row r="511" spans="15:15" x14ac:dyDescent="0.25">
      <c r="O511"/>
    </row>
    <row r="512" spans="15:15" x14ac:dyDescent="0.25">
      <c r="O512"/>
    </row>
    <row r="513" spans="15:15" x14ac:dyDescent="0.25">
      <c r="O513"/>
    </row>
    <row r="514" spans="15:15" x14ac:dyDescent="0.25">
      <c r="O514"/>
    </row>
    <row r="515" spans="15:15" x14ac:dyDescent="0.25">
      <c r="O515"/>
    </row>
    <row r="516" spans="15:15" x14ac:dyDescent="0.25">
      <c r="O516"/>
    </row>
    <row r="517" spans="15:15" x14ac:dyDescent="0.25">
      <c r="O517"/>
    </row>
    <row r="518" spans="15:15" x14ac:dyDescent="0.25">
      <c r="O518"/>
    </row>
    <row r="519" spans="15:15" x14ac:dyDescent="0.25">
      <c r="O519"/>
    </row>
    <row r="520" spans="15:15" x14ac:dyDescent="0.25">
      <c r="O520"/>
    </row>
    <row r="521" spans="15:15" x14ac:dyDescent="0.25">
      <c r="O521"/>
    </row>
    <row r="522" spans="15:15" x14ac:dyDescent="0.25">
      <c r="O522"/>
    </row>
    <row r="523" spans="15:15" x14ac:dyDescent="0.25">
      <c r="O523"/>
    </row>
    <row r="524" spans="15:15" x14ac:dyDescent="0.25">
      <c r="O524"/>
    </row>
    <row r="525" spans="15:15" x14ac:dyDescent="0.25">
      <c r="O525"/>
    </row>
    <row r="526" spans="15:15" x14ac:dyDescent="0.25">
      <c r="O526"/>
    </row>
    <row r="527" spans="15:15" x14ac:dyDescent="0.25">
      <c r="O527"/>
    </row>
    <row r="528" spans="15:15" x14ac:dyDescent="0.25">
      <c r="O528"/>
    </row>
    <row r="529" spans="15:15" x14ac:dyDescent="0.25">
      <c r="O529"/>
    </row>
    <row r="530" spans="15:15" x14ac:dyDescent="0.25">
      <c r="O530"/>
    </row>
    <row r="531" spans="15:15" x14ac:dyDescent="0.25">
      <c r="O531"/>
    </row>
    <row r="532" spans="15:15" x14ac:dyDescent="0.25">
      <c r="O532"/>
    </row>
    <row r="533" spans="15:15" x14ac:dyDescent="0.25">
      <c r="O533"/>
    </row>
    <row r="534" spans="15:15" x14ac:dyDescent="0.25">
      <c r="O534"/>
    </row>
    <row r="535" spans="15:15" x14ac:dyDescent="0.25">
      <c r="O535"/>
    </row>
    <row r="536" spans="15:15" x14ac:dyDescent="0.25">
      <c r="O536"/>
    </row>
    <row r="537" spans="15:15" x14ac:dyDescent="0.25">
      <c r="O537"/>
    </row>
    <row r="538" spans="15:15" x14ac:dyDescent="0.25">
      <c r="O538"/>
    </row>
    <row r="539" spans="15:15" x14ac:dyDescent="0.25">
      <c r="O539"/>
    </row>
    <row r="540" spans="15:15" x14ac:dyDescent="0.25">
      <c r="O540"/>
    </row>
    <row r="541" spans="15:15" x14ac:dyDescent="0.25">
      <c r="O541"/>
    </row>
    <row r="542" spans="15:15" x14ac:dyDescent="0.25">
      <c r="O542"/>
    </row>
    <row r="543" spans="15:15" x14ac:dyDescent="0.25">
      <c r="O543"/>
    </row>
    <row r="544" spans="15:15" x14ac:dyDescent="0.25">
      <c r="O544"/>
    </row>
    <row r="545" spans="15:15" x14ac:dyDescent="0.25">
      <c r="O545"/>
    </row>
    <row r="546" spans="15:15" x14ac:dyDescent="0.25">
      <c r="O546"/>
    </row>
    <row r="547" spans="15:15" x14ac:dyDescent="0.25">
      <c r="O547"/>
    </row>
    <row r="548" spans="15:15" x14ac:dyDescent="0.25">
      <c r="O548"/>
    </row>
    <row r="549" spans="15:15" x14ac:dyDescent="0.25">
      <c r="O549"/>
    </row>
    <row r="550" spans="15:15" x14ac:dyDescent="0.25">
      <c r="O550"/>
    </row>
    <row r="551" spans="15:15" x14ac:dyDescent="0.25">
      <c r="O551"/>
    </row>
    <row r="552" spans="15:15" x14ac:dyDescent="0.25">
      <c r="O552"/>
    </row>
    <row r="553" spans="15:15" x14ac:dyDescent="0.25">
      <c r="O553"/>
    </row>
    <row r="554" spans="15:15" x14ac:dyDescent="0.25">
      <c r="O554"/>
    </row>
    <row r="555" spans="15:15" x14ac:dyDescent="0.25">
      <c r="O555"/>
    </row>
    <row r="556" spans="15:15" x14ac:dyDescent="0.25">
      <c r="O556"/>
    </row>
    <row r="557" spans="15:15" x14ac:dyDescent="0.25">
      <c r="O557"/>
    </row>
    <row r="558" spans="15:15" x14ac:dyDescent="0.25">
      <c r="O558"/>
    </row>
    <row r="559" spans="15:15" x14ac:dyDescent="0.25">
      <c r="O559"/>
    </row>
    <row r="560" spans="15:15" x14ac:dyDescent="0.25">
      <c r="O560"/>
    </row>
    <row r="561" spans="15:15" x14ac:dyDescent="0.25">
      <c r="O561"/>
    </row>
    <row r="562" spans="15:15" x14ac:dyDescent="0.25">
      <c r="O562"/>
    </row>
    <row r="563" spans="15:15" x14ac:dyDescent="0.25">
      <c r="O563"/>
    </row>
    <row r="564" spans="15:15" x14ac:dyDescent="0.25">
      <c r="O564"/>
    </row>
    <row r="565" spans="15:15" x14ac:dyDescent="0.25">
      <c r="O565"/>
    </row>
    <row r="566" spans="15:15" x14ac:dyDescent="0.25">
      <c r="O566"/>
    </row>
    <row r="567" spans="15:15" x14ac:dyDescent="0.25">
      <c r="O567"/>
    </row>
    <row r="568" spans="15:15" x14ac:dyDescent="0.25">
      <c r="O568"/>
    </row>
    <row r="569" spans="15:15" x14ac:dyDescent="0.25">
      <c r="O569"/>
    </row>
    <row r="570" spans="15:15" x14ac:dyDescent="0.25">
      <c r="O570"/>
    </row>
    <row r="571" spans="15:15" x14ac:dyDescent="0.25">
      <c r="O571"/>
    </row>
    <row r="572" spans="15:15" x14ac:dyDescent="0.25">
      <c r="O572"/>
    </row>
    <row r="573" spans="15:15" x14ac:dyDescent="0.25">
      <c r="O573"/>
    </row>
    <row r="574" spans="15:15" x14ac:dyDescent="0.25">
      <c r="O574"/>
    </row>
    <row r="575" spans="15:15" x14ac:dyDescent="0.25">
      <c r="O575"/>
    </row>
    <row r="576" spans="15:15" x14ac:dyDescent="0.25">
      <c r="O576"/>
    </row>
    <row r="577" spans="15:15" x14ac:dyDescent="0.25">
      <c r="O577"/>
    </row>
    <row r="578" spans="15:15" x14ac:dyDescent="0.25">
      <c r="O578"/>
    </row>
    <row r="579" spans="15:15" x14ac:dyDescent="0.25">
      <c r="O579"/>
    </row>
    <row r="580" spans="15:15" x14ac:dyDescent="0.25">
      <c r="O580"/>
    </row>
    <row r="581" spans="15:15" x14ac:dyDescent="0.25">
      <c r="O581"/>
    </row>
    <row r="582" spans="15:15" x14ac:dyDescent="0.25">
      <c r="O582"/>
    </row>
    <row r="583" spans="15:15" x14ac:dyDescent="0.25">
      <c r="O583"/>
    </row>
    <row r="584" spans="15:15" x14ac:dyDescent="0.25">
      <c r="O584"/>
    </row>
  </sheetData>
  <conditionalFormatting sqref="A117:A131 A1:A21 A59 A133:A1048576 A24:A56 A66:A111">
    <cfRule type="duplicateValues" dxfId="11" priority="7"/>
  </conditionalFormatting>
  <conditionalFormatting sqref="B30:B31">
    <cfRule type="duplicateValues" dxfId="10" priority="3"/>
  </conditionalFormatting>
  <conditionalFormatting sqref="B116">
    <cfRule type="duplicateValues" dxfId="9" priority="10"/>
  </conditionalFormatting>
  <conditionalFormatting sqref="B142">
    <cfRule type="duplicateValues" dxfId="8" priority="1"/>
  </conditionalFormatting>
  <conditionalFormatting sqref="C142">
    <cfRule type="duplicateValues" dxfId="7" priority="2"/>
  </conditionalFormatting>
  <conditionalFormatting sqref="D95">
    <cfRule type="duplicateValues" dxfId="6" priority="9"/>
  </conditionalFormatting>
  <conditionalFormatting sqref="D117:D138 D101:D113 D49:D50 D37:D38 D40:D41 D52:D53 D43:D47 D62 D64 D55:D60 D32:D35 D24:D29 D66:D99 D1:D21 D142:D1048576">
    <cfRule type="duplicateValues" dxfId="5" priority="8"/>
  </conditionalFormatting>
  <conditionalFormatting sqref="F74:F93">
    <cfRule type="duplicateValues" dxfId="4" priority="6"/>
  </conditionalFormatting>
  <conditionalFormatting sqref="M38:M39 M1:M35 M41:M1048576">
    <cfRule type="duplicateValues" dxfId="3" priority="4"/>
  </conditionalFormatting>
  <conditionalFormatting sqref="M38:M39 M41:M53">
    <cfRule type="duplicateValues" dxfId="2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14FD-1E79-4A18-BC30-1E53AB37FF78}">
  <dimension ref="A1:R406"/>
  <sheetViews>
    <sheetView topLeftCell="C245" workbookViewId="0">
      <selection activeCell="H777" sqref="H777:H839"/>
    </sheetView>
  </sheetViews>
  <sheetFormatPr defaultColWidth="9.140625" defaultRowHeight="15" x14ac:dyDescent="0.25"/>
  <cols>
    <col min="1" max="1" width="20.28515625" style="32" bestFit="1" customWidth="1"/>
    <col min="2" max="2" width="33.28515625" style="32" customWidth="1"/>
    <col min="3" max="3" width="5.7109375" style="32" customWidth="1"/>
    <col min="4" max="11" width="15.42578125" style="88" bestFit="1" customWidth="1"/>
    <col min="12" max="12" width="14.42578125" style="88" bestFit="1" customWidth="1"/>
    <col min="13" max="13" width="13.28515625" style="88" bestFit="1" customWidth="1"/>
    <col min="14" max="14" width="10" style="88" bestFit="1" customWidth="1"/>
    <col min="15" max="15" width="9.85546875" style="88" bestFit="1" customWidth="1"/>
    <col min="16" max="16" width="9.140625" style="88"/>
    <col min="17" max="17" width="9.140625" style="32"/>
    <col min="18" max="18" width="14.28515625" style="32" bestFit="1" customWidth="1"/>
    <col min="19" max="16384" width="9.140625" style="32"/>
  </cols>
  <sheetData>
    <row r="1" spans="1:18" x14ac:dyDescent="0.25">
      <c r="D1" s="159" t="s">
        <v>538</v>
      </c>
      <c r="E1" s="159" t="s">
        <v>539</v>
      </c>
      <c r="F1" s="159" t="s">
        <v>540</v>
      </c>
      <c r="G1" s="159" t="s">
        <v>82</v>
      </c>
      <c r="H1" s="159" t="s">
        <v>83</v>
      </c>
      <c r="I1" s="159" t="s">
        <v>68</v>
      </c>
      <c r="J1" s="159" t="s">
        <v>69</v>
      </c>
      <c r="K1" s="159" t="s">
        <v>541</v>
      </c>
      <c r="L1" s="159" t="s">
        <v>542</v>
      </c>
      <c r="M1" s="159" t="s">
        <v>543</v>
      </c>
      <c r="N1" s="159" t="s">
        <v>544</v>
      </c>
      <c r="O1" s="159" t="s">
        <v>545</v>
      </c>
      <c r="Q1" s="32" t="s">
        <v>1386</v>
      </c>
      <c r="R1" s="32" t="s">
        <v>1387</v>
      </c>
    </row>
    <row r="2" spans="1:18" x14ac:dyDescent="0.25">
      <c r="A2" s="159" t="s">
        <v>350</v>
      </c>
      <c r="B2" s="159" t="s">
        <v>138</v>
      </c>
      <c r="C2" s="159" t="s">
        <v>351</v>
      </c>
      <c r="D2" s="32">
        <v>22307780</v>
      </c>
      <c r="E2" s="32">
        <v>18984379</v>
      </c>
      <c r="F2" s="32">
        <v>22519084</v>
      </c>
      <c r="G2" s="32">
        <v>13540093</v>
      </c>
      <c r="H2" s="32">
        <v>14004839</v>
      </c>
      <c r="I2" s="32">
        <v>19020785</v>
      </c>
      <c r="J2" s="32">
        <v>23517589</v>
      </c>
      <c r="K2" s="32">
        <v>14437862</v>
      </c>
      <c r="L2" s="32">
        <v>11387239</v>
      </c>
      <c r="M2" s="32">
        <v>24679170</v>
      </c>
      <c r="N2" s="32">
        <v>4014034</v>
      </c>
      <c r="O2" s="32"/>
      <c r="Q2" s="32" t="str">
        <f>IF(A2="AmeriQual Foods",_xlfn.XLOOKUP(B2,Lookup!A:A,Lookup!B:B),_xlfn.XLOOKUP(B2,Lookup!M:M,Lookup!N:N))</f>
        <v>All</v>
      </c>
      <c r="R2" s="124">
        <f>+K2-K153</f>
        <v>14437862</v>
      </c>
    </row>
    <row r="3" spans="1:18" x14ac:dyDescent="0.25">
      <c r="A3" s="159" t="s">
        <v>350</v>
      </c>
      <c r="B3" s="159" t="s">
        <v>145</v>
      </c>
      <c r="C3" s="159" t="s">
        <v>351</v>
      </c>
      <c r="D3" s="32">
        <v>792739</v>
      </c>
      <c r="E3" s="32">
        <v>187176</v>
      </c>
      <c r="F3" s="32"/>
      <c r="G3" s="32">
        <v>99504</v>
      </c>
      <c r="H3" s="32">
        <v>525672</v>
      </c>
      <c r="I3" s="32"/>
      <c r="J3" s="32"/>
      <c r="K3" s="32">
        <v>521814</v>
      </c>
      <c r="L3" s="32">
        <v>165690</v>
      </c>
      <c r="M3" s="32"/>
      <c r="N3" s="32"/>
      <c r="O3" s="32"/>
      <c r="Q3" s="32" t="str">
        <f>IF(A3="AmeriQual Foods",_xlfn.XLOOKUP(B3,Lookup!A:A,Lookup!B:B),_xlfn.XLOOKUP(B3,Lookup!M:M,Lookup!N:N))</f>
        <v>aPack</v>
      </c>
    </row>
    <row r="4" spans="1:18" x14ac:dyDescent="0.25">
      <c r="A4" s="159" t="s">
        <v>350</v>
      </c>
      <c r="B4" s="159" t="s">
        <v>352</v>
      </c>
      <c r="C4" s="159" t="s">
        <v>351</v>
      </c>
      <c r="D4" s="32">
        <v>177520</v>
      </c>
      <c r="E4" s="32"/>
      <c r="F4" s="32"/>
      <c r="G4" s="32"/>
      <c r="H4" s="32">
        <v>140826</v>
      </c>
      <c r="I4" s="32"/>
      <c r="J4" s="32"/>
      <c r="K4" s="32">
        <v>167136</v>
      </c>
      <c r="L4" s="32"/>
      <c r="M4" s="32"/>
      <c r="N4" s="32"/>
      <c r="O4" s="32"/>
      <c r="Q4" s="32" t="e">
        <f>IF(A4="AmeriQual Foods",_xlfn.XLOOKUP(B4,Lookup!A:A,Lookup!B:B),_xlfn.XLOOKUP(B4,Lookup!M:M,Lookup!N:N))</f>
        <v>#N/A</v>
      </c>
    </row>
    <row r="5" spans="1:18" x14ac:dyDescent="0.25">
      <c r="A5" s="159" t="s">
        <v>350</v>
      </c>
      <c r="B5" s="159" t="s">
        <v>353</v>
      </c>
      <c r="C5" s="159" t="s">
        <v>351</v>
      </c>
      <c r="D5" s="32">
        <v>180138</v>
      </c>
      <c r="E5" s="32"/>
      <c r="F5" s="32"/>
      <c r="G5" s="32"/>
      <c r="H5" s="32">
        <v>111636</v>
      </c>
      <c r="I5" s="32"/>
      <c r="J5" s="32"/>
      <c r="K5" s="32">
        <v>106752</v>
      </c>
      <c r="L5" s="32"/>
      <c r="M5" s="32"/>
      <c r="N5" s="32"/>
      <c r="O5" s="32"/>
      <c r="Q5" s="32" t="e">
        <f>IF(A5="AmeriQual Foods",_xlfn.XLOOKUP(B5,Lookup!A:A,Lookup!B:B),_xlfn.XLOOKUP(B5,Lookup!M:M,Lookup!N:N))</f>
        <v>#N/A</v>
      </c>
    </row>
    <row r="6" spans="1:18" x14ac:dyDescent="0.25">
      <c r="A6" s="159" t="s">
        <v>350</v>
      </c>
      <c r="B6" s="159" t="s">
        <v>354</v>
      </c>
      <c r="C6" s="159" t="s">
        <v>351</v>
      </c>
      <c r="D6" s="32">
        <v>142257</v>
      </c>
      <c r="E6" s="32">
        <v>44424</v>
      </c>
      <c r="F6" s="32"/>
      <c r="G6" s="32"/>
      <c r="H6" s="32">
        <v>123144</v>
      </c>
      <c r="I6" s="32"/>
      <c r="J6" s="32"/>
      <c r="K6" s="32">
        <v>109452</v>
      </c>
      <c r="L6" s="32"/>
      <c r="M6" s="32"/>
      <c r="N6" s="32"/>
      <c r="O6" s="32"/>
      <c r="Q6" s="32" t="e">
        <f>IF(A6="AmeriQual Foods",_xlfn.XLOOKUP(B6,Lookup!A:A,Lookup!B:B),_xlfn.XLOOKUP(B6,Lookup!M:M,Lookup!N:N))</f>
        <v>#N/A</v>
      </c>
    </row>
    <row r="7" spans="1:18" x14ac:dyDescent="0.25">
      <c r="A7" s="159" t="s">
        <v>350</v>
      </c>
      <c r="B7" s="159" t="s">
        <v>355</v>
      </c>
      <c r="C7" s="159" t="s">
        <v>351</v>
      </c>
      <c r="D7" s="32">
        <v>149898</v>
      </c>
      <c r="E7" s="32">
        <v>36192</v>
      </c>
      <c r="F7" s="32"/>
      <c r="G7" s="32"/>
      <c r="H7" s="32">
        <v>150066</v>
      </c>
      <c r="I7" s="32"/>
      <c r="J7" s="32"/>
      <c r="K7" s="32">
        <v>66864</v>
      </c>
      <c r="L7" s="32"/>
      <c r="M7" s="32"/>
      <c r="N7" s="32"/>
      <c r="O7" s="32"/>
      <c r="Q7" s="32" t="e">
        <f>IF(A7="AmeriQual Foods",_xlfn.XLOOKUP(B7,Lookup!A:A,Lookup!B:B),_xlfn.XLOOKUP(B7,Lookup!M:M,Lookup!N:N))</f>
        <v>#N/A</v>
      </c>
    </row>
    <row r="8" spans="1:18" x14ac:dyDescent="0.25">
      <c r="A8" s="159" t="s">
        <v>350</v>
      </c>
      <c r="B8" s="159" t="s">
        <v>356</v>
      </c>
      <c r="C8" s="159" t="s">
        <v>351</v>
      </c>
      <c r="D8" s="32">
        <v>142926</v>
      </c>
      <c r="E8" s="32">
        <v>106560</v>
      </c>
      <c r="F8" s="32"/>
      <c r="G8" s="32">
        <v>99504</v>
      </c>
      <c r="H8" s="32"/>
      <c r="I8" s="32"/>
      <c r="J8" s="32"/>
      <c r="K8" s="32">
        <v>71610</v>
      </c>
      <c r="L8" s="32">
        <v>165690</v>
      </c>
      <c r="M8" s="32"/>
      <c r="N8" s="32"/>
      <c r="O8" s="32"/>
      <c r="Q8" s="32" t="e">
        <f>IF(A8="AmeriQual Foods",_xlfn.XLOOKUP(B8,Lookup!A:A,Lookup!B:B),_xlfn.XLOOKUP(B8,Lookup!M:M,Lookup!N:N))</f>
        <v>#N/A</v>
      </c>
    </row>
    <row r="9" spans="1:18" x14ac:dyDescent="0.25">
      <c r="A9" s="159" t="s">
        <v>350</v>
      </c>
      <c r="B9" s="159" t="s">
        <v>330</v>
      </c>
      <c r="C9" s="159" t="s">
        <v>351</v>
      </c>
      <c r="D9" s="32">
        <v>661740</v>
      </c>
      <c r="E9" s="32">
        <v>74640</v>
      </c>
      <c r="F9" s="32"/>
      <c r="G9" s="32">
        <v>449856</v>
      </c>
      <c r="H9" s="32">
        <v>60312</v>
      </c>
      <c r="I9" s="32">
        <v>598104</v>
      </c>
      <c r="J9" s="32"/>
      <c r="K9" s="32">
        <v>61056</v>
      </c>
      <c r="L9" s="32">
        <v>676104</v>
      </c>
      <c r="M9" s="32">
        <v>74436</v>
      </c>
      <c r="N9" s="32"/>
      <c r="O9" s="32"/>
      <c r="Q9" s="32" t="str">
        <f>IF(A9="AmeriQual Foods",_xlfn.XLOOKUP(B9,Lookup!A:A,Lookup!B:B),_xlfn.XLOOKUP(B9,Lookup!M:M,Lookup!N:N))</f>
        <v>Beechnut</v>
      </c>
    </row>
    <row r="10" spans="1:18" x14ac:dyDescent="0.25">
      <c r="A10" s="159" t="s">
        <v>350</v>
      </c>
      <c r="B10" s="159" t="s">
        <v>552</v>
      </c>
      <c r="C10" s="159" t="s">
        <v>351</v>
      </c>
      <c r="D10" s="32">
        <v>376728</v>
      </c>
      <c r="E10" s="32"/>
      <c r="F10" s="32"/>
      <c r="G10" s="32">
        <v>229788</v>
      </c>
      <c r="H10" s="32">
        <v>60312</v>
      </c>
      <c r="I10" s="32">
        <v>282504</v>
      </c>
      <c r="J10" s="32"/>
      <c r="K10" s="32">
        <v>61056</v>
      </c>
      <c r="L10" s="32">
        <v>306660</v>
      </c>
      <c r="M10" s="32">
        <v>74436</v>
      </c>
      <c r="N10" s="32"/>
      <c r="O10" s="32"/>
      <c r="Q10" s="32" t="e">
        <f>IF(A10="AmeriQual Foods",_xlfn.XLOOKUP(B10,Lookup!A:A,Lookup!B:B),_xlfn.XLOOKUP(B10,Lookup!M:M,Lookup!N:N))</f>
        <v>#N/A</v>
      </c>
    </row>
    <row r="11" spans="1:18" x14ac:dyDescent="0.25">
      <c r="A11" s="159" t="s">
        <v>350</v>
      </c>
      <c r="B11" s="159" t="s">
        <v>553</v>
      </c>
      <c r="C11" s="159" t="s">
        <v>351</v>
      </c>
      <c r="D11" s="32">
        <v>285012</v>
      </c>
      <c r="E11" s="32">
        <v>74640</v>
      </c>
      <c r="F11" s="32"/>
      <c r="G11" s="32">
        <v>220068</v>
      </c>
      <c r="H11" s="32"/>
      <c r="I11" s="32">
        <v>315600</v>
      </c>
      <c r="J11" s="32"/>
      <c r="K11" s="32"/>
      <c r="L11" s="32">
        <v>369444</v>
      </c>
      <c r="M11" s="32"/>
      <c r="N11" s="32"/>
      <c r="O11" s="32"/>
      <c r="Q11" s="32" t="e">
        <f>IF(A11="AmeriQual Foods",_xlfn.XLOOKUP(B11,Lookup!A:A,Lookup!B:B),_xlfn.XLOOKUP(B11,Lookup!M:M,Lookup!N:N))</f>
        <v>#N/A</v>
      </c>
    </row>
    <row r="12" spans="1:18" x14ac:dyDescent="0.25">
      <c r="A12" s="159" t="s">
        <v>350</v>
      </c>
      <c r="B12" s="159" t="s">
        <v>151</v>
      </c>
      <c r="C12" s="159" t="s">
        <v>351</v>
      </c>
      <c r="D12" s="32">
        <v>323490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Q12" s="32" t="str">
        <f>IF(A12="AmeriQual Foods",_xlfn.XLOOKUP(B12,Lookup!A:A,Lookup!B:B),_xlfn.XLOOKUP(B12,Lookup!M:M,Lookup!N:N))</f>
        <v>Campbells</v>
      </c>
    </row>
    <row r="13" spans="1:18" x14ac:dyDescent="0.25">
      <c r="A13" s="159" t="s">
        <v>350</v>
      </c>
      <c r="B13" s="159" t="s">
        <v>357</v>
      </c>
      <c r="C13" s="159" t="s">
        <v>351</v>
      </c>
      <c r="D13" s="32">
        <v>70872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Q13" s="32" t="e">
        <f>IF(A13="AmeriQual Foods",_xlfn.XLOOKUP(B13,Lookup!A:A,Lookup!B:B),_xlfn.XLOOKUP(B13,Lookup!M:M,Lookup!N:N))</f>
        <v>#N/A</v>
      </c>
    </row>
    <row r="14" spans="1:18" x14ac:dyDescent="0.25">
      <c r="A14" s="159" t="s">
        <v>350</v>
      </c>
      <c r="B14" s="159" t="s">
        <v>358</v>
      </c>
      <c r="C14" s="159" t="s">
        <v>351</v>
      </c>
      <c r="D14" s="32">
        <v>79764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Q14" s="32" t="e">
        <f>IF(A14="AmeriQual Foods",_xlfn.XLOOKUP(B14,Lookup!A:A,Lookup!B:B),_xlfn.XLOOKUP(B14,Lookup!M:M,Lookup!N:N))</f>
        <v>#N/A</v>
      </c>
    </row>
    <row r="15" spans="1:18" x14ac:dyDescent="0.25">
      <c r="A15" s="159" t="s">
        <v>350</v>
      </c>
      <c r="B15" s="159" t="s">
        <v>359</v>
      </c>
      <c r="C15" s="159" t="s">
        <v>351</v>
      </c>
      <c r="D15" s="32">
        <v>39864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Q15" s="32" t="e">
        <f>IF(A15="AmeriQual Foods",_xlfn.XLOOKUP(B15,Lookup!A:A,Lookup!B:B),_xlfn.XLOOKUP(B15,Lookup!M:M,Lookup!N:N))</f>
        <v>#N/A</v>
      </c>
    </row>
    <row r="16" spans="1:18" x14ac:dyDescent="0.25">
      <c r="A16" s="159" t="s">
        <v>350</v>
      </c>
      <c r="B16" s="159" t="s">
        <v>360</v>
      </c>
      <c r="C16" s="159" t="s">
        <v>351</v>
      </c>
      <c r="D16" s="32">
        <v>74868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Q16" s="32" t="e">
        <f>IF(A16="AmeriQual Foods",_xlfn.XLOOKUP(B16,Lookup!A:A,Lookup!B:B),_xlfn.XLOOKUP(B16,Lookup!M:M,Lookup!N:N))</f>
        <v>#N/A</v>
      </c>
    </row>
    <row r="17" spans="1:17" x14ac:dyDescent="0.25">
      <c r="A17" s="159" t="s">
        <v>350</v>
      </c>
      <c r="B17" s="159" t="s">
        <v>361</v>
      </c>
      <c r="C17" s="159" t="s">
        <v>351</v>
      </c>
      <c r="D17" s="32">
        <v>58122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Q17" s="32" t="e">
        <f>IF(A17="AmeriQual Foods",_xlfn.XLOOKUP(B17,Lookup!A:A,Lookup!B:B),_xlfn.XLOOKUP(B17,Lookup!M:M,Lookup!N:N))</f>
        <v>#N/A</v>
      </c>
    </row>
    <row r="18" spans="1:17" x14ac:dyDescent="0.25">
      <c r="A18" s="159" t="s">
        <v>350</v>
      </c>
      <c r="B18" s="159" t="s">
        <v>158</v>
      </c>
      <c r="C18" s="159" t="s">
        <v>351</v>
      </c>
      <c r="D18" s="32">
        <v>76344</v>
      </c>
      <c r="E18" s="32">
        <v>110886</v>
      </c>
      <c r="F18" s="32">
        <v>107892</v>
      </c>
      <c r="G18" s="32"/>
      <c r="H18" s="32"/>
      <c r="I18" s="32"/>
      <c r="J18" s="32"/>
      <c r="K18" s="32"/>
      <c r="L18" s="32"/>
      <c r="M18" s="32"/>
      <c r="N18" s="32"/>
      <c r="O18" s="32"/>
      <c r="Q18" s="32" t="str">
        <f>IF(A18="AmeriQual Foods",_xlfn.XLOOKUP(B18,Lookup!A:A,Lookup!B:B),_xlfn.XLOOKUP(B18,Lookup!M:M,Lookup!N:N))</f>
        <v>Cauli Rice</v>
      </c>
    </row>
    <row r="19" spans="1:17" x14ac:dyDescent="0.25">
      <c r="A19" s="159" t="s">
        <v>350</v>
      </c>
      <c r="B19" s="159" t="s">
        <v>362</v>
      </c>
      <c r="C19" s="159" t="s">
        <v>351</v>
      </c>
      <c r="D19" s="32">
        <v>61242</v>
      </c>
      <c r="E19" s="32">
        <v>26904</v>
      </c>
      <c r="F19" s="32">
        <v>62220</v>
      </c>
      <c r="G19" s="32"/>
      <c r="H19" s="32"/>
      <c r="I19" s="32"/>
      <c r="J19" s="32"/>
      <c r="K19" s="32"/>
      <c r="L19" s="32"/>
      <c r="M19" s="32"/>
      <c r="N19" s="32"/>
      <c r="O19" s="32"/>
      <c r="Q19" s="32" t="e">
        <f>IF(A19="AmeriQual Foods",_xlfn.XLOOKUP(B19,Lookup!A:A,Lookup!B:B),_xlfn.XLOOKUP(B19,Lookup!M:M,Lookup!N:N))</f>
        <v>#N/A</v>
      </c>
    </row>
    <row r="20" spans="1:17" x14ac:dyDescent="0.25">
      <c r="A20" s="159" t="s">
        <v>350</v>
      </c>
      <c r="B20" s="159" t="s">
        <v>363</v>
      </c>
      <c r="C20" s="159" t="s">
        <v>351</v>
      </c>
      <c r="D20" s="32"/>
      <c r="E20" s="32">
        <v>83982</v>
      </c>
      <c r="F20" s="32">
        <v>29766</v>
      </c>
      <c r="G20" s="32"/>
      <c r="H20" s="32"/>
      <c r="I20" s="32"/>
      <c r="J20" s="32"/>
      <c r="K20" s="32"/>
      <c r="L20" s="32"/>
      <c r="M20" s="32"/>
      <c r="N20" s="32"/>
      <c r="O20" s="32"/>
      <c r="Q20" s="32" t="e">
        <f>IF(A20="AmeriQual Foods",_xlfn.XLOOKUP(B20,Lookup!A:A,Lookup!B:B),_xlfn.XLOOKUP(B20,Lookup!M:M,Lookup!N:N))</f>
        <v>#N/A</v>
      </c>
    </row>
    <row r="21" spans="1:17" x14ac:dyDescent="0.25">
      <c r="A21" s="159" t="s">
        <v>350</v>
      </c>
      <c r="B21" s="159" t="s">
        <v>364</v>
      </c>
      <c r="C21" s="159" t="s">
        <v>351</v>
      </c>
      <c r="D21" s="32">
        <v>15102</v>
      </c>
      <c r="E21" s="32"/>
      <c r="F21" s="32">
        <v>15906</v>
      </c>
      <c r="G21" s="32"/>
      <c r="H21" s="32"/>
      <c r="I21" s="32"/>
      <c r="J21" s="32"/>
      <c r="K21" s="32"/>
      <c r="L21" s="32"/>
      <c r="M21" s="32"/>
      <c r="N21" s="32"/>
      <c r="O21" s="32"/>
      <c r="Q21" s="32" t="e">
        <f>IF(A21="AmeriQual Foods",_xlfn.XLOOKUP(B21,Lookup!A:A,Lookup!B:B),_xlfn.XLOOKUP(B21,Lookup!M:M,Lookup!N:N))</f>
        <v>#N/A</v>
      </c>
    </row>
    <row r="22" spans="1:17" x14ac:dyDescent="0.25">
      <c r="A22" s="159" t="s">
        <v>350</v>
      </c>
      <c r="B22" s="159" t="s">
        <v>165</v>
      </c>
      <c r="C22" s="159" t="s">
        <v>351</v>
      </c>
      <c r="D22" s="32">
        <v>378535</v>
      </c>
      <c r="E22" s="32">
        <v>691107</v>
      </c>
      <c r="F22" s="32">
        <v>422723</v>
      </c>
      <c r="G22" s="32">
        <v>626418</v>
      </c>
      <c r="H22" s="32">
        <v>888962</v>
      </c>
      <c r="I22" s="32">
        <v>1239340</v>
      </c>
      <c r="J22" s="32">
        <v>351085</v>
      </c>
      <c r="K22" s="32">
        <v>432200</v>
      </c>
      <c r="L22" s="32">
        <v>95006</v>
      </c>
      <c r="M22" s="32">
        <v>216003</v>
      </c>
      <c r="N22" s="32">
        <v>159990</v>
      </c>
      <c r="O22" s="32"/>
      <c r="Q22" s="32" t="str">
        <f>IF(A22="AmeriQual Foods",_xlfn.XLOOKUP(B22,Lookup!A:A,Lookup!B:B),_xlfn.XLOOKUP(B22,Lookup!M:M,Lookup!N:N))</f>
        <v>RNC Fruit</v>
      </c>
    </row>
    <row r="23" spans="1:17" x14ac:dyDescent="0.25">
      <c r="A23" s="159" t="s">
        <v>350</v>
      </c>
      <c r="B23" s="159" t="s">
        <v>365</v>
      </c>
      <c r="C23" s="159" t="s">
        <v>351</v>
      </c>
      <c r="D23" s="32">
        <v>166864</v>
      </c>
      <c r="E23" s="32">
        <v>265948</v>
      </c>
      <c r="F23" s="32">
        <v>106484</v>
      </c>
      <c r="G23" s="32">
        <v>211829</v>
      </c>
      <c r="H23" s="32">
        <v>198558</v>
      </c>
      <c r="I23" s="32">
        <v>456979</v>
      </c>
      <c r="J23" s="32">
        <v>121224</v>
      </c>
      <c r="K23" s="32">
        <v>105895</v>
      </c>
      <c r="L23" s="32">
        <v>95006</v>
      </c>
      <c r="M23" s="32">
        <v>107814</v>
      </c>
      <c r="N23" s="32">
        <v>101640</v>
      </c>
      <c r="O23" s="32"/>
      <c r="Q23" s="32" t="e">
        <f>IF(A23="AmeriQual Foods",_xlfn.XLOOKUP(B23,Lookup!A:A,Lookup!B:B),_xlfn.XLOOKUP(B23,Lookup!M:M,Lookup!N:N))</f>
        <v>#N/A</v>
      </c>
    </row>
    <row r="24" spans="1:17" x14ac:dyDescent="0.25">
      <c r="A24" s="159" t="s">
        <v>350</v>
      </c>
      <c r="B24" s="159" t="s">
        <v>366</v>
      </c>
      <c r="C24" s="159" t="s">
        <v>351</v>
      </c>
      <c r="D24" s="32">
        <v>102403</v>
      </c>
      <c r="E24" s="32">
        <v>318220</v>
      </c>
      <c r="F24" s="32">
        <v>106189</v>
      </c>
      <c r="G24" s="32">
        <v>194416</v>
      </c>
      <c r="H24" s="32">
        <v>340248</v>
      </c>
      <c r="I24" s="32">
        <v>327640</v>
      </c>
      <c r="J24" s="32">
        <v>229861</v>
      </c>
      <c r="K24" s="32">
        <v>105328</v>
      </c>
      <c r="L24" s="32"/>
      <c r="M24" s="32">
        <v>108189</v>
      </c>
      <c r="N24" s="32">
        <v>58350</v>
      </c>
      <c r="O24" s="32"/>
      <c r="Q24" s="32" t="e">
        <f>IF(A24="AmeriQual Foods",_xlfn.XLOOKUP(B24,Lookup!A:A,Lookup!B:B),_xlfn.XLOOKUP(B24,Lookup!M:M,Lookup!N:N))</f>
        <v>#N/A</v>
      </c>
    </row>
    <row r="25" spans="1:17" x14ac:dyDescent="0.25">
      <c r="A25" s="159" t="s">
        <v>350</v>
      </c>
      <c r="B25" s="159" t="s">
        <v>367</v>
      </c>
      <c r="C25" s="159" t="s">
        <v>351</v>
      </c>
      <c r="D25" s="32">
        <v>109268</v>
      </c>
      <c r="E25" s="32">
        <v>106939</v>
      </c>
      <c r="F25" s="32">
        <v>210050</v>
      </c>
      <c r="G25" s="32">
        <v>220173</v>
      </c>
      <c r="H25" s="32">
        <v>350156</v>
      </c>
      <c r="I25" s="32">
        <v>454721</v>
      </c>
      <c r="J25" s="32"/>
      <c r="K25" s="32">
        <v>220977</v>
      </c>
      <c r="L25" s="32"/>
      <c r="M25" s="32"/>
      <c r="N25" s="32"/>
      <c r="O25" s="32"/>
      <c r="Q25" s="32" t="e">
        <f>IF(A25="AmeriQual Foods",_xlfn.XLOOKUP(B25,Lookup!A:A,Lookup!B:B),_xlfn.XLOOKUP(B25,Lookup!M:M,Lookup!N:N))</f>
        <v>#N/A</v>
      </c>
    </row>
    <row r="26" spans="1:17" x14ac:dyDescent="0.25">
      <c r="A26" s="159" t="s">
        <v>350</v>
      </c>
      <c r="B26" s="159" t="s">
        <v>170</v>
      </c>
      <c r="C26" s="159" t="s">
        <v>351</v>
      </c>
      <c r="D26" s="32">
        <v>407940</v>
      </c>
      <c r="E26" s="32">
        <v>115824</v>
      </c>
      <c r="F26" s="32">
        <v>536172</v>
      </c>
      <c r="G26" s="32">
        <v>260932</v>
      </c>
      <c r="H26" s="32">
        <v>326544</v>
      </c>
      <c r="I26" s="32">
        <v>180252</v>
      </c>
      <c r="J26" s="32">
        <v>146340</v>
      </c>
      <c r="K26" s="32">
        <v>523296</v>
      </c>
      <c r="L26" s="32"/>
      <c r="M26" s="32">
        <v>57840</v>
      </c>
      <c r="N26" s="32">
        <v>77820</v>
      </c>
      <c r="O26" s="32"/>
      <c r="Q26" s="32" t="str">
        <f>IF(A26="AmeriQual Foods",_xlfn.XLOOKUP(B26,Lookup!A:A,Lookup!B:B),_xlfn.XLOOKUP(B26,Lookup!M:M,Lookup!N:N))</f>
        <v>Hain Celestial</v>
      </c>
    </row>
    <row r="27" spans="1:17" x14ac:dyDescent="0.25">
      <c r="A27" s="159" t="s">
        <v>350</v>
      </c>
      <c r="B27" s="159" t="s">
        <v>554</v>
      </c>
      <c r="C27" s="159" t="s">
        <v>351</v>
      </c>
      <c r="D27" s="32"/>
      <c r="E27" s="32"/>
      <c r="F27" s="32"/>
      <c r="G27" s="32">
        <v>123136</v>
      </c>
      <c r="H27" s="32"/>
      <c r="I27" s="32"/>
      <c r="J27" s="32"/>
      <c r="K27" s="32"/>
      <c r="L27" s="32"/>
      <c r="M27" s="32"/>
      <c r="N27" s="32"/>
      <c r="O27" s="32"/>
      <c r="Q27" s="32" t="e">
        <f>IF(A27="AmeriQual Foods",_xlfn.XLOOKUP(B27,Lookup!A:A,Lookup!B:B),_xlfn.XLOOKUP(B27,Lookup!M:M,Lookup!N:N))</f>
        <v>#N/A</v>
      </c>
    </row>
    <row r="28" spans="1:17" x14ac:dyDescent="0.25">
      <c r="A28" s="159" t="s">
        <v>350</v>
      </c>
      <c r="B28" s="159" t="s">
        <v>368</v>
      </c>
      <c r="C28" s="159" t="s">
        <v>351</v>
      </c>
      <c r="D28" s="32">
        <v>52440</v>
      </c>
      <c r="E28" s="32"/>
      <c r="F28" s="32">
        <v>72468</v>
      </c>
      <c r="G28" s="32"/>
      <c r="H28" s="32"/>
      <c r="I28" s="32"/>
      <c r="J28" s="32"/>
      <c r="K28" s="32"/>
      <c r="L28" s="32"/>
      <c r="M28" s="32"/>
      <c r="N28" s="32">
        <v>61020</v>
      </c>
      <c r="O28" s="32"/>
      <c r="Q28" s="32" t="e">
        <f>IF(A28="AmeriQual Foods",_xlfn.XLOOKUP(B28,Lookup!A:A,Lookup!B:B),_xlfn.XLOOKUP(B28,Lookup!M:M,Lookup!N:N))</f>
        <v>#N/A</v>
      </c>
    </row>
    <row r="29" spans="1:17" x14ac:dyDescent="0.25">
      <c r="A29" s="159" t="s">
        <v>350</v>
      </c>
      <c r="B29" s="159" t="s">
        <v>369</v>
      </c>
      <c r="C29" s="159" t="s">
        <v>351</v>
      </c>
      <c r="D29" s="32">
        <v>69144</v>
      </c>
      <c r="E29" s="32">
        <v>56148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Q29" s="32" t="e">
        <f>IF(A29="AmeriQual Foods",_xlfn.XLOOKUP(B29,Lookup!A:A,Lookup!B:B),_xlfn.XLOOKUP(B29,Lookup!M:M,Lookup!N:N))</f>
        <v>#N/A</v>
      </c>
    </row>
    <row r="30" spans="1:17" x14ac:dyDescent="0.25">
      <c r="A30" s="159" t="s">
        <v>350</v>
      </c>
      <c r="B30" s="159" t="s">
        <v>370</v>
      </c>
      <c r="C30" s="159" t="s">
        <v>351</v>
      </c>
      <c r="D30" s="32"/>
      <c r="E30" s="32"/>
      <c r="F30" s="32"/>
      <c r="G30" s="32">
        <v>80652</v>
      </c>
      <c r="H30" s="32">
        <v>72456</v>
      </c>
      <c r="I30" s="32"/>
      <c r="J30" s="32"/>
      <c r="K30" s="32"/>
      <c r="L30" s="32"/>
      <c r="M30" s="32"/>
      <c r="N30" s="32"/>
      <c r="O30" s="32"/>
      <c r="Q30" s="32" t="e">
        <f>IF(A30="AmeriQual Foods",_xlfn.XLOOKUP(B30,Lookup!A:A,Lookup!B:B),_xlfn.XLOOKUP(B30,Lookup!M:M,Lookup!N:N))</f>
        <v>#N/A</v>
      </c>
    </row>
    <row r="31" spans="1:17" x14ac:dyDescent="0.25">
      <c r="A31" s="159" t="s">
        <v>350</v>
      </c>
      <c r="B31" s="159" t="s">
        <v>910</v>
      </c>
      <c r="C31" s="159" t="s">
        <v>351</v>
      </c>
      <c r="D31" s="32"/>
      <c r="E31" s="32"/>
      <c r="F31" s="32"/>
      <c r="G31" s="32"/>
      <c r="H31" s="32"/>
      <c r="I31" s="32">
        <v>55068</v>
      </c>
      <c r="J31" s="32"/>
      <c r="K31" s="32">
        <v>124032</v>
      </c>
      <c r="L31" s="32"/>
      <c r="M31" s="32"/>
      <c r="N31" s="32"/>
      <c r="O31" s="32"/>
      <c r="Q31" s="32" t="e">
        <f>IF(A31="AmeriQual Foods",_xlfn.XLOOKUP(B31,Lookup!A:A,Lookup!B:B),_xlfn.XLOOKUP(B31,Lookup!M:M,Lookup!N:N))</f>
        <v>#N/A</v>
      </c>
    </row>
    <row r="32" spans="1:17" x14ac:dyDescent="0.25">
      <c r="A32" s="159" t="s">
        <v>350</v>
      </c>
      <c r="B32" s="159" t="s">
        <v>371</v>
      </c>
      <c r="C32" s="159" t="s">
        <v>351</v>
      </c>
      <c r="D32" s="32">
        <v>115596</v>
      </c>
      <c r="E32" s="32"/>
      <c r="F32" s="32"/>
      <c r="G32" s="32"/>
      <c r="H32" s="32"/>
      <c r="I32" s="32"/>
      <c r="J32" s="32"/>
      <c r="K32" s="32">
        <v>191448</v>
      </c>
      <c r="L32" s="32"/>
      <c r="M32" s="32"/>
      <c r="N32" s="32"/>
      <c r="O32" s="32"/>
      <c r="Q32" s="32" t="e">
        <f>IF(A32="AmeriQual Foods",_xlfn.XLOOKUP(B32,Lookup!A:A,Lookup!B:B),_xlfn.XLOOKUP(B32,Lookup!M:M,Lookup!N:N))</f>
        <v>#N/A</v>
      </c>
    </row>
    <row r="33" spans="1:17" x14ac:dyDescent="0.25">
      <c r="A33" s="159" t="s">
        <v>350</v>
      </c>
      <c r="B33" s="159" t="s">
        <v>372</v>
      </c>
      <c r="C33" s="159" t="s">
        <v>351</v>
      </c>
      <c r="D33" s="32"/>
      <c r="E33" s="32"/>
      <c r="F33" s="32">
        <v>113712</v>
      </c>
      <c r="G33" s="32"/>
      <c r="H33" s="32"/>
      <c r="I33" s="32">
        <v>69408</v>
      </c>
      <c r="J33" s="32"/>
      <c r="K33" s="32"/>
      <c r="L33" s="32"/>
      <c r="M33" s="32"/>
      <c r="N33" s="32"/>
      <c r="O33" s="32"/>
      <c r="Q33" s="32" t="e">
        <f>IF(A33="AmeriQual Foods",_xlfn.XLOOKUP(B33,Lookup!A:A,Lookup!B:B),_xlfn.XLOOKUP(B33,Lookup!M:M,Lookup!N:N))</f>
        <v>#N/A</v>
      </c>
    </row>
    <row r="34" spans="1:17" x14ac:dyDescent="0.25">
      <c r="A34" s="159" t="s">
        <v>350</v>
      </c>
      <c r="B34" s="159" t="s">
        <v>373</v>
      </c>
      <c r="C34" s="159" t="s">
        <v>351</v>
      </c>
      <c r="D34" s="32"/>
      <c r="E34" s="32">
        <v>59676</v>
      </c>
      <c r="F34" s="32"/>
      <c r="G34" s="32"/>
      <c r="H34" s="32">
        <v>125400</v>
      </c>
      <c r="I34" s="32">
        <v>55776</v>
      </c>
      <c r="J34" s="32">
        <v>27312</v>
      </c>
      <c r="K34" s="32">
        <v>140748</v>
      </c>
      <c r="L34" s="32"/>
      <c r="M34" s="32"/>
      <c r="N34" s="32"/>
      <c r="O34" s="32"/>
      <c r="Q34" s="32" t="e">
        <f>IF(A34="AmeriQual Foods",_xlfn.XLOOKUP(B34,Lookup!A:A,Lookup!B:B),_xlfn.XLOOKUP(B34,Lookup!M:M,Lookup!N:N))</f>
        <v>#N/A</v>
      </c>
    </row>
    <row r="35" spans="1:17" x14ac:dyDescent="0.25">
      <c r="A35" s="159" t="s">
        <v>350</v>
      </c>
      <c r="B35" s="159" t="s">
        <v>374</v>
      </c>
      <c r="C35" s="159" t="s">
        <v>351</v>
      </c>
      <c r="D35" s="32"/>
      <c r="E35" s="32"/>
      <c r="F35" s="32">
        <v>349992</v>
      </c>
      <c r="G35" s="32">
        <v>57144</v>
      </c>
      <c r="H35" s="32">
        <v>128688</v>
      </c>
      <c r="I35" s="32"/>
      <c r="J35" s="32">
        <v>119028</v>
      </c>
      <c r="K35" s="32">
        <v>67068</v>
      </c>
      <c r="L35" s="32"/>
      <c r="M35" s="32">
        <v>57840</v>
      </c>
      <c r="N35" s="32">
        <v>16800</v>
      </c>
      <c r="O35" s="32"/>
      <c r="Q35" s="32" t="e">
        <f>IF(A35="AmeriQual Foods",_xlfn.XLOOKUP(B35,Lookup!A:A,Lookup!B:B),_xlfn.XLOOKUP(B35,Lookup!M:M,Lookup!N:N))</f>
        <v>#N/A</v>
      </c>
    </row>
    <row r="36" spans="1:17" x14ac:dyDescent="0.25">
      <c r="A36" s="159" t="s">
        <v>350</v>
      </c>
      <c r="B36" s="159" t="s">
        <v>375</v>
      </c>
      <c r="C36" s="159" t="s">
        <v>351</v>
      </c>
      <c r="D36" s="32">
        <v>170760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Q36" s="32" t="e">
        <f>IF(A36="AmeriQual Foods",_xlfn.XLOOKUP(B36,Lookup!A:A,Lookup!B:B),_xlfn.XLOOKUP(B36,Lookup!M:M,Lookup!N:N))</f>
        <v>#N/A</v>
      </c>
    </row>
    <row r="37" spans="1:17" x14ac:dyDescent="0.25">
      <c r="A37" s="159" t="s">
        <v>350</v>
      </c>
      <c r="B37" s="159" t="s">
        <v>181</v>
      </c>
      <c r="C37" s="159" t="s">
        <v>351</v>
      </c>
      <c r="D37" s="32"/>
      <c r="E37" s="32"/>
      <c r="F37" s="32"/>
      <c r="G37" s="32"/>
      <c r="H37" s="32">
        <v>1082340</v>
      </c>
      <c r="I37" s="32"/>
      <c r="J37" s="32"/>
      <c r="K37" s="32"/>
      <c r="L37" s="32"/>
      <c r="M37" s="32"/>
      <c r="N37" s="32"/>
      <c r="O37" s="32"/>
      <c r="Q37" s="32" t="str">
        <f>IF(A37="AmeriQual Foods",_xlfn.XLOOKUP(B37,Lookup!A:A,Lookup!B:B),_xlfn.XLOOKUP(B37,Lookup!M:M,Lookup!N:N))</f>
        <v>Spammy</v>
      </c>
    </row>
    <row r="38" spans="1:17" x14ac:dyDescent="0.25">
      <c r="A38" s="159" t="s">
        <v>350</v>
      </c>
      <c r="B38" s="159" t="s">
        <v>824</v>
      </c>
      <c r="C38" s="159" t="s">
        <v>351</v>
      </c>
      <c r="D38" s="32"/>
      <c r="E38" s="32"/>
      <c r="F38" s="32"/>
      <c r="G38" s="32"/>
      <c r="H38" s="32">
        <v>1082340</v>
      </c>
      <c r="I38" s="32"/>
      <c r="J38" s="32"/>
      <c r="K38" s="32"/>
      <c r="L38" s="32"/>
      <c r="M38" s="32"/>
      <c r="N38" s="32"/>
      <c r="O38" s="32"/>
      <c r="Q38" s="32" t="e">
        <f>IF(A38="AmeriQual Foods",_xlfn.XLOOKUP(B38,Lookup!A:A,Lookup!B:B),_xlfn.XLOOKUP(B38,Lookup!M:M,Lookup!N:N))</f>
        <v>#N/A</v>
      </c>
    </row>
    <row r="39" spans="1:17" x14ac:dyDescent="0.25">
      <c r="A39" s="159" t="s">
        <v>350</v>
      </c>
      <c r="B39" s="159" t="s">
        <v>185</v>
      </c>
      <c r="C39" s="159" t="s">
        <v>351</v>
      </c>
      <c r="D39" s="32">
        <v>2441304</v>
      </c>
      <c r="E39" s="32">
        <v>1757256</v>
      </c>
      <c r="F39" s="32">
        <v>3523632</v>
      </c>
      <c r="G39" s="32">
        <v>4913808</v>
      </c>
      <c r="H39" s="32">
        <v>5333544</v>
      </c>
      <c r="I39" s="32">
        <v>4476252</v>
      </c>
      <c r="J39" s="32">
        <v>4228104</v>
      </c>
      <c r="K39" s="32">
        <v>1456896</v>
      </c>
      <c r="L39" s="32">
        <v>1640496</v>
      </c>
      <c r="M39" s="32">
        <v>1606824</v>
      </c>
      <c r="N39" s="32">
        <v>1205472</v>
      </c>
      <c r="O39" s="32"/>
      <c r="Q39" s="32" t="str">
        <f>IF(A39="AmeriQual Foods",_xlfn.XLOOKUP(B39,Lookup!A:A,Lookup!B:B),_xlfn.XLOOKUP(B39,Lookup!M:M,Lookup!N:N))</f>
        <v>x</v>
      </c>
    </row>
    <row r="40" spans="1:17" x14ac:dyDescent="0.25">
      <c r="A40" s="159" t="s">
        <v>350</v>
      </c>
      <c r="B40" s="159" t="s">
        <v>190</v>
      </c>
      <c r="C40" s="159" t="s">
        <v>351</v>
      </c>
      <c r="D40" s="32">
        <v>578988</v>
      </c>
      <c r="E40" s="32">
        <v>654732</v>
      </c>
      <c r="F40" s="32">
        <v>263412</v>
      </c>
      <c r="G40" s="32"/>
      <c r="H40" s="32">
        <v>1741320</v>
      </c>
      <c r="I40" s="32"/>
      <c r="J40" s="32">
        <v>414468</v>
      </c>
      <c r="K40" s="32">
        <v>134244</v>
      </c>
      <c r="L40" s="32"/>
      <c r="M40" s="32"/>
      <c r="N40" s="32"/>
      <c r="O40" s="32"/>
      <c r="Q40" s="32" t="str">
        <f>IF(A40="AmeriQual Foods",_xlfn.XLOOKUP(B40,Lookup!A:A,Lookup!B:B),_xlfn.XLOOKUP(B40,Lookup!M:M,Lookup!N:N))</f>
        <v>x</v>
      </c>
    </row>
    <row r="41" spans="1:17" x14ac:dyDescent="0.25">
      <c r="A41" s="159" t="s">
        <v>350</v>
      </c>
      <c r="B41" s="159" t="s">
        <v>192</v>
      </c>
      <c r="C41" s="159" t="s">
        <v>351</v>
      </c>
      <c r="D41" s="32">
        <v>578988</v>
      </c>
      <c r="E41" s="32">
        <v>654732</v>
      </c>
      <c r="F41" s="32">
        <v>263412</v>
      </c>
      <c r="G41" s="32"/>
      <c r="H41" s="32">
        <v>1741320</v>
      </c>
      <c r="I41" s="32"/>
      <c r="J41" s="32">
        <v>414468</v>
      </c>
      <c r="K41" s="32">
        <v>134244</v>
      </c>
      <c r="L41" s="32"/>
      <c r="M41" s="32"/>
      <c r="N41" s="32"/>
      <c r="O41" s="32"/>
      <c r="Q41" s="32" t="str">
        <f>IF(A41="AmeriQual Foods",_xlfn.XLOOKUP(B41,Lookup!A:A,Lookup!B:B),_xlfn.XLOOKUP(B41,Lookup!M:M,Lookup!N:N))</f>
        <v xml:space="preserve">            (85204) FLB CHICKEN</v>
      </c>
    </row>
    <row r="42" spans="1:17" x14ac:dyDescent="0.25">
      <c r="A42" s="159" t="s">
        <v>350</v>
      </c>
      <c r="B42" s="159" t="s">
        <v>196</v>
      </c>
      <c r="C42" s="159" t="s">
        <v>351</v>
      </c>
      <c r="D42" s="32"/>
      <c r="E42" s="32">
        <v>232956</v>
      </c>
      <c r="F42" s="32">
        <v>174756</v>
      </c>
      <c r="G42" s="32"/>
      <c r="H42" s="32">
        <v>379968</v>
      </c>
      <c r="I42" s="32">
        <v>124884</v>
      </c>
      <c r="J42" s="32">
        <v>416124</v>
      </c>
      <c r="K42" s="32">
        <v>553788</v>
      </c>
      <c r="L42" s="32"/>
      <c r="M42" s="32"/>
      <c r="N42" s="32">
        <v>99360</v>
      </c>
      <c r="O42" s="32"/>
      <c r="Q42" s="32" t="str">
        <f>IF(A42="AmeriQual Foods",_xlfn.XLOOKUP(B42,Lookup!A:A,Lookup!B:B),_xlfn.XLOOKUP(B42,Lookup!M:M,Lookup!N:N))</f>
        <v>x</v>
      </c>
    </row>
    <row r="43" spans="1:17" x14ac:dyDescent="0.25">
      <c r="A43" s="159" t="s">
        <v>350</v>
      </c>
      <c r="B43" s="159" t="s">
        <v>199</v>
      </c>
      <c r="C43" s="159" t="s">
        <v>351</v>
      </c>
      <c r="D43" s="32"/>
      <c r="E43" s="32"/>
      <c r="F43" s="32"/>
      <c r="G43" s="32"/>
      <c r="H43" s="32">
        <v>379968</v>
      </c>
      <c r="I43" s="32"/>
      <c r="J43" s="32">
        <v>416124</v>
      </c>
      <c r="K43" s="32"/>
      <c r="L43" s="32"/>
      <c r="M43" s="32"/>
      <c r="N43" s="32">
        <v>99360</v>
      </c>
      <c r="O43" s="32"/>
      <c r="Q43" s="32" t="str">
        <f>IF(A43="AmeriQual Foods",_xlfn.XLOOKUP(B43,Lookup!A:A,Lookup!B:B),_xlfn.XLOOKUP(B43,Lookup!M:M,Lookup!N:N))</f>
        <v xml:space="preserve">            (85129) FLB/DT WHITE CHICKEN</v>
      </c>
    </row>
    <row r="44" spans="1:17" x14ac:dyDescent="0.25">
      <c r="A44" s="159" t="s">
        <v>350</v>
      </c>
      <c r="B44" s="159" t="s">
        <v>203</v>
      </c>
      <c r="C44" s="159" t="s">
        <v>351</v>
      </c>
      <c r="D44" s="32"/>
      <c r="E44" s="32">
        <v>232956</v>
      </c>
      <c r="F44" s="32">
        <v>174756</v>
      </c>
      <c r="G44" s="32"/>
      <c r="H44" s="32"/>
      <c r="I44" s="32">
        <v>124884</v>
      </c>
      <c r="J44" s="32"/>
      <c r="K44" s="32">
        <v>553788</v>
      </c>
      <c r="L44" s="32"/>
      <c r="M44" s="32"/>
      <c r="N44" s="32"/>
      <c r="O44" s="32"/>
      <c r="Q44" s="32" t="str">
        <f>IF(A44="AmeriQual Foods",_xlfn.XLOOKUP(B44,Lookup!A:A,Lookup!B:B),_xlfn.XLOOKUP(B44,Lookup!M:M,Lookup!N:N))</f>
        <v xml:space="preserve">            (85131) FLB CHICKEN SALAD</v>
      </c>
    </row>
    <row r="45" spans="1:17" x14ac:dyDescent="0.25">
      <c r="A45" s="159" t="s">
        <v>350</v>
      </c>
      <c r="B45" s="159" t="s">
        <v>208</v>
      </c>
      <c r="C45" s="159" t="s">
        <v>351</v>
      </c>
      <c r="D45" s="32">
        <v>964944</v>
      </c>
      <c r="E45" s="32">
        <v>327984</v>
      </c>
      <c r="F45" s="32">
        <v>1087560</v>
      </c>
      <c r="G45" s="32">
        <v>1867248</v>
      </c>
      <c r="H45" s="32">
        <v>1335504</v>
      </c>
      <c r="I45" s="32">
        <v>2297256</v>
      </c>
      <c r="J45" s="32">
        <v>2281104</v>
      </c>
      <c r="K45" s="32">
        <v>94752</v>
      </c>
      <c r="L45" s="32">
        <v>211464</v>
      </c>
      <c r="M45" s="32">
        <v>448848</v>
      </c>
      <c r="N45" s="32">
        <v>1019448</v>
      </c>
      <c r="O45" s="32"/>
      <c r="Q45" s="32" t="str">
        <f>IF(A45="AmeriQual Foods",_xlfn.XLOOKUP(B45,Lookup!A:A,Lookup!B:B),_xlfn.XLOOKUP(B45,Lookup!M:M,Lookup!N:N))</f>
        <v>x</v>
      </c>
    </row>
    <row r="46" spans="1:17" x14ac:dyDescent="0.25">
      <c r="A46" s="159" t="s">
        <v>350</v>
      </c>
      <c r="B46" s="159" t="s">
        <v>211</v>
      </c>
      <c r="C46" s="159" t="s">
        <v>351</v>
      </c>
      <c r="D46" s="32">
        <v>376656</v>
      </c>
      <c r="E46" s="32">
        <v>120432</v>
      </c>
      <c r="F46" s="32">
        <v>802272</v>
      </c>
      <c r="G46" s="32">
        <v>1104864</v>
      </c>
      <c r="H46" s="32">
        <v>508992</v>
      </c>
      <c r="I46" s="32">
        <v>1863168</v>
      </c>
      <c r="J46" s="32">
        <v>1790352</v>
      </c>
      <c r="K46" s="32"/>
      <c r="L46" s="32"/>
      <c r="M46" s="32"/>
      <c r="N46" s="32"/>
      <c r="O46" s="32"/>
      <c r="Q46" s="32" t="str">
        <f>IF(A46="AmeriQual Foods",_xlfn.XLOOKUP(B46,Lookup!A:A,Lookup!B:B),_xlfn.XLOOKUP(B46,Lookup!M:M,Lookup!N:N))</f>
        <v xml:space="preserve">            (85134) FLB CHICKEN</v>
      </c>
    </row>
    <row r="47" spans="1:17" x14ac:dyDescent="0.25">
      <c r="A47" s="159" t="s">
        <v>350</v>
      </c>
      <c r="B47" s="159" t="s">
        <v>555</v>
      </c>
      <c r="C47" s="159" t="s">
        <v>351</v>
      </c>
      <c r="D47" s="32"/>
      <c r="E47" s="32"/>
      <c r="F47" s="32"/>
      <c r="G47" s="32">
        <v>762384</v>
      </c>
      <c r="H47" s="32"/>
      <c r="I47" s="32"/>
      <c r="J47" s="32"/>
      <c r="K47" s="32"/>
      <c r="L47" s="32"/>
      <c r="M47" s="32"/>
      <c r="N47" s="32"/>
      <c r="O47" s="32"/>
      <c r="Q47" s="32" t="str">
        <f>IF(A47="AmeriQual Foods",_xlfn.XLOOKUP(B47,Lookup!A:A,Lookup!B:B),_xlfn.XLOOKUP(B47,Lookup!M:M,Lookup!N:N))</f>
        <v xml:space="preserve">            (85134) FLB CHICKEN</v>
      </c>
    </row>
    <row r="48" spans="1:17" x14ac:dyDescent="0.25">
      <c r="A48" s="159" t="s">
        <v>350</v>
      </c>
      <c r="B48" s="159" t="s">
        <v>140</v>
      </c>
      <c r="C48" s="159" t="s">
        <v>351</v>
      </c>
      <c r="D48" s="32">
        <v>47520</v>
      </c>
      <c r="E48" s="32">
        <v>168408</v>
      </c>
      <c r="F48" s="32">
        <v>138312</v>
      </c>
      <c r="G48" s="32"/>
      <c r="H48" s="32"/>
      <c r="I48" s="32"/>
      <c r="J48" s="32"/>
      <c r="K48" s="32">
        <v>77496</v>
      </c>
      <c r="L48" s="32">
        <v>155496</v>
      </c>
      <c r="M48" s="32">
        <v>307128</v>
      </c>
      <c r="N48" s="32">
        <v>172248</v>
      </c>
      <c r="O48" s="32"/>
      <c r="Q48" s="32" t="str">
        <f>IF(A48="AmeriQual Foods",_xlfn.XLOOKUP(B48,Lookup!A:A,Lookup!B:B),_xlfn.XLOOKUP(B48,Lookup!M:M,Lookup!N:N))</f>
        <v>RePack</v>
      </c>
    </row>
    <row r="49" spans="1:17" x14ac:dyDescent="0.25">
      <c r="A49" s="159" t="s">
        <v>350</v>
      </c>
      <c r="B49" s="159" t="s">
        <v>825</v>
      </c>
      <c r="C49" s="159" t="s">
        <v>351</v>
      </c>
      <c r="D49" s="32"/>
      <c r="E49" s="32"/>
      <c r="F49" s="32"/>
      <c r="G49" s="32"/>
      <c r="H49" s="32">
        <v>352944</v>
      </c>
      <c r="I49" s="32"/>
      <c r="J49" s="32"/>
      <c r="K49" s="32"/>
      <c r="L49" s="32"/>
      <c r="M49" s="32"/>
      <c r="N49" s="32">
        <v>189024</v>
      </c>
      <c r="O49" s="32"/>
      <c r="Q49" s="32" t="str">
        <f>IF(A49="AmeriQual Foods",_xlfn.XLOOKUP(B49,Lookup!A:A,Lookup!B:B),_xlfn.XLOOKUP(B49,Lookup!M:M,Lookup!N:N))</f>
        <v xml:space="preserve">            (85138) FLB BUFFALO STYLE CHICKEN</v>
      </c>
    </row>
    <row r="50" spans="1:17" x14ac:dyDescent="0.25">
      <c r="A50" s="159" t="s">
        <v>350</v>
      </c>
      <c r="B50" s="159" t="s">
        <v>935</v>
      </c>
      <c r="C50" s="159" t="s">
        <v>351</v>
      </c>
      <c r="D50" s="32"/>
      <c r="E50" s="32"/>
      <c r="F50" s="32"/>
      <c r="G50" s="32"/>
      <c r="H50" s="32"/>
      <c r="I50" s="32">
        <v>4320</v>
      </c>
      <c r="J50" s="32">
        <v>34248</v>
      </c>
      <c r="K50" s="32"/>
      <c r="L50" s="32"/>
      <c r="M50" s="32">
        <v>51696</v>
      </c>
      <c r="N50" s="32"/>
      <c r="O50" s="32"/>
      <c r="Q50" s="32" t="str">
        <f>IF(A50="AmeriQual Foods",_xlfn.XLOOKUP(B50,Lookup!A:A,Lookup!B:B),_xlfn.XLOOKUP(B50,Lookup!M:M,Lookup!N:N))</f>
        <v>RePack</v>
      </c>
    </row>
    <row r="51" spans="1:17" x14ac:dyDescent="0.25">
      <c r="A51" s="159" t="s">
        <v>350</v>
      </c>
      <c r="B51" s="159" t="s">
        <v>218</v>
      </c>
      <c r="C51" s="159" t="s">
        <v>351</v>
      </c>
      <c r="D51" s="32">
        <v>239616</v>
      </c>
      <c r="E51" s="32"/>
      <c r="F51" s="32"/>
      <c r="G51" s="32"/>
      <c r="H51" s="32">
        <v>296064</v>
      </c>
      <c r="I51" s="32"/>
      <c r="J51" s="32"/>
      <c r="K51" s="32"/>
      <c r="L51" s="32"/>
      <c r="M51" s="32"/>
      <c r="N51" s="32">
        <v>348960</v>
      </c>
      <c r="O51" s="32"/>
      <c r="Q51" s="32" t="str">
        <f>IF(A51="AmeriQual Foods",_xlfn.XLOOKUP(B51,Lookup!A:A,Lookup!B:B),_xlfn.XLOOKUP(B51,Lookup!M:M,Lookup!N:N))</f>
        <v xml:space="preserve">            (85206) FLB CHICKEN SALAD</v>
      </c>
    </row>
    <row r="52" spans="1:17" x14ac:dyDescent="0.25">
      <c r="A52" s="159" t="s">
        <v>350</v>
      </c>
      <c r="B52" s="159" t="s">
        <v>341</v>
      </c>
      <c r="C52" s="159" t="s">
        <v>351</v>
      </c>
      <c r="D52" s="32">
        <v>4320</v>
      </c>
      <c r="E52" s="32">
        <v>21840</v>
      </c>
      <c r="F52" s="32"/>
      <c r="G52" s="32"/>
      <c r="H52" s="32"/>
      <c r="I52" s="32">
        <v>34248</v>
      </c>
      <c r="J52" s="32">
        <v>17280</v>
      </c>
      <c r="K52" s="32">
        <v>17256</v>
      </c>
      <c r="L52" s="32"/>
      <c r="M52" s="32">
        <v>21504</v>
      </c>
      <c r="N52" s="32"/>
      <c r="O52" s="32"/>
      <c r="Q52" s="32" t="str">
        <f>IF(A52="AmeriQual Foods",_xlfn.XLOOKUP(B52,Lookup!A:A,Lookup!B:B),_xlfn.XLOOKUP(B52,Lookup!M:M,Lookup!N:N))</f>
        <v>RePack</v>
      </c>
    </row>
    <row r="53" spans="1:17" x14ac:dyDescent="0.25">
      <c r="A53" s="159" t="s">
        <v>350</v>
      </c>
      <c r="B53" s="159" t="s">
        <v>220</v>
      </c>
      <c r="C53" s="159" t="s">
        <v>351</v>
      </c>
      <c r="D53" s="32">
        <v>207072</v>
      </c>
      <c r="E53" s="32"/>
      <c r="F53" s="32">
        <v>146976</v>
      </c>
      <c r="G53" s="32"/>
      <c r="H53" s="32">
        <v>177504</v>
      </c>
      <c r="I53" s="32"/>
      <c r="J53" s="32">
        <v>367488</v>
      </c>
      <c r="K53" s="32"/>
      <c r="L53" s="32"/>
      <c r="M53" s="32"/>
      <c r="N53" s="32"/>
      <c r="O53" s="32"/>
      <c r="Q53" s="32" t="str">
        <f>IF(A53="AmeriQual Foods",_xlfn.XLOOKUP(B53,Lookup!A:A,Lookup!B:B),_xlfn.XLOOKUP(B53,Lookup!M:M,Lookup!N:N))</f>
        <v xml:space="preserve">            (85207) FLB BBQ  WHITE CHICKEN</v>
      </c>
    </row>
    <row r="54" spans="1:17" x14ac:dyDescent="0.25">
      <c r="A54" s="159" t="s">
        <v>350</v>
      </c>
      <c r="B54" s="159" t="s">
        <v>146</v>
      </c>
      <c r="C54" s="159" t="s">
        <v>351</v>
      </c>
      <c r="D54" s="32"/>
      <c r="E54" s="32">
        <v>17304</v>
      </c>
      <c r="F54" s="32"/>
      <c r="G54" s="32"/>
      <c r="H54" s="32"/>
      <c r="I54" s="32">
        <v>34464</v>
      </c>
      <c r="J54" s="32">
        <v>37176</v>
      </c>
      <c r="K54" s="32"/>
      <c r="L54" s="32">
        <v>55968</v>
      </c>
      <c r="M54" s="32">
        <v>34032</v>
      </c>
      <c r="N54" s="32"/>
      <c r="O54" s="32"/>
      <c r="Q54" s="32" t="str">
        <f>IF(A54="AmeriQual Foods",_xlfn.XLOOKUP(B54,Lookup!A:A,Lookup!B:B),_xlfn.XLOOKUP(B54,Lookup!M:M,Lookup!N:N))</f>
        <v>RePack</v>
      </c>
    </row>
    <row r="55" spans="1:17" x14ac:dyDescent="0.25">
      <c r="A55" s="159" t="s">
        <v>350</v>
      </c>
      <c r="B55" s="159" t="s">
        <v>224</v>
      </c>
      <c r="C55" s="159" t="s">
        <v>351</v>
      </c>
      <c r="D55" s="32">
        <v>89760</v>
      </c>
      <c r="E55" s="32"/>
      <c r="F55" s="32"/>
      <c r="G55" s="32"/>
      <c r="H55" s="32"/>
      <c r="I55" s="32"/>
      <c r="J55" s="32"/>
      <c r="K55" s="32"/>
      <c r="L55" s="32"/>
      <c r="M55" s="32"/>
      <c r="N55" s="32">
        <v>132576</v>
      </c>
      <c r="O55" s="32"/>
      <c r="Q55" s="32" t="str">
        <f>IF(A55="AmeriQual Foods",_xlfn.XLOOKUP(B55,Lookup!A:A,Lookup!B:B),_xlfn.XLOOKUP(B55,Lookup!M:M,Lookup!N:N))</f>
        <v xml:space="preserve">            (85208) FLB BBQ SAUCE W/BEEF</v>
      </c>
    </row>
    <row r="56" spans="1:17" x14ac:dyDescent="0.25">
      <c r="A56" s="159" t="s">
        <v>350</v>
      </c>
      <c r="B56" s="159" t="s">
        <v>911</v>
      </c>
      <c r="C56" s="159" t="s">
        <v>351</v>
      </c>
      <c r="D56" s="32"/>
      <c r="E56" s="32"/>
      <c r="F56" s="32"/>
      <c r="G56" s="32"/>
      <c r="H56" s="32"/>
      <c r="I56" s="32">
        <v>361056</v>
      </c>
      <c r="J56" s="32"/>
      <c r="K56" s="32"/>
      <c r="L56" s="32"/>
      <c r="M56" s="32"/>
      <c r="N56" s="32">
        <v>176640</v>
      </c>
      <c r="O56" s="32"/>
      <c r="Q56" s="32" t="str">
        <f>IF(A56="AmeriQual Foods",_xlfn.XLOOKUP(B56,Lookup!A:A,Lookup!B:B),_xlfn.XLOOKUP(B56,Lookup!M:M,Lookup!N:N))</f>
        <v xml:space="preserve">            (85218) FLB POLLO ASADO</v>
      </c>
    </row>
    <row r="57" spans="1:17" x14ac:dyDescent="0.25">
      <c r="A57" s="159" t="s">
        <v>350</v>
      </c>
      <c r="B57" s="159" t="s">
        <v>941</v>
      </c>
      <c r="C57" s="159" t="s">
        <v>351</v>
      </c>
      <c r="D57" s="32"/>
      <c r="E57" s="32"/>
      <c r="F57" s="32"/>
      <c r="G57" s="32"/>
      <c r="H57" s="32"/>
      <c r="I57" s="32"/>
      <c r="J57" s="32">
        <v>34560</v>
      </c>
      <c r="K57" s="32"/>
      <c r="L57" s="32"/>
      <c r="M57" s="32">
        <v>34488</v>
      </c>
      <c r="N57" s="32"/>
      <c r="O57" s="32"/>
      <c r="Q57" s="32" t="str">
        <f>IF(A57="AmeriQual Foods",_xlfn.XLOOKUP(B57,Lookup!A:A,Lookup!B:B),_xlfn.XLOOKUP(B57,Lookup!M:M,Lookup!N:N))</f>
        <v>RePack</v>
      </c>
    </row>
    <row r="58" spans="1:17" x14ac:dyDescent="0.25">
      <c r="A58" s="159" t="s">
        <v>350</v>
      </c>
      <c r="B58" s="159" t="s">
        <v>227</v>
      </c>
      <c r="C58" s="159" t="s">
        <v>351</v>
      </c>
      <c r="D58" s="32">
        <v>380352</v>
      </c>
      <c r="E58" s="32">
        <v>191160</v>
      </c>
      <c r="F58" s="32">
        <v>754056</v>
      </c>
      <c r="G58" s="32">
        <v>833232</v>
      </c>
      <c r="H58" s="32">
        <v>1037520</v>
      </c>
      <c r="I58" s="32">
        <v>813912</v>
      </c>
      <c r="J58" s="32">
        <v>286344</v>
      </c>
      <c r="K58" s="32"/>
      <c r="L58" s="32">
        <v>962712</v>
      </c>
      <c r="M58" s="32">
        <v>1157976</v>
      </c>
      <c r="N58" s="32">
        <v>86664</v>
      </c>
      <c r="O58" s="32"/>
      <c r="Q58" s="32" t="str">
        <f>IF(A58="AmeriQual Foods",_xlfn.XLOOKUP(B58,Lookup!A:A,Lookup!B:B),_xlfn.XLOOKUP(B58,Lookup!M:M,Lookup!N:N))</f>
        <v>x</v>
      </c>
    </row>
    <row r="59" spans="1:17" x14ac:dyDescent="0.25">
      <c r="A59" s="159" t="s">
        <v>350</v>
      </c>
      <c r="B59" s="159" t="s">
        <v>826</v>
      </c>
      <c r="C59" s="159" t="s">
        <v>351</v>
      </c>
      <c r="D59" s="32"/>
      <c r="E59" s="32"/>
      <c r="F59" s="32"/>
      <c r="G59" s="32"/>
      <c r="H59" s="32">
        <v>89112</v>
      </c>
      <c r="I59" s="32">
        <v>93192</v>
      </c>
      <c r="J59" s="32">
        <v>99288</v>
      </c>
      <c r="K59" s="32"/>
      <c r="L59" s="32"/>
      <c r="M59" s="32"/>
      <c r="N59" s="32"/>
      <c r="O59" s="32"/>
      <c r="Q59" s="32" t="str">
        <f>IF(A59="AmeriQual Foods",_xlfn.XLOOKUP(B59,Lookup!A:A,Lookup!B:B),_xlfn.XLOOKUP(B59,Lookup!M:M,Lookup!N:N))</f>
        <v xml:space="preserve">            (85120) FLB SPAGHETTI W/MEAT SAUCE</v>
      </c>
    </row>
    <row r="60" spans="1:17" x14ac:dyDescent="0.25">
      <c r="A60" s="159" t="s">
        <v>350</v>
      </c>
      <c r="B60" s="159" t="s">
        <v>1084</v>
      </c>
      <c r="C60" s="159" t="s">
        <v>351</v>
      </c>
      <c r="D60" s="32"/>
      <c r="E60" s="32"/>
      <c r="F60" s="32"/>
      <c r="G60" s="32"/>
      <c r="H60" s="32"/>
      <c r="I60" s="32"/>
      <c r="J60" s="32"/>
      <c r="K60" s="32"/>
      <c r="L60" s="32">
        <v>176832</v>
      </c>
      <c r="M60" s="32"/>
      <c r="N60" s="32"/>
      <c r="O60" s="32"/>
      <c r="Q60" s="32" t="str">
        <f>IF(A60="AmeriQual Foods",_xlfn.XLOOKUP(B60,Lookup!A:A,Lookup!B:B),_xlfn.XLOOKUP(B60,Lookup!M:M,Lookup!N:N))</f>
        <v xml:space="preserve">            (85120) FLB SPAGHETTI W/MEAT SAUCE</v>
      </c>
    </row>
    <row r="61" spans="1:17" x14ac:dyDescent="0.25">
      <c r="A61" s="159" t="s">
        <v>350</v>
      </c>
      <c r="B61" s="159" t="s">
        <v>231</v>
      </c>
      <c r="C61" s="159" t="s">
        <v>351</v>
      </c>
      <c r="D61" s="32"/>
      <c r="E61" s="32">
        <v>19608</v>
      </c>
      <c r="F61" s="32">
        <v>86112</v>
      </c>
      <c r="G61" s="32">
        <v>194328</v>
      </c>
      <c r="H61" s="32">
        <v>201192</v>
      </c>
      <c r="I61" s="32">
        <v>188472</v>
      </c>
      <c r="J61" s="32">
        <v>187056</v>
      </c>
      <c r="K61" s="32"/>
      <c r="L61" s="32"/>
      <c r="M61" s="32"/>
      <c r="N61" s="32"/>
      <c r="O61" s="32"/>
      <c r="Q61" s="32" t="str">
        <f>IF(A61="AmeriQual Foods",_xlfn.XLOOKUP(B61,Lookup!A:A,Lookup!B:B),_xlfn.XLOOKUP(B61,Lookup!M:M,Lookup!N:N))</f>
        <v xml:space="preserve">            (85125) FLB PASTA &amp; VEG</v>
      </c>
    </row>
    <row r="62" spans="1:17" x14ac:dyDescent="0.25">
      <c r="A62" s="159" t="s">
        <v>350</v>
      </c>
      <c r="B62" s="159" t="s">
        <v>229</v>
      </c>
      <c r="C62" s="159" t="s">
        <v>351</v>
      </c>
      <c r="D62" s="32">
        <v>196320</v>
      </c>
      <c r="E62" s="32">
        <v>134736</v>
      </c>
      <c r="F62" s="32"/>
      <c r="G62" s="32"/>
      <c r="H62" s="32"/>
      <c r="I62" s="32"/>
      <c r="J62" s="32"/>
      <c r="K62" s="32"/>
      <c r="L62" s="32">
        <v>628704</v>
      </c>
      <c r="M62" s="32">
        <v>619776</v>
      </c>
      <c r="N62" s="32"/>
      <c r="O62" s="32"/>
      <c r="Q62" s="32" t="str">
        <f>IF(A62="AmeriQual Foods",_xlfn.XLOOKUP(B62,Lookup!A:A,Lookup!B:B),_xlfn.XLOOKUP(B62,Lookup!M:M,Lookup!N:N))</f>
        <v xml:space="preserve">            (85125) FLB PASTA &amp; VEG</v>
      </c>
    </row>
    <row r="63" spans="1:17" x14ac:dyDescent="0.25">
      <c r="A63" s="159" t="s">
        <v>350</v>
      </c>
      <c r="B63" s="159" t="s">
        <v>154</v>
      </c>
      <c r="C63" s="159" t="s">
        <v>351</v>
      </c>
      <c r="D63" s="32">
        <v>21480</v>
      </c>
      <c r="E63" s="32"/>
      <c r="F63" s="32"/>
      <c r="G63" s="32"/>
      <c r="H63" s="32"/>
      <c r="I63" s="32"/>
      <c r="J63" s="32"/>
      <c r="K63" s="32"/>
      <c r="L63" s="32"/>
      <c r="M63" s="32">
        <v>27624</v>
      </c>
      <c r="N63" s="32"/>
      <c r="O63" s="32"/>
      <c r="Q63" s="32" t="str">
        <f>IF(A63="AmeriQual Foods",_xlfn.XLOOKUP(B63,Lookup!A:A,Lookup!B:B),_xlfn.XLOOKUP(B63,Lookup!M:M,Lookup!N:N))</f>
        <v>RePack</v>
      </c>
    </row>
    <row r="64" spans="1:17" x14ac:dyDescent="0.25">
      <c r="A64" s="159" t="s">
        <v>350</v>
      </c>
      <c r="B64" s="159" t="s">
        <v>238</v>
      </c>
      <c r="C64" s="159" t="s">
        <v>351</v>
      </c>
      <c r="D64" s="32"/>
      <c r="E64" s="32"/>
      <c r="F64" s="32">
        <v>369552</v>
      </c>
      <c r="G64" s="32"/>
      <c r="H64" s="32">
        <v>376512</v>
      </c>
      <c r="I64" s="32">
        <v>365736</v>
      </c>
      <c r="J64" s="32"/>
      <c r="K64" s="32"/>
      <c r="L64" s="32"/>
      <c r="M64" s="32"/>
      <c r="N64" s="32"/>
      <c r="O64" s="32"/>
      <c r="Q64" s="32" t="str">
        <f>IF(A64="AmeriQual Foods",_xlfn.XLOOKUP(B64,Lookup!A:A,Lookup!B:B),_xlfn.XLOOKUP(B64,Lookup!M:M,Lookup!N:N))</f>
        <v xml:space="preserve">            (85127) FLB SOUTHW CHIX W/RICE &amp; BEANS</v>
      </c>
    </row>
    <row r="65" spans="1:17" x14ac:dyDescent="0.25">
      <c r="A65" s="159" t="s">
        <v>350</v>
      </c>
      <c r="B65" s="159" t="s">
        <v>160</v>
      </c>
      <c r="C65" s="159" t="s">
        <v>351</v>
      </c>
      <c r="D65" s="32">
        <v>15312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Q65" s="32" t="str">
        <f>IF(A65="AmeriQual Foods",_xlfn.XLOOKUP(B65,Lookup!A:A,Lookup!B:B),_xlfn.XLOOKUP(B65,Lookup!M:M,Lookup!N:N))</f>
        <v>RePack</v>
      </c>
    </row>
    <row r="66" spans="1:17" x14ac:dyDescent="0.25">
      <c r="A66" s="159" t="s">
        <v>350</v>
      </c>
      <c r="B66" s="159" t="s">
        <v>240</v>
      </c>
      <c r="C66" s="159" t="s">
        <v>351</v>
      </c>
      <c r="D66" s="32"/>
      <c r="E66" s="32"/>
      <c r="F66" s="32">
        <v>87888</v>
      </c>
      <c r="G66" s="32">
        <v>196752</v>
      </c>
      <c r="H66" s="32">
        <v>289680</v>
      </c>
      <c r="I66" s="32">
        <v>166512</v>
      </c>
      <c r="J66" s="32"/>
      <c r="K66" s="32"/>
      <c r="L66" s="32"/>
      <c r="M66" s="32"/>
      <c r="N66" s="32"/>
      <c r="O66" s="32"/>
      <c r="Q66" s="32" t="str">
        <f>IF(A66="AmeriQual Foods",_xlfn.XLOOKUP(B66,Lookup!A:A,Lookup!B:B),_xlfn.XLOOKUP(B66,Lookup!M:M,Lookup!N:N))</f>
        <v xml:space="preserve">            (85205) FLB WHITE CHICKEN CHILI</v>
      </c>
    </row>
    <row r="67" spans="1:17" x14ac:dyDescent="0.25">
      <c r="A67" s="159" t="s">
        <v>350</v>
      </c>
      <c r="B67" s="159" t="s">
        <v>239</v>
      </c>
      <c r="C67" s="159" t="s">
        <v>351</v>
      </c>
      <c r="D67" s="32">
        <v>116544</v>
      </c>
      <c r="E67" s="32"/>
      <c r="F67" s="32"/>
      <c r="G67" s="32">
        <v>340032</v>
      </c>
      <c r="H67" s="32"/>
      <c r="I67" s="32"/>
      <c r="J67" s="32"/>
      <c r="K67" s="32"/>
      <c r="L67" s="32"/>
      <c r="M67" s="32">
        <v>324576</v>
      </c>
      <c r="N67" s="32"/>
      <c r="O67" s="32"/>
      <c r="Q67" s="32" t="str">
        <f>IF(A67="AmeriQual Foods",_xlfn.XLOOKUP(B67,Lookup!A:A,Lookup!B:B),_xlfn.XLOOKUP(B67,Lookup!M:M,Lookup!N:N))</f>
        <v xml:space="preserve">            (85205) FLB WHITE CHICKEN CHILI</v>
      </c>
    </row>
    <row r="68" spans="1:17" x14ac:dyDescent="0.25">
      <c r="A68" s="159" t="s">
        <v>350</v>
      </c>
      <c r="B68" s="159" t="s">
        <v>166</v>
      </c>
      <c r="C68" s="159" t="s">
        <v>351</v>
      </c>
      <c r="D68" s="32">
        <v>21504</v>
      </c>
      <c r="E68" s="32">
        <v>12288</v>
      </c>
      <c r="F68" s="32">
        <v>89088</v>
      </c>
      <c r="G68" s="32"/>
      <c r="H68" s="32"/>
      <c r="I68" s="32"/>
      <c r="J68" s="32"/>
      <c r="K68" s="32"/>
      <c r="L68" s="32">
        <v>52152</v>
      </c>
      <c r="M68" s="32">
        <v>104376</v>
      </c>
      <c r="N68" s="32">
        <v>52152</v>
      </c>
      <c r="O68" s="32"/>
      <c r="Q68" s="32" t="str">
        <f>IF(A68="AmeriQual Foods",_xlfn.XLOOKUP(B68,Lookup!A:A,Lookup!B:B),_xlfn.XLOOKUP(B68,Lookup!M:M,Lookup!N:N))</f>
        <v>RePack</v>
      </c>
    </row>
    <row r="69" spans="1:17" x14ac:dyDescent="0.25">
      <c r="A69" s="159" t="s">
        <v>350</v>
      </c>
      <c r="B69" s="159" t="s">
        <v>241</v>
      </c>
      <c r="C69" s="159" t="s">
        <v>351</v>
      </c>
      <c r="D69" s="32"/>
      <c r="E69" s="32"/>
      <c r="F69" s="32"/>
      <c r="G69" s="32"/>
      <c r="H69" s="32">
        <v>81024</v>
      </c>
      <c r="I69" s="32"/>
      <c r="J69" s="32"/>
      <c r="K69" s="32"/>
      <c r="L69" s="32">
        <v>101952</v>
      </c>
      <c r="M69" s="32"/>
      <c r="N69" s="32"/>
      <c r="O69" s="32"/>
      <c r="Q69" s="32" t="str">
        <f>IF(A69="AmeriQual Foods",_xlfn.XLOOKUP(B69,Lookup!A:A,Lookup!B:B),_xlfn.XLOOKUP(B69,Lookup!M:M,Lookup!N:N))</f>
        <v xml:space="preserve">            (85215) FLB CHILI W/BEANS</v>
      </c>
    </row>
    <row r="70" spans="1:17" x14ac:dyDescent="0.25">
      <c r="A70" s="159" t="s">
        <v>350</v>
      </c>
      <c r="B70" s="159" t="s">
        <v>243</v>
      </c>
      <c r="C70" s="159" t="s">
        <v>351</v>
      </c>
      <c r="D70" s="32"/>
      <c r="E70" s="32"/>
      <c r="F70" s="32">
        <v>121416</v>
      </c>
      <c r="G70" s="32">
        <v>102120</v>
      </c>
      <c r="H70" s="32"/>
      <c r="I70" s="32"/>
      <c r="J70" s="32"/>
      <c r="K70" s="32"/>
      <c r="L70" s="32"/>
      <c r="M70" s="32"/>
      <c r="N70" s="32"/>
      <c r="O70" s="32"/>
      <c r="Q70" s="32" t="str">
        <f>IF(A70="AmeriQual Foods",_xlfn.XLOOKUP(B70,Lookup!A:A,Lookup!B:B),_xlfn.XLOOKUP(B70,Lookup!M:M,Lookup!N:N))</f>
        <v xml:space="preserve">            (85215) FLB CHILI W/BEANS</v>
      </c>
    </row>
    <row r="71" spans="1:17" x14ac:dyDescent="0.25">
      <c r="A71" s="159" t="s">
        <v>350</v>
      </c>
      <c r="B71" s="159" t="s">
        <v>171</v>
      </c>
      <c r="C71" s="159" t="s">
        <v>351</v>
      </c>
      <c r="D71" s="32">
        <v>9192</v>
      </c>
      <c r="E71" s="32">
        <v>24528</v>
      </c>
      <c r="F71" s="32"/>
      <c r="G71" s="32"/>
      <c r="H71" s="32"/>
      <c r="I71" s="32"/>
      <c r="J71" s="32"/>
      <c r="K71" s="32"/>
      <c r="L71" s="32">
        <v>3072</v>
      </c>
      <c r="M71" s="32">
        <v>81624</v>
      </c>
      <c r="N71" s="32">
        <v>34512</v>
      </c>
      <c r="O71" s="32"/>
      <c r="Q71" s="32" t="str">
        <f>IF(A71="AmeriQual Foods",_xlfn.XLOOKUP(B71,Lookup!A:A,Lookup!B:B),_xlfn.XLOOKUP(B71,Lookup!M:M,Lookup!N:N))</f>
        <v>RePack</v>
      </c>
    </row>
    <row r="72" spans="1:17" x14ac:dyDescent="0.25">
      <c r="A72" s="159" t="s">
        <v>350</v>
      </c>
      <c r="B72" s="159" t="s">
        <v>244</v>
      </c>
      <c r="C72" s="159" t="s">
        <v>351</v>
      </c>
      <c r="D72" s="32">
        <v>206052</v>
      </c>
      <c r="E72" s="32"/>
      <c r="F72" s="32"/>
      <c r="G72" s="32">
        <v>101424</v>
      </c>
      <c r="H72" s="32">
        <v>266832</v>
      </c>
      <c r="I72" s="32"/>
      <c r="J72" s="32"/>
      <c r="K72" s="32"/>
      <c r="L72" s="32"/>
      <c r="M72" s="32"/>
      <c r="N72" s="32"/>
      <c r="O72" s="32"/>
      <c r="Q72" s="32" t="str">
        <f>IF(A72="AmeriQual Foods",_xlfn.XLOOKUP(B72,Lookup!A:A,Lookup!B:B),_xlfn.XLOOKUP(B72,Lookup!M:M,Lookup!N:N))</f>
        <v>X</v>
      </c>
    </row>
    <row r="73" spans="1:17" x14ac:dyDescent="0.25">
      <c r="A73" s="159" t="s">
        <v>350</v>
      </c>
      <c r="B73" s="159" t="s">
        <v>246</v>
      </c>
      <c r="C73" s="159" t="s">
        <v>351</v>
      </c>
      <c r="D73" s="32">
        <v>206052</v>
      </c>
      <c r="E73" s="32"/>
      <c r="F73" s="32"/>
      <c r="G73" s="32">
        <v>101424</v>
      </c>
      <c r="H73" s="32">
        <v>266832</v>
      </c>
      <c r="I73" s="32"/>
      <c r="J73" s="32"/>
      <c r="K73" s="32"/>
      <c r="L73" s="32"/>
      <c r="M73" s="32"/>
      <c r="N73" s="32"/>
      <c r="O73" s="32"/>
      <c r="Q73" s="32" t="str">
        <f>IF(A73="AmeriQual Foods",_xlfn.XLOOKUP(B73,Lookup!A:A,Lookup!B:B),_xlfn.XLOOKUP(B73,Lookup!M:M,Lookup!N:N))</f>
        <v xml:space="preserve">            (85210) FLB CHILI W/BEANS</v>
      </c>
    </row>
    <row r="74" spans="1:17" x14ac:dyDescent="0.25">
      <c r="A74" s="159" t="s">
        <v>350</v>
      </c>
      <c r="B74" s="159" t="s">
        <v>247</v>
      </c>
      <c r="C74" s="159" t="s">
        <v>351</v>
      </c>
      <c r="D74" s="32">
        <v>310968</v>
      </c>
      <c r="E74" s="32">
        <v>350424</v>
      </c>
      <c r="F74" s="32">
        <v>883560</v>
      </c>
      <c r="G74" s="32">
        <v>1205136</v>
      </c>
      <c r="H74" s="32">
        <v>493680</v>
      </c>
      <c r="I74" s="32">
        <v>1240200</v>
      </c>
      <c r="J74" s="32">
        <v>830064</v>
      </c>
      <c r="K74" s="32">
        <v>15432</v>
      </c>
      <c r="L74" s="32">
        <v>466320</v>
      </c>
      <c r="M74" s="32"/>
      <c r="N74" s="32"/>
      <c r="O74" s="32"/>
      <c r="Q74" s="32" t="str">
        <f>IF(A74="AmeriQual Foods",_xlfn.XLOOKUP(B74,Lookup!A:A,Lookup!B:B),_xlfn.XLOOKUP(B74,Lookup!M:M,Lookup!N:N))</f>
        <v>X</v>
      </c>
    </row>
    <row r="75" spans="1:17" x14ac:dyDescent="0.25">
      <c r="A75" s="159" t="s">
        <v>350</v>
      </c>
      <c r="B75" s="159" t="s">
        <v>248</v>
      </c>
      <c r="C75" s="159" t="s">
        <v>351</v>
      </c>
      <c r="D75" s="32">
        <v>178464</v>
      </c>
      <c r="E75" s="32"/>
      <c r="F75" s="32"/>
      <c r="G75" s="32">
        <v>492624</v>
      </c>
      <c r="H75" s="32"/>
      <c r="I75" s="32"/>
      <c r="J75" s="32"/>
      <c r="K75" s="32"/>
      <c r="L75" s="32"/>
      <c r="M75" s="32"/>
      <c r="N75" s="32"/>
      <c r="O75" s="32"/>
      <c r="Q75" s="32" t="str">
        <f>IF(A75="AmeriQual Foods",_xlfn.XLOOKUP(B75,Lookup!A:A,Lookup!B:B),_xlfn.XLOOKUP(B75,Lookup!M:M,Lookup!N:N))</f>
        <v xml:space="preserve">            (85211) FLB BEEF STEW</v>
      </c>
    </row>
    <row r="76" spans="1:17" x14ac:dyDescent="0.25">
      <c r="A76" s="159" t="s">
        <v>350</v>
      </c>
      <c r="B76" s="159" t="s">
        <v>249</v>
      </c>
      <c r="C76" s="159" t="s">
        <v>351</v>
      </c>
      <c r="D76" s="32"/>
      <c r="E76" s="32"/>
      <c r="F76" s="32">
        <v>210936</v>
      </c>
      <c r="G76" s="32">
        <v>205632</v>
      </c>
      <c r="H76" s="32">
        <v>98064</v>
      </c>
      <c r="I76" s="32"/>
      <c r="J76" s="32">
        <v>316464</v>
      </c>
      <c r="K76" s="32"/>
      <c r="L76" s="32"/>
      <c r="M76" s="32"/>
      <c r="N76" s="32"/>
      <c r="O76" s="32"/>
      <c r="Q76" s="32" t="str">
        <f>IF(A76="AmeriQual Foods",_xlfn.XLOOKUP(B76,Lookup!A:A,Lookup!B:B),_xlfn.XLOOKUP(B76,Lookup!M:M,Lookup!N:N))</f>
        <v xml:space="preserve">            (85211) FLB BEEF STEW</v>
      </c>
    </row>
    <row r="77" spans="1:17" x14ac:dyDescent="0.25">
      <c r="A77" s="159" t="s">
        <v>350</v>
      </c>
      <c r="B77" s="159" t="s">
        <v>178</v>
      </c>
      <c r="C77" s="159" t="s">
        <v>351</v>
      </c>
      <c r="D77" s="32">
        <v>24648</v>
      </c>
      <c r="E77" s="32">
        <v>70656</v>
      </c>
      <c r="F77" s="32">
        <v>52224</v>
      </c>
      <c r="G77" s="32"/>
      <c r="H77" s="32"/>
      <c r="I77" s="32"/>
      <c r="J77" s="32"/>
      <c r="K77" s="32"/>
      <c r="L77" s="32"/>
      <c r="M77" s="32"/>
      <c r="N77" s="32"/>
      <c r="O77" s="32"/>
      <c r="Q77" s="32" t="str">
        <f>IF(A77="AmeriQual Foods",_xlfn.XLOOKUP(B77,Lookup!A:A,Lookup!B:B),_xlfn.XLOOKUP(B77,Lookup!M:M,Lookup!N:N))</f>
        <v>RePack</v>
      </c>
    </row>
    <row r="78" spans="1:17" x14ac:dyDescent="0.25">
      <c r="A78" s="159" t="s">
        <v>350</v>
      </c>
      <c r="B78" s="159" t="s">
        <v>253</v>
      </c>
      <c r="C78" s="159" t="s">
        <v>351</v>
      </c>
      <c r="D78" s="32"/>
      <c r="E78" s="32">
        <v>107208</v>
      </c>
      <c r="F78" s="32">
        <v>420216</v>
      </c>
      <c r="G78" s="32">
        <v>97896</v>
      </c>
      <c r="H78" s="32">
        <v>104040</v>
      </c>
      <c r="I78" s="32">
        <v>772584</v>
      </c>
      <c r="J78" s="32">
        <v>409944</v>
      </c>
      <c r="K78" s="32"/>
      <c r="L78" s="32"/>
      <c r="M78" s="32"/>
      <c r="N78" s="32"/>
      <c r="O78" s="32"/>
      <c r="Q78" s="32" t="str">
        <f>IF(A78="AmeriQual Foods",_xlfn.XLOOKUP(B78,Lookup!A:A,Lookup!B:B),_xlfn.XLOOKUP(B78,Lookup!M:M,Lookup!N:N))</f>
        <v xml:space="preserve">            (85212) FLB SPAGHETTI IN TOMATO SAUCE</v>
      </c>
    </row>
    <row r="79" spans="1:17" x14ac:dyDescent="0.25">
      <c r="A79" s="159" t="s">
        <v>350</v>
      </c>
      <c r="B79" s="159" t="s">
        <v>254</v>
      </c>
      <c r="C79" s="159" t="s">
        <v>351</v>
      </c>
      <c r="D79" s="32">
        <v>95568</v>
      </c>
      <c r="E79" s="32"/>
      <c r="F79" s="32"/>
      <c r="G79" s="32">
        <v>129408</v>
      </c>
      <c r="H79" s="32"/>
      <c r="I79" s="32"/>
      <c r="J79" s="32"/>
      <c r="K79" s="32"/>
      <c r="L79" s="32"/>
      <c r="M79" s="32"/>
      <c r="N79" s="32"/>
      <c r="O79" s="32"/>
      <c r="Q79" s="32" t="str">
        <f>IF(A79="AmeriQual Foods",_xlfn.XLOOKUP(B79,Lookup!A:A,Lookup!B:B),_xlfn.XLOOKUP(B79,Lookup!M:M,Lookup!N:N))</f>
        <v xml:space="preserve">            (85213) FLB CHEESY MAC</v>
      </c>
    </row>
    <row r="80" spans="1:17" x14ac:dyDescent="0.25">
      <c r="A80" s="159" t="s">
        <v>350</v>
      </c>
      <c r="B80" s="159" t="s">
        <v>255</v>
      </c>
      <c r="C80" s="159" t="s">
        <v>351</v>
      </c>
      <c r="D80" s="32"/>
      <c r="E80" s="32">
        <v>172560</v>
      </c>
      <c r="F80" s="32">
        <v>101088</v>
      </c>
      <c r="G80" s="32">
        <v>279576</v>
      </c>
      <c r="H80" s="32">
        <v>190296</v>
      </c>
      <c r="I80" s="32">
        <v>467616</v>
      </c>
      <c r="J80" s="32">
        <v>103656</v>
      </c>
      <c r="K80" s="32"/>
      <c r="L80" s="32"/>
      <c r="M80" s="32"/>
      <c r="N80" s="32"/>
      <c r="O80" s="32"/>
      <c r="Q80" s="32" t="str">
        <f>IF(A80="AmeriQual Foods",_xlfn.XLOOKUP(B80,Lookup!A:A,Lookup!B:B),_xlfn.XLOOKUP(B80,Lookup!M:M,Lookup!N:N))</f>
        <v xml:space="preserve">            (85213) FLB CHEESY MAC</v>
      </c>
    </row>
    <row r="81" spans="1:17" x14ac:dyDescent="0.25">
      <c r="A81" s="159" t="s">
        <v>350</v>
      </c>
      <c r="B81" s="159" t="s">
        <v>187</v>
      </c>
      <c r="C81" s="159" t="s">
        <v>351</v>
      </c>
      <c r="D81" s="32">
        <v>12288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Q81" s="32" t="str">
        <f>IF(A81="AmeriQual Foods",_xlfn.XLOOKUP(B81,Lookup!A:A,Lookup!B:B),_xlfn.XLOOKUP(B81,Lookup!M:M,Lookup!N:N))</f>
        <v>RePack</v>
      </c>
    </row>
    <row r="82" spans="1:17" x14ac:dyDescent="0.25">
      <c r="A82" s="159" t="s">
        <v>350</v>
      </c>
      <c r="B82" s="159" t="s">
        <v>256</v>
      </c>
      <c r="C82" s="159" t="s">
        <v>351</v>
      </c>
      <c r="D82" s="32"/>
      <c r="E82" s="32"/>
      <c r="F82" s="32"/>
      <c r="G82" s="32"/>
      <c r="H82" s="32"/>
      <c r="I82" s="32"/>
      <c r="J82" s="32"/>
      <c r="K82" s="32"/>
      <c r="L82" s="32">
        <v>294816</v>
      </c>
      <c r="M82" s="32"/>
      <c r="N82" s="32"/>
      <c r="O82" s="32"/>
      <c r="Q82" s="32" t="str">
        <f>IF(A82="AmeriQual Foods",_xlfn.XLOOKUP(B82,Lookup!A:A,Lookup!B:B),_xlfn.XLOOKUP(B82,Lookup!M:M,Lookup!N:N))</f>
        <v xml:space="preserve">            (85216) FLB PIZZA MAC</v>
      </c>
    </row>
    <row r="83" spans="1:17" x14ac:dyDescent="0.25">
      <c r="A83" s="159" t="s">
        <v>350</v>
      </c>
      <c r="B83" s="159" t="s">
        <v>258</v>
      </c>
      <c r="C83" s="159" t="s">
        <v>351</v>
      </c>
      <c r="D83" s="32"/>
      <c r="E83" s="32"/>
      <c r="F83" s="32">
        <v>99096</v>
      </c>
      <c r="G83" s="32"/>
      <c r="H83" s="32">
        <v>101280</v>
      </c>
      <c r="I83" s="32"/>
      <c r="J83" s="32"/>
      <c r="K83" s="32"/>
      <c r="L83" s="32"/>
      <c r="M83" s="32"/>
      <c r="N83" s="32"/>
      <c r="O83" s="32"/>
      <c r="Q83" s="32" t="str">
        <f>IF(A83="AmeriQual Foods",_xlfn.XLOOKUP(B83,Lookup!A:A,Lookup!B:B),_xlfn.XLOOKUP(B83,Lookup!M:M,Lookup!N:N))</f>
        <v xml:space="preserve">            (85216) FLB PIZZA MAC</v>
      </c>
    </row>
    <row r="84" spans="1:17" x14ac:dyDescent="0.25">
      <c r="A84" s="159" t="s">
        <v>350</v>
      </c>
      <c r="B84" s="159" t="s">
        <v>942</v>
      </c>
      <c r="C84" s="159" t="s">
        <v>351</v>
      </c>
      <c r="D84" s="32"/>
      <c r="E84" s="32"/>
      <c r="F84" s="32"/>
      <c r="G84" s="32"/>
      <c r="H84" s="32"/>
      <c r="I84" s="32"/>
      <c r="J84" s="32"/>
      <c r="K84" s="32">
        <v>15432</v>
      </c>
      <c r="L84" s="32">
        <v>39936</v>
      </c>
      <c r="M84" s="32"/>
      <c r="N84" s="32"/>
      <c r="O84" s="32"/>
      <c r="Q84" s="32" t="str">
        <f>IF(A84="AmeriQual Foods",_xlfn.XLOOKUP(B84,Lookup!A:A,Lookup!B:B),_xlfn.XLOOKUP(B84,Lookup!M:M,Lookup!N:N))</f>
        <v>RePack</v>
      </c>
    </row>
    <row r="85" spans="1:17" x14ac:dyDescent="0.25">
      <c r="A85" s="159" t="s">
        <v>350</v>
      </c>
      <c r="B85" s="159" t="s">
        <v>1111</v>
      </c>
      <c r="C85" s="159" t="s">
        <v>351</v>
      </c>
      <c r="D85" s="32"/>
      <c r="E85" s="32"/>
      <c r="F85" s="32"/>
      <c r="G85" s="32"/>
      <c r="H85" s="32"/>
      <c r="I85" s="32"/>
      <c r="J85" s="32"/>
      <c r="K85" s="32"/>
      <c r="L85" s="32">
        <v>131568</v>
      </c>
      <c r="M85" s="32"/>
      <c r="N85" s="32"/>
      <c r="O85" s="32"/>
      <c r="Q85" s="32" t="str">
        <f>IF(A85="AmeriQual Foods",_xlfn.XLOOKUP(B85,Lookup!A:A,Lookup!B:B),_xlfn.XLOOKUP(B85,Lookup!M:M,Lookup!N:N))</f>
        <v xml:space="preserve">            (85220) FLB CHILI W/BEANS</v>
      </c>
    </row>
    <row r="86" spans="1:17" x14ac:dyDescent="0.25">
      <c r="A86" s="159" t="s">
        <v>350</v>
      </c>
      <c r="B86" s="159" t="s">
        <v>260</v>
      </c>
      <c r="C86" s="159" t="s">
        <v>351</v>
      </c>
      <c r="D86" s="32"/>
      <c r="E86" s="32"/>
      <c r="F86" s="32">
        <v>360288</v>
      </c>
      <c r="G86" s="32">
        <v>906768</v>
      </c>
      <c r="H86" s="32">
        <v>78720</v>
      </c>
      <c r="I86" s="32"/>
      <c r="J86" s="32"/>
      <c r="K86" s="32">
        <v>658680</v>
      </c>
      <c r="L86" s="32"/>
      <c r="M86" s="32"/>
      <c r="N86" s="32"/>
      <c r="O86" s="32"/>
      <c r="Q86" s="32" t="str">
        <f>IF(A86="AmeriQual Foods",_xlfn.XLOOKUP(B86,Lookup!A:A,Lookup!B:B),_xlfn.XLOOKUP(B86,Lookup!M:M,Lookup!N:N))</f>
        <v>x</v>
      </c>
    </row>
    <row r="87" spans="1:17" x14ac:dyDescent="0.25">
      <c r="A87" s="159" t="s">
        <v>350</v>
      </c>
      <c r="B87" s="159" t="s">
        <v>261</v>
      </c>
      <c r="C87" s="159" t="s">
        <v>351</v>
      </c>
      <c r="D87" s="32"/>
      <c r="E87" s="32"/>
      <c r="F87" s="32">
        <v>87048</v>
      </c>
      <c r="G87" s="32">
        <v>400680</v>
      </c>
      <c r="H87" s="32"/>
      <c r="I87" s="32"/>
      <c r="J87" s="32"/>
      <c r="K87" s="32">
        <v>232368</v>
      </c>
      <c r="L87" s="32"/>
      <c r="M87" s="32"/>
      <c r="N87" s="32"/>
      <c r="O87" s="32"/>
      <c r="Q87" s="32" t="str">
        <f>IF(A87="AmeriQual Foods",_xlfn.XLOOKUP(B87,Lookup!A:A,Lookup!B:B),_xlfn.XLOOKUP(B87,Lookup!M:M,Lookup!N:N))</f>
        <v xml:space="preserve">            (85200) TOMATO SOUP</v>
      </c>
    </row>
    <row r="88" spans="1:17" x14ac:dyDescent="0.25">
      <c r="A88" s="159" t="s">
        <v>350</v>
      </c>
      <c r="B88" s="159" t="s">
        <v>267</v>
      </c>
      <c r="C88" s="159" t="s">
        <v>351</v>
      </c>
      <c r="D88" s="32"/>
      <c r="E88" s="32"/>
      <c r="F88" s="32">
        <v>98136</v>
      </c>
      <c r="G88" s="32"/>
      <c r="H88" s="32">
        <v>78720</v>
      </c>
      <c r="I88" s="32"/>
      <c r="J88" s="32"/>
      <c r="K88" s="32"/>
      <c r="L88" s="32"/>
      <c r="M88" s="32"/>
      <c r="N88" s="32"/>
      <c r="O88" s="32"/>
      <c r="Q88" s="32" t="str">
        <f>IF(A88="AmeriQual Foods",_xlfn.XLOOKUP(B88,Lookup!A:A,Lookup!B:B),_xlfn.XLOOKUP(B88,Lookup!M:M,Lookup!N:N))</f>
        <v xml:space="preserve">            (85201) CREAM OF MUSHROOM SOUP</v>
      </c>
    </row>
    <row r="89" spans="1:17" x14ac:dyDescent="0.25">
      <c r="A89" s="159" t="s">
        <v>350</v>
      </c>
      <c r="B89" s="159" t="s">
        <v>266</v>
      </c>
      <c r="C89" s="159" t="s">
        <v>351</v>
      </c>
      <c r="D89" s="32"/>
      <c r="E89" s="32"/>
      <c r="F89" s="32">
        <v>99432</v>
      </c>
      <c r="G89" s="32">
        <v>407616</v>
      </c>
      <c r="H89" s="32"/>
      <c r="I89" s="32"/>
      <c r="J89" s="32"/>
      <c r="K89" s="32">
        <v>143448</v>
      </c>
      <c r="L89" s="32"/>
      <c r="M89" s="32"/>
      <c r="N89" s="32"/>
      <c r="O89" s="32"/>
      <c r="Q89" s="32" t="str">
        <f>IF(A89="AmeriQual Foods",_xlfn.XLOOKUP(B89,Lookup!A:A,Lookup!B:B),_xlfn.XLOOKUP(B89,Lookup!M:M,Lookup!N:N))</f>
        <v xml:space="preserve">            (85202) VEGETABLE SOUP</v>
      </c>
    </row>
    <row r="90" spans="1:17" x14ac:dyDescent="0.25">
      <c r="A90" s="159" t="s">
        <v>350</v>
      </c>
      <c r="B90" s="159" t="s">
        <v>269</v>
      </c>
      <c r="C90" s="159" t="s">
        <v>351</v>
      </c>
      <c r="D90" s="32"/>
      <c r="E90" s="32"/>
      <c r="F90" s="32">
        <v>75672</v>
      </c>
      <c r="G90" s="32">
        <v>98472</v>
      </c>
      <c r="H90" s="32"/>
      <c r="I90" s="32"/>
      <c r="J90" s="32"/>
      <c r="K90" s="32">
        <v>282864</v>
      </c>
      <c r="L90" s="32"/>
      <c r="M90" s="32"/>
      <c r="N90" s="32"/>
      <c r="O90" s="32"/>
      <c r="Q90" s="32" t="str">
        <f>IF(A90="AmeriQual Foods",_xlfn.XLOOKUP(B90,Lookup!A:A,Lookup!B:B),_xlfn.XLOOKUP(B90,Lookup!M:M,Lookup!N:N))</f>
        <v xml:space="preserve">            (85203) CHICKEN NOODLE SOUP</v>
      </c>
    </row>
    <row r="91" spans="1:17" x14ac:dyDescent="0.25">
      <c r="A91" s="159" t="s">
        <v>350</v>
      </c>
      <c r="B91" s="159" t="s">
        <v>345</v>
      </c>
      <c r="C91" s="159" t="s">
        <v>351</v>
      </c>
      <c r="D91" s="32"/>
      <c r="E91" s="32">
        <v>635920</v>
      </c>
      <c r="F91" s="32"/>
      <c r="G91" s="32"/>
      <c r="H91" s="32"/>
      <c r="I91" s="32">
        <v>465960</v>
      </c>
      <c r="J91" s="32">
        <v>100064</v>
      </c>
      <c r="K91" s="32"/>
      <c r="L91" s="32"/>
      <c r="M91" s="32"/>
      <c r="N91" s="32"/>
      <c r="O91" s="32"/>
      <c r="Q91" s="32" t="str">
        <f>IF(A91="AmeriQual Foods",_xlfn.XLOOKUP(B91,Lookup!A:A,Lookup!B:B),_xlfn.XLOOKUP(B91,Lookup!M:M,Lookup!N:N))</f>
        <v>x</v>
      </c>
    </row>
    <row r="92" spans="1:17" x14ac:dyDescent="0.25">
      <c r="A92" s="159" t="s">
        <v>350</v>
      </c>
      <c r="B92" s="159" t="s">
        <v>279</v>
      </c>
      <c r="C92" s="159" t="s">
        <v>351</v>
      </c>
      <c r="D92" s="32"/>
      <c r="E92" s="32">
        <v>635920</v>
      </c>
      <c r="F92" s="32"/>
      <c r="G92" s="32"/>
      <c r="H92" s="32"/>
      <c r="I92" s="32">
        <v>465960</v>
      </c>
      <c r="J92" s="32">
        <v>100064</v>
      </c>
      <c r="K92" s="32"/>
      <c r="L92" s="32"/>
      <c r="M92" s="32"/>
      <c r="N92" s="32"/>
      <c r="O92" s="32"/>
      <c r="Q92" s="32" t="str">
        <f>IF(A92="AmeriQual Foods",_xlfn.XLOOKUP(B92,Lookup!A:A,Lookup!B:B),_xlfn.XLOOKUP(B92,Lookup!M:M,Lookup!N:N))</f>
        <v>Luxfer Heater Meals</v>
      </c>
    </row>
    <row r="93" spans="1:17" x14ac:dyDescent="0.25">
      <c r="A93" s="159" t="s">
        <v>350</v>
      </c>
      <c r="B93" s="159" t="s">
        <v>376</v>
      </c>
      <c r="C93" s="159" t="s">
        <v>351</v>
      </c>
      <c r="D93" s="32"/>
      <c r="E93" s="32">
        <v>91520</v>
      </c>
      <c r="F93" s="32"/>
      <c r="G93" s="32"/>
      <c r="H93" s="32"/>
      <c r="I93" s="32"/>
      <c r="J93" s="32">
        <v>100064</v>
      </c>
      <c r="K93" s="32"/>
      <c r="L93" s="32"/>
      <c r="M93" s="32"/>
      <c r="N93" s="32"/>
      <c r="O93" s="32"/>
      <c r="Q93" s="32" t="e">
        <f>IF(A93="AmeriQual Foods",_xlfn.XLOOKUP(B93,Lookup!A:A,Lookup!B:B),_xlfn.XLOOKUP(B93,Lookup!M:M,Lookup!N:N))</f>
        <v>#N/A</v>
      </c>
    </row>
    <row r="94" spans="1:17" x14ac:dyDescent="0.25">
      <c r="A94" s="159" t="s">
        <v>350</v>
      </c>
      <c r="B94" s="159" t="s">
        <v>377</v>
      </c>
      <c r="C94" s="159" t="s">
        <v>351</v>
      </c>
      <c r="D94" s="32"/>
      <c r="E94" s="32">
        <v>99936</v>
      </c>
      <c r="F94" s="32"/>
      <c r="G94" s="32"/>
      <c r="H94" s="32"/>
      <c r="I94" s="32">
        <v>76960</v>
      </c>
      <c r="J94" s="32"/>
      <c r="K94" s="32"/>
      <c r="L94" s="32"/>
      <c r="M94" s="32"/>
      <c r="N94" s="32"/>
      <c r="O94" s="32"/>
      <c r="Q94" s="32" t="e">
        <f>IF(A94="AmeriQual Foods",_xlfn.XLOOKUP(B94,Lookup!A:A,Lookup!B:B),_xlfn.XLOOKUP(B94,Lookup!M:M,Lookup!N:N))</f>
        <v>#N/A</v>
      </c>
    </row>
    <row r="95" spans="1:17" x14ac:dyDescent="0.25">
      <c r="A95" s="159" t="s">
        <v>350</v>
      </c>
      <c r="B95" s="159" t="s">
        <v>378</v>
      </c>
      <c r="C95" s="159" t="s">
        <v>351</v>
      </c>
      <c r="D95" s="32"/>
      <c r="E95" s="32">
        <v>74208</v>
      </c>
      <c r="F95" s="32"/>
      <c r="G95" s="32"/>
      <c r="H95" s="32"/>
      <c r="I95" s="32">
        <v>88960</v>
      </c>
      <c r="J95" s="32"/>
      <c r="K95" s="32"/>
      <c r="L95" s="32"/>
      <c r="M95" s="32"/>
      <c r="N95" s="32"/>
      <c r="O95" s="32"/>
      <c r="Q95" s="32" t="e">
        <f>IF(A95="AmeriQual Foods",_xlfn.XLOOKUP(B95,Lookup!A:A,Lookup!B:B),_xlfn.XLOOKUP(B95,Lookup!M:M,Lookup!N:N))</f>
        <v>#N/A</v>
      </c>
    </row>
    <row r="96" spans="1:17" x14ac:dyDescent="0.25">
      <c r="A96" s="159" t="s">
        <v>350</v>
      </c>
      <c r="B96" s="159" t="s">
        <v>379</v>
      </c>
      <c r="C96" s="159" t="s">
        <v>351</v>
      </c>
      <c r="D96" s="32"/>
      <c r="E96" s="32">
        <v>204720</v>
      </c>
      <c r="F96" s="32"/>
      <c r="G96" s="32"/>
      <c r="H96" s="32"/>
      <c r="I96" s="32">
        <v>157320</v>
      </c>
      <c r="J96" s="32"/>
      <c r="K96" s="32"/>
      <c r="L96" s="32"/>
      <c r="M96" s="32"/>
      <c r="N96" s="32"/>
      <c r="O96" s="32"/>
      <c r="Q96" s="32" t="e">
        <f>IF(A96="AmeriQual Foods",_xlfn.XLOOKUP(B96,Lookup!A:A,Lookup!B:B),_xlfn.XLOOKUP(B96,Lookup!M:M,Lookup!N:N))</f>
        <v>#N/A</v>
      </c>
    </row>
    <row r="97" spans="1:17" x14ac:dyDescent="0.25">
      <c r="A97" s="159" t="s">
        <v>350</v>
      </c>
      <c r="B97" s="159" t="s">
        <v>380</v>
      </c>
      <c r="C97" s="159" t="s">
        <v>351</v>
      </c>
      <c r="D97" s="32"/>
      <c r="E97" s="32">
        <v>71232</v>
      </c>
      <c r="F97" s="32"/>
      <c r="G97" s="32"/>
      <c r="H97" s="32"/>
      <c r="I97" s="32">
        <v>65952</v>
      </c>
      <c r="J97" s="32"/>
      <c r="K97" s="32"/>
      <c r="L97" s="32"/>
      <c r="M97" s="32"/>
      <c r="N97" s="32"/>
      <c r="O97" s="32"/>
      <c r="Q97" s="32" t="e">
        <f>IF(A97="AmeriQual Foods",_xlfn.XLOOKUP(B97,Lookup!A:A,Lookup!B:B),_xlfn.XLOOKUP(B97,Lookup!M:M,Lookup!N:N))</f>
        <v>#N/A</v>
      </c>
    </row>
    <row r="98" spans="1:17" x14ac:dyDescent="0.25">
      <c r="A98" s="159" t="s">
        <v>350</v>
      </c>
      <c r="B98" s="159" t="s">
        <v>381</v>
      </c>
      <c r="C98" s="159" t="s">
        <v>351</v>
      </c>
      <c r="D98" s="32"/>
      <c r="E98" s="32">
        <v>94304</v>
      </c>
      <c r="F98" s="32"/>
      <c r="G98" s="32"/>
      <c r="H98" s="32"/>
      <c r="I98" s="32">
        <v>76768</v>
      </c>
      <c r="J98" s="32"/>
      <c r="K98" s="32"/>
      <c r="L98" s="32"/>
      <c r="M98" s="32"/>
      <c r="N98" s="32"/>
      <c r="O98" s="32"/>
      <c r="Q98" s="32" t="e">
        <f>IF(A98="AmeriQual Foods",_xlfn.XLOOKUP(B98,Lookup!A:A,Lookup!B:B),_xlfn.XLOOKUP(B98,Lookup!M:M,Lookup!N:N))</f>
        <v>#N/A</v>
      </c>
    </row>
    <row r="99" spans="1:17" x14ac:dyDescent="0.25">
      <c r="A99" s="159" t="s">
        <v>350</v>
      </c>
      <c r="B99" s="159" t="s">
        <v>488</v>
      </c>
      <c r="C99" s="159" t="s">
        <v>351</v>
      </c>
      <c r="D99" s="32"/>
      <c r="E99" s="32"/>
      <c r="F99" s="32"/>
      <c r="G99" s="32"/>
      <c r="H99" s="32">
        <v>31704</v>
      </c>
      <c r="I99" s="32"/>
      <c r="J99" s="32"/>
      <c r="K99" s="32"/>
      <c r="L99" s="32"/>
      <c r="M99" s="32"/>
      <c r="N99" s="32"/>
      <c r="O99" s="32"/>
      <c r="Q99" s="32" t="e">
        <f>IF(A99="AmeriQual Foods",_xlfn.XLOOKUP(B99,Lookup!A:A,Lookup!B:B),_xlfn.XLOOKUP(B99,Lookup!M:M,Lookup!N:N))</f>
        <v>#N/A</v>
      </c>
    </row>
    <row r="100" spans="1:17" x14ac:dyDescent="0.25">
      <c r="A100" s="159" t="s">
        <v>350</v>
      </c>
      <c r="B100" s="159" t="s">
        <v>827</v>
      </c>
      <c r="C100" s="159" t="s">
        <v>351</v>
      </c>
      <c r="D100" s="32"/>
      <c r="E100" s="32"/>
      <c r="F100" s="32"/>
      <c r="G100" s="32"/>
      <c r="H100" s="32">
        <v>31704</v>
      </c>
      <c r="I100" s="32"/>
      <c r="J100" s="32"/>
      <c r="K100" s="32"/>
      <c r="L100" s="32"/>
      <c r="M100" s="32"/>
      <c r="N100" s="32"/>
      <c r="O100" s="32"/>
      <c r="Q100" s="32" t="str">
        <f>IF(A100="AmeriQual Foods",_xlfn.XLOOKUP(B100,Lookup!A:A,Lookup!B:B),_xlfn.XLOOKUP(B100,Lookup!M:M,Lookup!N:N))</f>
        <v>FLB Oatmeal</v>
      </c>
    </row>
    <row r="101" spans="1:17" x14ac:dyDescent="0.25">
      <c r="A101" s="159" t="s">
        <v>350</v>
      </c>
      <c r="B101" s="159" t="s">
        <v>282</v>
      </c>
      <c r="C101" s="159" t="s">
        <v>351</v>
      </c>
      <c r="D101" s="32"/>
      <c r="E101" s="32">
        <v>245958</v>
      </c>
      <c r="F101" s="32">
        <v>238056</v>
      </c>
      <c r="G101" s="32"/>
      <c r="H101" s="32"/>
      <c r="I101" s="32"/>
      <c r="J101" s="32">
        <v>366060</v>
      </c>
      <c r="K101" s="32">
        <v>294432</v>
      </c>
      <c r="L101" s="32"/>
      <c r="M101" s="32">
        <v>797046</v>
      </c>
      <c r="N101" s="32">
        <v>357054</v>
      </c>
      <c r="O101" s="32"/>
      <c r="Q101" s="32" t="str">
        <f>IF(A101="AmeriQual Foods",_xlfn.XLOOKUP(B101,Lookup!A:A,Lookup!B:B),_xlfn.XLOOKUP(B101,Lookup!M:M,Lookup!N:N))</f>
        <v>My Own Meals</v>
      </c>
    </row>
    <row r="102" spans="1:17" x14ac:dyDescent="0.25">
      <c r="A102" s="159" t="s">
        <v>350</v>
      </c>
      <c r="B102" s="159" t="s">
        <v>556</v>
      </c>
      <c r="C102" s="159" t="s">
        <v>351</v>
      </c>
      <c r="D102" s="32"/>
      <c r="E102" s="32"/>
      <c r="F102" s="32">
        <v>16356</v>
      </c>
      <c r="G102" s="32"/>
      <c r="H102" s="32"/>
      <c r="I102" s="32"/>
      <c r="J102" s="32"/>
      <c r="K102" s="32"/>
      <c r="L102" s="32"/>
      <c r="M102" s="32"/>
      <c r="N102" s="32"/>
      <c r="O102" s="32"/>
      <c r="Q102" s="32" t="e">
        <f>IF(A102="AmeriQual Foods",_xlfn.XLOOKUP(B102,Lookup!A:A,Lookup!B:B),_xlfn.XLOOKUP(B102,Lookup!M:M,Lookup!N:N))</f>
        <v>#N/A</v>
      </c>
    </row>
    <row r="103" spans="1:17" x14ac:dyDescent="0.25">
      <c r="A103" s="159" t="s">
        <v>350</v>
      </c>
      <c r="B103" s="159" t="s">
        <v>557</v>
      </c>
      <c r="C103" s="159" t="s">
        <v>351</v>
      </c>
      <c r="D103" s="32"/>
      <c r="E103" s="32"/>
      <c r="F103" s="32">
        <v>15720</v>
      </c>
      <c r="G103" s="32"/>
      <c r="H103" s="32"/>
      <c r="I103" s="32"/>
      <c r="J103" s="32"/>
      <c r="K103" s="32"/>
      <c r="L103" s="32"/>
      <c r="M103" s="32"/>
      <c r="N103" s="32"/>
      <c r="O103" s="32"/>
      <c r="Q103" s="32" t="e">
        <f>IF(A103="AmeriQual Foods",_xlfn.XLOOKUP(B103,Lookup!A:A,Lookup!B:B),_xlfn.XLOOKUP(B103,Lookup!M:M,Lookup!N:N))</f>
        <v>#N/A</v>
      </c>
    </row>
    <row r="104" spans="1:17" x14ac:dyDescent="0.25">
      <c r="A104" s="159" t="s">
        <v>350</v>
      </c>
      <c r="B104" s="159" t="s">
        <v>383</v>
      </c>
      <c r="C104" s="159" t="s">
        <v>351</v>
      </c>
      <c r="D104" s="32"/>
      <c r="E104" s="32">
        <v>65880</v>
      </c>
      <c r="F104" s="32"/>
      <c r="G104" s="32"/>
      <c r="H104" s="32"/>
      <c r="I104" s="32"/>
      <c r="J104" s="32"/>
      <c r="K104" s="32">
        <v>71130</v>
      </c>
      <c r="L104" s="32"/>
      <c r="M104" s="32">
        <v>179580</v>
      </c>
      <c r="N104" s="32"/>
      <c r="O104" s="32"/>
      <c r="Q104" s="32" t="e">
        <f>IF(A104="AmeriQual Foods",_xlfn.XLOOKUP(B104,Lookup!A:A,Lookup!B:B),_xlfn.XLOOKUP(B104,Lookup!M:M,Lookup!N:N))</f>
        <v>#N/A</v>
      </c>
    </row>
    <row r="105" spans="1:17" x14ac:dyDescent="0.25">
      <c r="A105" s="159" t="s">
        <v>350</v>
      </c>
      <c r="B105" s="159" t="s">
        <v>384</v>
      </c>
      <c r="C105" s="159" t="s">
        <v>351</v>
      </c>
      <c r="D105" s="32"/>
      <c r="E105" s="32">
        <v>84486</v>
      </c>
      <c r="F105" s="32"/>
      <c r="G105" s="32"/>
      <c r="H105" s="32"/>
      <c r="I105" s="32"/>
      <c r="J105" s="32"/>
      <c r="K105" s="32"/>
      <c r="L105" s="32"/>
      <c r="M105" s="32">
        <v>179478</v>
      </c>
      <c r="N105" s="32"/>
      <c r="O105" s="32"/>
      <c r="Q105" s="32" t="e">
        <f>IF(A105="AmeriQual Foods",_xlfn.XLOOKUP(B105,Lookup!A:A,Lookup!B:B),_xlfn.XLOOKUP(B105,Lookup!M:M,Lookup!N:N))</f>
        <v>#N/A</v>
      </c>
    </row>
    <row r="106" spans="1:17" x14ac:dyDescent="0.25">
      <c r="A106" s="159" t="s">
        <v>350</v>
      </c>
      <c r="B106" s="159" t="s">
        <v>385</v>
      </c>
      <c r="C106" s="159" t="s">
        <v>351</v>
      </c>
      <c r="D106" s="32"/>
      <c r="E106" s="32">
        <v>62910</v>
      </c>
      <c r="F106" s="32"/>
      <c r="G106" s="32"/>
      <c r="H106" s="32"/>
      <c r="I106" s="32"/>
      <c r="J106" s="32"/>
      <c r="K106" s="32"/>
      <c r="L106" s="32"/>
      <c r="M106" s="32"/>
      <c r="N106" s="32">
        <v>175620</v>
      </c>
      <c r="O106" s="32"/>
      <c r="Q106" s="32" t="e">
        <f>IF(A106="AmeriQual Foods",_xlfn.XLOOKUP(B106,Lookup!A:A,Lookup!B:B),_xlfn.XLOOKUP(B106,Lookup!M:M,Lookup!N:N))</f>
        <v>#N/A</v>
      </c>
    </row>
    <row r="107" spans="1:17" x14ac:dyDescent="0.25">
      <c r="A107" s="159" t="s">
        <v>350</v>
      </c>
      <c r="B107" s="159" t="s">
        <v>1017</v>
      </c>
      <c r="C107" s="159" t="s">
        <v>351</v>
      </c>
      <c r="D107" s="32"/>
      <c r="E107" s="32"/>
      <c r="F107" s="32"/>
      <c r="G107" s="32"/>
      <c r="H107" s="32"/>
      <c r="I107" s="32"/>
      <c r="J107" s="32"/>
      <c r="K107" s="32">
        <v>70386</v>
      </c>
      <c r="L107" s="32"/>
      <c r="M107" s="32"/>
      <c r="N107" s="32">
        <v>90318</v>
      </c>
      <c r="O107" s="32"/>
      <c r="Q107" s="32" t="e">
        <f>IF(A107="AmeriQual Foods",_xlfn.XLOOKUP(B107,Lookup!A:A,Lookup!B:B),_xlfn.XLOOKUP(B107,Lookup!M:M,Lookup!N:N))</f>
        <v>#N/A</v>
      </c>
    </row>
    <row r="108" spans="1:17" x14ac:dyDescent="0.25">
      <c r="A108" s="159" t="s">
        <v>350</v>
      </c>
      <c r="B108" s="159" t="s">
        <v>1018</v>
      </c>
      <c r="C108" s="159" t="s">
        <v>351</v>
      </c>
      <c r="D108" s="32"/>
      <c r="E108" s="32"/>
      <c r="F108" s="32"/>
      <c r="G108" s="32"/>
      <c r="H108" s="32"/>
      <c r="I108" s="32"/>
      <c r="J108" s="32"/>
      <c r="K108" s="32">
        <v>71880</v>
      </c>
      <c r="L108" s="32"/>
      <c r="M108" s="32"/>
      <c r="N108" s="32">
        <v>91116</v>
      </c>
      <c r="O108" s="32"/>
      <c r="Q108" s="32" t="e">
        <f>IF(A108="AmeriQual Foods",_xlfn.XLOOKUP(B108,Lookup!A:A,Lookup!B:B),_xlfn.XLOOKUP(B108,Lookup!M:M,Lookup!N:N))</f>
        <v>#N/A</v>
      </c>
    </row>
    <row r="109" spans="1:17" x14ac:dyDescent="0.25">
      <c r="A109" s="159" t="s">
        <v>350</v>
      </c>
      <c r="B109" s="159" t="s">
        <v>1019</v>
      </c>
      <c r="C109" s="159" t="s">
        <v>351</v>
      </c>
      <c r="D109" s="32"/>
      <c r="E109" s="32"/>
      <c r="F109" s="32"/>
      <c r="G109" s="32"/>
      <c r="H109" s="32"/>
      <c r="I109" s="32"/>
      <c r="J109" s="32"/>
      <c r="K109" s="32">
        <v>81036</v>
      </c>
      <c r="L109" s="32"/>
      <c r="M109" s="32"/>
      <c r="N109" s="32"/>
      <c r="O109" s="32"/>
      <c r="Q109" s="32" t="e">
        <f>IF(A109="AmeriQual Foods",_xlfn.XLOOKUP(B109,Lookup!A:A,Lookup!B:B),_xlfn.XLOOKUP(B109,Lookup!M:M,Lookup!N:N))</f>
        <v>#N/A</v>
      </c>
    </row>
    <row r="110" spans="1:17" x14ac:dyDescent="0.25">
      <c r="A110" s="159" t="s">
        <v>350</v>
      </c>
      <c r="B110" s="159" t="s">
        <v>943</v>
      </c>
      <c r="C110" s="159" t="s">
        <v>351</v>
      </c>
      <c r="D110" s="32"/>
      <c r="E110" s="32"/>
      <c r="F110" s="32"/>
      <c r="G110" s="32"/>
      <c r="H110" s="32"/>
      <c r="I110" s="32"/>
      <c r="J110" s="32">
        <v>56784</v>
      </c>
      <c r="K110" s="32"/>
      <c r="L110" s="32"/>
      <c r="M110" s="32">
        <v>158238</v>
      </c>
      <c r="N110" s="32"/>
      <c r="O110" s="32"/>
      <c r="Q110" s="32" t="e">
        <f>IF(A110="AmeriQual Foods",_xlfn.XLOOKUP(B110,Lookup!A:A,Lookup!B:B),_xlfn.XLOOKUP(B110,Lookup!M:M,Lookup!N:N))</f>
        <v>#N/A</v>
      </c>
    </row>
    <row r="111" spans="1:17" x14ac:dyDescent="0.25">
      <c r="A111" s="159" t="s">
        <v>350</v>
      </c>
      <c r="B111" s="159" t="s">
        <v>558</v>
      </c>
      <c r="C111" s="159" t="s">
        <v>351</v>
      </c>
      <c r="D111" s="32"/>
      <c r="E111" s="32">
        <v>16860</v>
      </c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Q111" s="32" t="e">
        <f>IF(A111="AmeriQual Foods",_xlfn.XLOOKUP(B111,Lookup!A:A,Lookup!B:B),_xlfn.XLOOKUP(B111,Lookup!M:M,Lookup!N:N))</f>
        <v>#N/A</v>
      </c>
    </row>
    <row r="112" spans="1:17" x14ac:dyDescent="0.25">
      <c r="A112" s="159" t="s">
        <v>350</v>
      </c>
      <c r="B112" s="159" t="s">
        <v>559</v>
      </c>
      <c r="C112" s="159" t="s">
        <v>351</v>
      </c>
      <c r="D112" s="32"/>
      <c r="E112" s="32"/>
      <c r="F112" s="32">
        <v>81486</v>
      </c>
      <c r="G112" s="32"/>
      <c r="H112" s="32"/>
      <c r="I112" s="32"/>
      <c r="J112" s="32">
        <v>82428</v>
      </c>
      <c r="K112" s="32"/>
      <c r="L112" s="32"/>
      <c r="M112" s="32">
        <v>189750</v>
      </c>
      <c r="N112" s="32"/>
      <c r="O112" s="32"/>
      <c r="Q112" s="32" t="e">
        <f>IF(A112="AmeriQual Foods",_xlfn.XLOOKUP(B112,Lookup!A:A,Lookup!B:B),_xlfn.XLOOKUP(B112,Lookup!M:M,Lookup!N:N))</f>
        <v>#N/A</v>
      </c>
    </row>
    <row r="113" spans="1:17" x14ac:dyDescent="0.25">
      <c r="A113" s="159" t="s">
        <v>350</v>
      </c>
      <c r="B113" s="159" t="s">
        <v>560</v>
      </c>
      <c r="C113" s="159" t="s">
        <v>351</v>
      </c>
      <c r="D113" s="32"/>
      <c r="E113" s="32">
        <v>15822</v>
      </c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Q113" s="32" t="e">
        <f>IF(A113="AmeriQual Foods",_xlfn.XLOOKUP(B113,Lookup!A:A,Lookup!B:B),_xlfn.XLOOKUP(B113,Lookup!M:M,Lookup!N:N))</f>
        <v>#N/A</v>
      </c>
    </row>
    <row r="114" spans="1:17" x14ac:dyDescent="0.25">
      <c r="A114" s="159" t="s">
        <v>350</v>
      </c>
      <c r="B114" s="159" t="s">
        <v>561</v>
      </c>
      <c r="C114" s="159" t="s">
        <v>351</v>
      </c>
      <c r="D114" s="32"/>
      <c r="E114" s="32"/>
      <c r="F114" s="32">
        <v>92034</v>
      </c>
      <c r="G114" s="32"/>
      <c r="H114" s="32"/>
      <c r="I114" s="32"/>
      <c r="J114" s="32">
        <v>162534</v>
      </c>
      <c r="K114" s="32"/>
      <c r="L114" s="32"/>
      <c r="M114" s="32"/>
      <c r="N114" s="32"/>
      <c r="O114" s="32"/>
      <c r="Q114" s="32" t="e">
        <f>IF(A114="AmeriQual Foods",_xlfn.XLOOKUP(B114,Lookup!A:A,Lookup!B:B),_xlfn.XLOOKUP(B114,Lookup!M:M,Lookup!N:N))</f>
        <v>#N/A</v>
      </c>
    </row>
    <row r="115" spans="1:17" x14ac:dyDescent="0.25">
      <c r="A115" s="159" t="s">
        <v>350</v>
      </c>
      <c r="B115" s="159" t="s">
        <v>562</v>
      </c>
      <c r="C115" s="159" t="s">
        <v>351</v>
      </c>
      <c r="D115" s="32"/>
      <c r="E115" s="32"/>
      <c r="F115" s="32">
        <v>16080</v>
      </c>
      <c r="G115" s="32"/>
      <c r="H115" s="32"/>
      <c r="I115" s="32"/>
      <c r="J115" s="32"/>
      <c r="K115" s="32"/>
      <c r="L115" s="32"/>
      <c r="M115" s="32">
        <v>90000</v>
      </c>
      <c r="N115" s="32"/>
      <c r="O115" s="32"/>
      <c r="Q115" s="32" t="e">
        <f>IF(A115="AmeriQual Foods",_xlfn.XLOOKUP(B115,Lookup!A:A,Lookup!B:B),_xlfn.XLOOKUP(B115,Lookup!M:M,Lookup!N:N))</f>
        <v>#N/A</v>
      </c>
    </row>
    <row r="116" spans="1:17" x14ac:dyDescent="0.25">
      <c r="A116" s="159" t="s">
        <v>350</v>
      </c>
      <c r="B116" s="159" t="s">
        <v>944</v>
      </c>
      <c r="C116" s="159" t="s">
        <v>351</v>
      </c>
      <c r="D116" s="32"/>
      <c r="E116" s="32"/>
      <c r="F116" s="32"/>
      <c r="G116" s="32"/>
      <c r="H116" s="32"/>
      <c r="I116" s="32"/>
      <c r="J116" s="32">
        <v>64314</v>
      </c>
      <c r="K116" s="32"/>
      <c r="L116" s="32"/>
      <c r="M116" s="32"/>
      <c r="N116" s="32"/>
      <c r="O116" s="32"/>
      <c r="Q116" s="32" t="e">
        <f>IF(A116="AmeriQual Foods",_xlfn.XLOOKUP(B116,Lookup!A:A,Lookup!B:B),_xlfn.XLOOKUP(B116,Lookup!M:M,Lookup!N:N))</f>
        <v>#N/A</v>
      </c>
    </row>
    <row r="117" spans="1:17" x14ac:dyDescent="0.25">
      <c r="A117" s="159" t="s">
        <v>350</v>
      </c>
      <c r="B117" s="159" t="s">
        <v>563</v>
      </c>
      <c r="C117" s="159" t="s">
        <v>351</v>
      </c>
      <c r="D117" s="32"/>
      <c r="E117" s="32"/>
      <c r="F117" s="32">
        <v>16380</v>
      </c>
      <c r="G117" s="32"/>
      <c r="H117" s="32"/>
      <c r="I117" s="32"/>
      <c r="J117" s="32"/>
      <c r="K117" s="32"/>
      <c r="L117" s="32"/>
      <c r="M117" s="32"/>
      <c r="N117" s="32"/>
      <c r="O117" s="32"/>
      <c r="Q117" s="32" t="e">
        <f>IF(A117="AmeriQual Foods",_xlfn.XLOOKUP(B117,Lookup!A:A,Lookup!B:B),_xlfn.XLOOKUP(B117,Lookup!M:M,Lookup!N:N))</f>
        <v>#N/A</v>
      </c>
    </row>
    <row r="118" spans="1:17" x14ac:dyDescent="0.25">
      <c r="A118" s="159" t="s">
        <v>350</v>
      </c>
      <c r="B118" s="159" t="s">
        <v>221</v>
      </c>
      <c r="C118" s="159" t="s">
        <v>351</v>
      </c>
      <c r="D118" s="32">
        <v>2129288</v>
      </c>
      <c r="E118" s="32">
        <v>1744886</v>
      </c>
      <c r="F118" s="32">
        <v>2014271</v>
      </c>
      <c r="G118" s="32">
        <v>2074760</v>
      </c>
      <c r="H118" s="32">
        <v>2742314</v>
      </c>
      <c r="I118" s="32">
        <v>2834443</v>
      </c>
      <c r="J118" s="32">
        <v>2723398</v>
      </c>
      <c r="K118" s="32">
        <v>987132</v>
      </c>
      <c r="L118" s="32">
        <v>1368175</v>
      </c>
      <c r="M118" s="32">
        <v>1690446</v>
      </c>
      <c r="N118" s="32">
        <v>580848</v>
      </c>
      <c r="O118" s="32"/>
      <c r="Q118" s="32" t="str">
        <f>IF(A118="AmeriQual Foods",_xlfn.XLOOKUP(B118,Lookup!A:A,Lookup!B:B),_xlfn.XLOOKUP(B118,Lookup!M:M,Lookup!N:N))</f>
        <v>MRE Base</v>
      </c>
    </row>
    <row r="119" spans="1:17" x14ac:dyDescent="0.25">
      <c r="A119" s="159" t="s">
        <v>350</v>
      </c>
      <c r="B119" s="159" t="s">
        <v>386</v>
      </c>
      <c r="C119" s="159" t="s">
        <v>351</v>
      </c>
      <c r="D119" s="32">
        <v>105179</v>
      </c>
      <c r="E119" s="32">
        <v>264309</v>
      </c>
      <c r="F119" s="32">
        <v>178448</v>
      </c>
      <c r="G119" s="32"/>
      <c r="H119" s="32">
        <v>302760</v>
      </c>
      <c r="I119" s="32">
        <v>161830</v>
      </c>
      <c r="J119" s="32">
        <v>186825</v>
      </c>
      <c r="K119" s="32">
        <v>90935</v>
      </c>
      <c r="L119" s="32">
        <v>86256</v>
      </c>
      <c r="M119" s="32">
        <v>190243</v>
      </c>
      <c r="N119" s="32">
        <v>106248</v>
      </c>
      <c r="O119" s="32"/>
      <c r="Q119" s="32" t="e">
        <f>IF(A119="AmeriQual Foods",_xlfn.XLOOKUP(B119,Lookup!A:A,Lookup!B:B),_xlfn.XLOOKUP(B119,Lookup!M:M,Lookup!N:N))</f>
        <v>#N/A</v>
      </c>
    </row>
    <row r="120" spans="1:17" x14ac:dyDescent="0.25">
      <c r="A120" s="159" t="s">
        <v>350</v>
      </c>
      <c r="B120" s="159" t="s">
        <v>387</v>
      </c>
      <c r="C120" s="159" t="s">
        <v>351</v>
      </c>
      <c r="D120" s="32">
        <v>107257</v>
      </c>
      <c r="E120" s="32"/>
      <c r="F120" s="32">
        <v>208240</v>
      </c>
      <c r="G120" s="32">
        <v>107067</v>
      </c>
      <c r="H120" s="32">
        <v>196133</v>
      </c>
      <c r="I120" s="32">
        <v>352411</v>
      </c>
      <c r="J120" s="32"/>
      <c r="K120" s="32">
        <v>107224</v>
      </c>
      <c r="L120" s="32">
        <v>214791</v>
      </c>
      <c r="M120" s="32">
        <v>105323</v>
      </c>
      <c r="N120" s="32">
        <v>112624</v>
      </c>
      <c r="O120" s="32"/>
      <c r="Q120" s="32" t="e">
        <f>IF(A120="AmeriQual Foods",_xlfn.XLOOKUP(B120,Lookup!A:A,Lookup!B:B),_xlfn.XLOOKUP(B120,Lookup!M:M,Lookup!N:N))</f>
        <v>#N/A</v>
      </c>
    </row>
    <row r="121" spans="1:17" x14ac:dyDescent="0.25">
      <c r="A121" s="159" t="s">
        <v>350</v>
      </c>
      <c r="B121" s="159" t="s">
        <v>388</v>
      </c>
      <c r="C121" s="159" t="s">
        <v>351</v>
      </c>
      <c r="D121" s="32">
        <v>142100</v>
      </c>
      <c r="E121" s="32">
        <v>105501</v>
      </c>
      <c r="F121" s="32">
        <v>203852</v>
      </c>
      <c r="G121" s="32">
        <v>104190</v>
      </c>
      <c r="H121" s="32">
        <v>137431</v>
      </c>
      <c r="I121" s="32">
        <v>214834</v>
      </c>
      <c r="J121" s="32">
        <v>92092</v>
      </c>
      <c r="K121" s="32">
        <v>103185</v>
      </c>
      <c r="L121" s="32">
        <v>100015</v>
      </c>
      <c r="M121" s="32">
        <v>103453</v>
      </c>
      <c r="N121" s="32"/>
      <c r="O121" s="32"/>
      <c r="Q121" s="32" t="e">
        <f>IF(A121="AmeriQual Foods",_xlfn.XLOOKUP(B121,Lookup!A:A,Lookup!B:B),_xlfn.XLOOKUP(B121,Lookup!M:M,Lookup!N:N))</f>
        <v>#N/A</v>
      </c>
    </row>
    <row r="122" spans="1:17" x14ac:dyDescent="0.25">
      <c r="A122" s="159" t="s">
        <v>350</v>
      </c>
      <c r="B122" s="159" t="s">
        <v>389</v>
      </c>
      <c r="C122" s="159" t="s">
        <v>351</v>
      </c>
      <c r="D122" s="32">
        <v>104523</v>
      </c>
      <c r="E122" s="32">
        <v>208270</v>
      </c>
      <c r="F122" s="32">
        <v>105054</v>
      </c>
      <c r="G122" s="32">
        <v>104090</v>
      </c>
      <c r="H122" s="32">
        <v>177929</v>
      </c>
      <c r="I122" s="32">
        <v>243257</v>
      </c>
      <c r="J122" s="32">
        <v>296277</v>
      </c>
      <c r="K122" s="32"/>
      <c r="L122" s="32"/>
      <c r="M122" s="32">
        <v>102444</v>
      </c>
      <c r="N122" s="32">
        <v>97695</v>
      </c>
      <c r="O122" s="32"/>
      <c r="Q122" s="32" t="e">
        <f>IF(A122="AmeriQual Foods",_xlfn.XLOOKUP(B122,Lookup!A:A,Lookup!B:B),_xlfn.XLOOKUP(B122,Lookup!M:M,Lookup!N:N))</f>
        <v>#N/A</v>
      </c>
    </row>
    <row r="123" spans="1:17" x14ac:dyDescent="0.25">
      <c r="A123" s="159" t="s">
        <v>350</v>
      </c>
      <c r="B123" s="159" t="s">
        <v>1020</v>
      </c>
      <c r="C123" s="159" t="s">
        <v>351</v>
      </c>
      <c r="D123" s="32"/>
      <c r="E123" s="32"/>
      <c r="F123" s="32"/>
      <c r="G123" s="32"/>
      <c r="H123" s="32"/>
      <c r="I123" s="32"/>
      <c r="J123" s="32"/>
      <c r="K123" s="32">
        <v>4318</v>
      </c>
      <c r="L123" s="32"/>
      <c r="M123" s="32"/>
      <c r="N123" s="32"/>
      <c r="O123" s="32"/>
      <c r="Q123" s="32" t="e">
        <f>IF(A123="AmeriQual Foods",_xlfn.XLOOKUP(B123,Lookup!A:A,Lookup!B:B),_xlfn.XLOOKUP(B123,Lookup!M:M,Lookup!N:N))</f>
        <v>#N/A</v>
      </c>
    </row>
    <row r="124" spans="1:17" x14ac:dyDescent="0.25">
      <c r="A124" s="159" t="s">
        <v>350</v>
      </c>
      <c r="B124" s="159" t="s">
        <v>390</v>
      </c>
      <c r="C124" s="159" t="s">
        <v>351</v>
      </c>
      <c r="D124" s="32">
        <v>182835</v>
      </c>
      <c r="E124" s="32">
        <v>96244</v>
      </c>
      <c r="F124" s="32">
        <v>192500</v>
      </c>
      <c r="G124" s="32">
        <v>98726</v>
      </c>
      <c r="H124" s="32">
        <v>239069</v>
      </c>
      <c r="I124" s="32">
        <v>184752</v>
      </c>
      <c r="J124" s="32">
        <v>209999</v>
      </c>
      <c r="K124" s="32">
        <v>102535</v>
      </c>
      <c r="L124" s="32">
        <v>164415</v>
      </c>
      <c r="M124" s="32">
        <v>73616</v>
      </c>
      <c r="N124" s="32">
        <v>102561</v>
      </c>
      <c r="O124" s="32"/>
      <c r="Q124" s="32" t="e">
        <f>IF(A124="AmeriQual Foods",_xlfn.XLOOKUP(B124,Lookup!A:A,Lookup!B:B),_xlfn.XLOOKUP(B124,Lookup!M:M,Lookup!N:N))</f>
        <v>#N/A</v>
      </c>
    </row>
    <row r="125" spans="1:17" x14ac:dyDescent="0.25">
      <c r="A125" s="159" t="s">
        <v>350</v>
      </c>
      <c r="B125" s="159" t="s">
        <v>1021</v>
      </c>
      <c r="C125" s="159" t="s">
        <v>351</v>
      </c>
      <c r="D125" s="32"/>
      <c r="E125" s="32"/>
      <c r="F125" s="32"/>
      <c r="G125" s="32"/>
      <c r="H125" s="32"/>
      <c r="I125" s="32"/>
      <c r="J125" s="32"/>
      <c r="K125" s="32">
        <v>6159</v>
      </c>
      <c r="L125" s="32"/>
      <c r="M125" s="32"/>
      <c r="N125" s="32"/>
      <c r="O125" s="32"/>
      <c r="Q125" s="32" t="e">
        <f>IF(A125="AmeriQual Foods",_xlfn.XLOOKUP(B125,Lookup!A:A,Lookup!B:B),_xlfn.XLOOKUP(B125,Lookup!M:M,Lookup!N:N))</f>
        <v>#N/A</v>
      </c>
    </row>
    <row r="126" spans="1:17" x14ac:dyDescent="0.25">
      <c r="A126" s="159" t="s">
        <v>350</v>
      </c>
      <c r="B126" s="159" t="s">
        <v>1022</v>
      </c>
      <c r="C126" s="159" t="s">
        <v>351</v>
      </c>
      <c r="D126" s="32"/>
      <c r="E126" s="32"/>
      <c r="F126" s="32"/>
      <c r="G126" s="32"/>
      <c r="H126" s="32"/>
      <c r="I126" s="32"/>
      <c r="J126" s="32"/>
      <c r="K126" s="32">
        <v>7956</v>
      </c>
      <c r="L126" s="32"/>
      <c r="M126" s="32"/>
      <c r="N126" s="32"/>
      <c r="O126" s="32"/>
      <c r="Q126" s="32" t="e">
        <f>IF(A126="AmeriQual Foods",_xlfn.XLOOKUP(B126,Lookup!A:A,Lookup!B:B),_xlfn.XLOOKUP(B126,Lookup!M:M,Lookup!N:N))</f>
        <v>#N/A</v>
      </c>
    </row>
    <row r="127" spans="1:17" x14ac:dyDescent="0.25">
      <c r="A127" s="159" t="s">
        <v>350</v>
      </c>
      <c r="B127" s="159" t="s">
        <v>391</v>
      </c>
      <c r="C127" s="159" t="s">
        <v>351</v>
      </c>
      <c r="D127" s="32">
        <v>200617</v>
      </c>
      <c r="E127" s="32">
        <v>102530</v>
      </c>
      <c r="F127" s="32">
        <v>148114</v>
      </c>
      <c r="G127" s="32">
        <v>215981</v>
      </c>
      <c r="H127" s="32">
        <v>182471</v>
      </c>
      <c r="I127" s="32">
        <v>172942</v>
      </c>
      <c r="J127" s="32">
        <v>283557</v>
      </c>
      <c r="K127" s="32"/>
      <c r="L127" s="32">
        <v>186809</v>
      </c>
      <c r="M127" s="32">
        <v>104252</v>
      </c>
      <c r="N127" s="32"/>
      <c r="O127" s="32"/>
      <c r="Q127" s="32" t="e">
        <f>IF(A127="AmeriQual Foods",_xlfn.XLOOKUP(B127,Lookup!A:A,Lookup!B:B),_xlfn.XLOOKUP(B127,Lookup!M:M,Lookup!N:N))</f>
        <v>#N/A</v>
      </c>
    </row>
    <row r="128" spans="1:17" x14ac:dyDescent="0.25">
      <c r="A128" s="159" t="s">
        <v>350</v>
      </c>
      <c r="B128" s="159" t="s">
        <v>1023</v>
      </c>
      <c r="C128" s="159" t="s">
        <v>351</v>
      </c>
      <c r="D128" s="32"/>
      <c r="E128" s="32"/>
      <c r="F128" s="32"/>
      <c r="G128" s="32"/>
      <c r="H128" s="32"/>
      <c r="I128" s="32"/>
      <c r="J128" s="32"/>
      <c r="K128" s="32">
        <v>7722</v>
      </c>
      <c r="L128" s="32"/>
      <c r="M128" s="32"/>
      <c r="N128" s="32"/>
      <c r="O128" s="32"/>
      <c r="Q128" s="32" t="e">
        <f>IF(A128="AmeriQual Foods",_xlfn.XLOOKUP(B128,Lookup!A:A,Lookup!B:B),_xlfn.XLOOKUP(B128,Lookup!M:M,Lookup!N:N))</f>
        <v>#N/A</v>
      </c>
    </row>
    <row r="129" spans="1:17" x14ac:dyDescent="0.25">
      <c r="A129" s="159" t="s">
        <v>350</v>
      </c>
      <c r="B129" s="159" t="s">
        <v>392</v>
      </c>
      <c r="C129" s="159" t="s">
        <v>351</v>
      </c>
      <c r="D129" s="32">
        <v>105467</v>
      </c>
      <c r="E129" s="32">
        <v>173382</v>
      </c>
      <c r="F129" s="32">
        <v>103038</v>
      </c>
      <c r="G129" s="32">
        <v>330708</v>
      </c>
      <c r="H129" s="32">
        <v>46788</v>
      </c>
      <c r="I129" s="32">
        <v>203176</v>
      </c>
      <c r="J129" s="32">
        <v>100745</v>
      </c>
      <c r="K129" s="32"/>
      <c r="L129" s="32">
        <v>103912</v>
      </c>
      <c r="M129" s="32">
        <v>149206</v>
      </c>
      <c r="N129" s="32"/>
      <c r="O129" s="32"/>
      <c r="Q129" s="32" t="e">
        <f>IF(A129="AmeriQual Foods",_xlfn.XLOOKUP(B129,Lookup!A:A,Lookup!B:B),_xlfn.XLOOKUP(B129,Lookup!M:M,Lookup!N:N))</f>
        <v>#N/A</v>
      </c>
    </row>
    <row r="130" spans="1:17" x14ac:dyDescent="0.25">
      <c r="A130" s="159" t="s">
        <v>350</v>
      </c>
      <c r="B130" s="159" t="s">
        <v>393</v>
      </c>
      <c r="C130" s="159" t="s">
        <v>351</v>
      </c>
      <c r="D130" s="32">
        <v>171404</v>
      </c>
      <c r="E130" s="32">
        <v>110317</v>
      </c>
      <c r="F130" s="32">
        <v>140706</v>
      </c>
      <c r="G130" s="32">
        <v>205220</v>
      </c>
      <c r="H130" s="32">
        <v>138507</v>
      </c>
      <c r="I130" s="32">
        <v>231636</v>
      </c>
      <c r="J130" s="32">
        <v>333017</v>
      </c>
      <c r="K130" s="32">
        <v>50318</v>
      </c>
      <c r="L130" s="32">
        <v>186094</v>
      </c>
      <c r="M130" s="32">
        <v>241661</v>
      </c>
      <c r="N130" s="32">
        <v>76314</v>
      </c>
      <c r="O130" s="32"/>
      <c r="Q130" s="32" t="e">
        <f>IF(A130="AmeriQual Foods",_xlfn.XLOOKUP(B130,Lookup!A:A,Lookup!B:B),_xlfn.XLOOKUP(B130,Lookup!M:M,Lookup!N:N))</f>
        <v>#N/A</v>
      </c>
    </row>
    <row r="131" spans="1:17" x14ac:dyDescent="0.25">
      <c r="A131" s="159" t="s">
        <v>350</v>
      </c>
      <c r="B131" s="159" t="s">
        <v>394</v>
      </c>
      <c r="C131" s="159" t="s">
        <v>351</v>
      </c>
      <c r="D131" s="32">
        <v>127554</v>
      </c>
      <c r="E131" s="32">
        <v>85061</v>
      </c>
      <c r="F131" s="32">
        <v>138202</v>
      </c>
      <c r="G131" s="32">
        <v>208528</v>
      </c>
      <c r="H131" s="32">
        <v>207735</v>
      </c>
      <c r="I131" s="32">
        <v>228150</v>
      </c>
      <c r="J131" s="32">
        <v>219156</v>
      </c>
      <c r="K131" s="32">
        <v>141173</v>
      </c>
      <c r="L131" s="32">
        <v>142731</v>
      </c>
      <c r="M131" s="32">
        <v>24055</v>
      </c>
      <c r="N131" s="32"/>
      <c r="O131" s="32"/>
      <c r="Q131" s="32" t="str">
        <f>IF(A131="AmeriQual Foods",_xlfn.XLOOKUP(B131,Lookup!A:A,Lookup!B:B),_xlfn.XLOOKUP(B131,Lookup!M:M,Lookup!N:N))</f>
        <v>MRE Placeable</v>
      </c>
    </row>
    <row r="132" spans="1:17" x14ac:dyDescent="0.25">
      <c r="A132" s="159" t="s">
        <v>350</v>
      </c>
      <c r="B132" s="159" t="s">
        <v>395</v>
      </c>
      <c r="C132" s="159" t="s">
        <v>351</v>
      </c>
      <c r="D132" s="32">
        <v>194068</v>
      </c>
      <c r="E132" s="32">
        <v>95275</v>
      </c>
      <c r="F132" s="32">
        <v>171964</v>
      </c>
      <c r="G132" s="32">
        <v>84959</v>
      </c>
      <c r="H132" s="32">
        <v>250755</v>
      </c>
      <c r="I132" s="32">
        <v>202006</v>
      </c>
      <c r="J132" s="32">
        <v>167142</v>
      </c>
      <c r="K132" s="32">
        <v>79630</v>
      </c>
      <c r="L132" s="32">
        <v>79470</v>
      </c>
      <c r="M132" s="32">
        <v>88295</v>
      </c>
      <c r="N132" s="32">
        <v>85406</v>
      </c>
      <c r="O132" s="32"/>
      <c r="Q132" s="32" t="e">
        <f>IF(A132="AmeriQual Foods",_xlfn.XLOOKUP(B132,Lookup!A:A,Lookup!B:B),_xlfn.XLOOKUP(B132,Lookup!M:M,Lookup!N:N))</f>
        <v>#N/A</v>
      </c>
    </row>
    <row r="133" spans="1:17" x14ac:dyDescent="0.25">
      <c r="A133" s="159" t="s">
        <v>350</v>
      </c>
      <c r="B133" s="159" t="s">
        <v>396</v>
      </c>
      <c r="C133" s="159" t="s">
        <v>351</v>
      </c>
      <c r="D133" s="32">
        <v>95460</v>
      </c>
      <c r="E133" s="32"/>
      <c r="F133" s="32">
        <v>99733</v>
      </c>
      <c r="G133" s="32">
        <v>49570</v>
      </c>
      <c r="H133" s="32">
        <v>202210</v>
      </c>
      <c r="I133" s="32">
        <v>97670</v>
      </c>
      <c r="J133" s="32"/>
      <c r="K133" s="32">
        <v>95088</v>
      </c>
      <c r="L133" s="32"/>
      <c r="M133" s="32">
        <v>91940</v>
      </c>
      <c r="N133" s="32"/>
      <c r="O133" s="32"/>
      <c r="Q133" s="32" t="e">
        <f>IF(A133="AmeriQual Foods",_xlfn.XLOOKUP(B133,Lookup!A:A,Lookup!B:B),_xlfn.XLOOKUP(B133,Lookup!M:M,Lookup!N:N))</f>
        <v>#N/A</v>
      </c>
    </row>
    <row r="134" spans="1:17" x14ac:dyDescent="0.25">
      <c r="A134" s="159" t="s">
        <v>350</v>
      </c>
      <c r="B134" s="159" t="s">
        <v>397</v>
      </c>
      <c r="C134" s="159" t="s">
        <v>351</v>
      </c>
      <c r="D134" s="32">
        <v>191572</v>
      </c>
      <c r="E134" s="32">
        <v>105389</v>
      </c>
      <c r="F134" s="32">
        <v>101759</v>
      </c>
      <c r="G134" s="32">
        <v>272475</v>
      </c>
      <c r="H134" s="32">
        <v>191408</v>
      </c>
      <c r="I134" s="32">
        <v>106254</v>
      </c>
      <c r="J134" s="32">
        <v>47595</v>
      </c>
      <c r="K134" s="32">
        <v>105323</v>
      </c>
      <c r="L134" s="32">
        <v>103682</v>
      </c>
      <c r="M134" s="32">
        <v>104077</v>
      </c>
      <c r="N134" s="32"/>
      <c r="O134" s="32"/>
      <c r="Q134" s="32" t="e">
        <f>IF(A134="AmeriQual Foods",_xlfn.XLOOKUP(B134,Lookup!A:A,Lookup!B:B),_xlfn.XLOOKUP(B134,Lookup!M:M,Lookup!N:N))</f>
        <v>#N/A</v>
      </c>
    </row>
    <row r="135" spans="1:17" x14ac:dyDescent="0.25">
      <c r="A135" s="159" t="s">
        <v>350</v>
      </c>
      <c r="B135" s="159" t="s">
        <v>398</v>
      </c>
      <c r="C135" s="159" t="s">
        <v>351</v>
      </c>
      <c r="D135" s="32">
        <v>200435</v>
      </c>
      <c r="E135" s="32">
        <v>208727</v>
      </c>
      <c r="F135" s="32">
        <v>88789</v>
      </c>
      <c r="G135" s="32">
        <v>198045</v>
      </c>
      <c r="H135" s="32">
        <v>228295</v>
      </c>
      <c r="I135" s="32">
        <v>259582</v>
      </c>
      <c r="J135" s="32">
        <v>326214</v>
      </c>
      <c r="K135" s="32"/>
      <c r="L135" s="32"/>
      <c r="M135" s="32">
        <v>210760</v>
      </c>
      <c r="N135" s="32"/>
      <c r="O135" s="32"/>
      <c r="Q135" s="32" t="e">
        <f>IF(A135="AmeriQual Foods",_xlfn.XLOOKUP(B135,Lookup!A:A,Lookup!B:B),_xlfn.XLOOKUP(B135,Lookup!M:M,Lookup!N:N))</f>
        <v>#N/A</v>
      </c>
    </row>
    <row r="136" spans="1:17" x14ac:dyDescent="0.25">
      <c r="A136" s="159" t="s">
        <v>350</v>
      </c>
      <c r="B136" s="159" t="s">
        <v>399</v>
      </c>
      <c r="C136" s="159" t="s">
        <v>351</v>
      </c>
      <c r="D136" s="32">
        <v>200817</v>
      </c>
      <c r="E136" s="32">
        <v>189881</v>
      </c>
      <c r="F136" s="32">
        <v>133872</v>
      </c>
      <c r="G136" s="32">
        <v>95201</v>
      </c>
      <c r="H136" s="32">
        <v>240823</v>
      </c>
      <c r="I136" s="32">
        <v>175943</v>
      </c>
      <c r="J136" s="32">
        <v>460779</v>
      </c>
      <c r="K136" s="32">
        <v>85566</v>
      </c>
      <c r="L136" s="32"/>
      <c r="M136" s="32">
        <v>98590</v>
      </c>
      <c r="N136" s="32"/>
      <c r="O136" s="32"/>
      <c r="Q136" s="32" t="e">
        <f>IF(A136="AmeriQual Foods",_xlfn.XLOOKUP(B136,Lookup!A:A,Lookup!B:B),_xlfn.XLOOKUP(B136,Lookup!M:M,Lookup!N:N))</f>
        <v>#N/A</v>
      </c>
    </row>
    <row r="137" spans="1:17" x14ac:dyDescent="0.25">
      <c r="A137" s="159" t="s">
        <v>350</v>
      </c>
      <c r="B137" s="159" t="s">
        <v>1383</v>
      </c>
      <c r="C137" s="159" t="s">
        <v>351</v>
      </c>
      <c r="D137" s="32"/>
      <c r="E137" s="32"/>
      <c r="F137" s="32"/>
      <c r="G137" s="32"/>
      <c r="H137" s="32"/>
      <c r="I137" s="32"/>
      <c r="J137" s="32"/>
      <c r="K137" s="32"/>
      <c r="L137" s="32"/>
      <c r="M137" s="32">
        <v>2531</v>
      </c>
      <c r="N137" s="32"/>
      <c r="O137" s="32"/>
      <c r="Q137" s="32" t="e">
        <f>IF(A137="AmeriQual Foods",_xlfn.XLOOKUP(B137,Lookup!A:A,Lookup!B:B),_xlfn.XLOOKUP(B137,Lookup!M:M,Lookup!N:N))</f>
        <v>#N/A</v>
      </c>
    </row>
    <row r="138" spans="1:17" x14ac:dyDescent="0.25">
      <c r="A138" s="159" t="s">
        <v>350</v>
      </c>
      <c r="B138" s="159" t="s">
        <v>284</v>
      </c>
      <c r="C138" s="159" t="s">
        <v>351</v>
      </c>
      <c r="D138" s="32">
        <v>102848</v>
      </c>
      <c r="E138" s="32">
        <v>9568</v>
      </c>
      <c r="F138" s="32"/>
      <c r="G138" s="32"/>
      <c r="H138" s="32">
        <v>304000</v>
      </c>
      <c r="I138" s="32"/>
      <c r="J138" s="32"/>
      <c r="K138" s="32"/>
      <c r="L138" s="32">
        <v>278752</v>
      </c>
      <c r="M138" s="32"/>
      <c r="N138" s="32"/>
      <c r="O138" s="32"/>
      <c r="Q138" s="32" t="str">
        <f>IF(A138="AmeriQual Foods",_xlfn.XLOOKUP(B138,Lookup!A:A,Lookup!B:B),_xlfn.XLOOKUP(B138,Lookup!M:M,Lookup!N:N))</f>
        <v>Nutri System</v>
      </c>
    </row>
    <row r="139" spans="1:17" x14ac:dyDescent="0.25">
      <c r="A139" s="159" t="s">
        <v>350</v>
      </c>
      <c r="B139" s="159" t="s">
        <v>400</v>
      </c>
      <c r="C139" s="159" t="s">
        <v>351</v>
      </c>
      <c r="D139" s="32">
        <v>92544</v>
      </c>
      <c r="E139" s="32"/>
      <c r="F139" s="32"/>
      <c r="G139" s="32"/>
      <c r="H139" s="32">
        <v>86912</v>
      </c>
      <c r="I139" s="32"/>
      <c r="J139" s="32"/>
      <c r="K139" s="32"/>
      <c r="L139" s="32">
        <v>71328</v>
      </c>
      <c r="M139" s="32"/>
      <c r="N139" s="32"/>
      <c r="O139" s="32"/>
      <c r="Q139" s="32" t="e">
        <f>IF(A139="AmeriQual Foods",_xlfn.XLOOKUP(B139,Lookup!A:A,Lookup!B:B),_xlfn.XLOOKUP(B139,Lookup!M:M,Lookup!N:N))</f>
        <v>#N/A</v>
      </c>
    </row>
    <row r="140" spans="1:17" x14ac:dyDescent="0.25">
      <c r="A140" s="159" t="s">
        <v>350</v>
      </c>
      <c r="B140" s="159" t="s">
        <v>828</v>
      </c>
      <c r="C140" s="159" t="s">
        <v>351</v>
      </c>
      <c r="D140" s="32"/>
      <c r="E140" s="32"/>
      <c r="F140" s="32"/>
      <c r="G140" s="32"/>
      <c r="H140" s="32">
        <v>136160</v>
      </c>
      <c r="I140" s="32"/>
      <c r="J140" s="32"/>
      <c r="K140" s="32"/>
      <c r="L140" s="32">
        <v>53152</v>
      </c>
      <c r="M140" s="32"/>
      <c r="N140" s="32"/>
      <c r="O140" s="32"/>
      <c r="Q140" s="32" t="e">
        <f>IF(A140="AmeriQual Foods",_xlfn.XLOOKUP(B140,Lookup!A:A,Lookup!B:B),_xlfn.XLOOKUP(B140,Lookup!M:M,Lookup!N:N))</f>
        <v>#N/A</v>
      </c>
    </row>
    <row r="141" spans="1:17" x14ac:dyDescent="0.25">
      <c r="A141" s="159" t="s">
        <v>350</v>
      </c>
      <c r="B141" s="159" t="s">
        <v>829</v>
      </c>
      <c r="C141" s="159" t="s">
        <v>351</v>
      </c>
      <c r="D141" s="32"/>
      <c r="E141" s="32"/>
      <c r="F141" s="32"/>
      <c r="G141" s="32"/>
      <c r="H141" s="32">
        <v>80928</v>
      </c>
      <c r="I141" s="32"/>
      <c r="J141" s="32"/>
      <c r="K141" s="32"/>
      <c r="L141" s="32">
        <v>154272</v>
      </c>
      <c r="M141" s="32"/>
      <c r="N141" s="32"/>
      <c r="O141" s="32"/>
      <c r="Q141" s="32" t="e">
        <f>IF(A141="AmeriQual Foods",_xlfn.XLOOKUP(B141,Lookup!A:A,Lookup!B:B),_xlfn.XLOOKUP(B141,Lookup!M:M,Lookup!N:N))</f>
        <v>#N/A</v>
      </c>
    </row>
    <row r="142" spans="1:17" x14ac:dyDescent="0.25">
      <c r="A142" s="159" t="s">
        <v>350</v>
      </c>
      <c r="B142" s="159" t="s">
        <v>564</v>
      </c>
      <c r="C142" s="159" t="s">
        <v>351</v>
      </c>
      <c r="D142" s="32">
        <v>10304</v>
      </c>
      <c r="E142" s="32">
        <v>9568</v>
      </c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Q142" s="32" t="e">
        <f>IF(A142="AmeriQual Foods",_xlfn.XLOOKUP(B142,Lookup!A:A,Lookup!B:B),_xlfn.XLOOKUP(B142,Lookup!M:M,Lookup!N:N))</f>
        <v>#N/A</v>
      </c>
    </row>
    <row r="143" spans="1:17" x14ac:dyDescent="0.25">
      <c r="A143" s="159" t="s">
        <v>350</v>
      </c>
      <c r="B143" s="159" t="s">
        <v>285</v>
      </c>
      <c r="C143" s="159" t="s">
        <v>351</v>
      </c>
      <c r="D143" s="32">
        <v>16536</v>
      </c>
      <c r="E143" s="32">
        <v>47824</v>
      </c>
      <c r="F143" s="32"/>
      <c r="G143" s="32">
        <v>25798</v>
      </c>
      <c r="H143" s="32">
        <v>46054</v>
      </c>
      <c r="I143" s="32"/>
      <c r="J143" s="32">
        <v>754</v>
      </c>
      <c r="K143" s="32">
        <v>18378</v>
      </c>
      <c r="L143" s="32">
        <v>38231</v>
      </c>
      <c r="M143" s="32"/>
      <c r="N143" s="32"/>
      <c r="O143" s="32"/>
      <c r="Q143" s="32" t="str">
        <f>IF(A143="AmeriQual Foods",_xlfn.XLOOKUP(B143,Lookup!A:A,Lookup!B:B),_xlfn.XLOOKUP(B143,Lookup!M:M,Lookup!N:N))</f>
        <v>Poly Trays</v>
      </c>
    </row>
    <row r="144" spans="1:17" x14ac:dyDescent="0.25">
      <c r="A144" s="159" t="s">
        <v>350</v>
      </c>
      <c r="B144" s="159" t="s">
        <v>1024</v>
      </c>
      <c r="C144" s="159" t="s">
        <v>351</v>
      </c>
      <c r="D144" s="32"/>
      <c r="E144" s="32"/>
      <c r="F144" s="32"/>
      <c r="G144" s="32"/>
      <c r="H144" s="32"/>
      <c r="I144" s="32"/>
      <c r="J144" s="32"/>
      <c r="K144" s="32">
        <v>7145</v>
      </c>
      <c r="L144" s="32"/>
      <c r="M144" s="32"/>
      <c r="N144" s="32"/>
      <c r="O144" s="32"/>
      <c r="Q144" s="32" t="e">
        <f>IF(A144="AmeriQual Foods",_xlfn.XLOOKUP(B144,Lookup!A:A,Lookup!B:B),_xlfn.XLOOKUP(B144,Lookup!M:M,Lookup!N:N))</f>
        <v>#N/A</v>
      </c>
    </row>
    <row r="145" spans="1:17" x14ac:dyDescent="0.25">
      <c r="A145" s="159" t="s">
        <v>350</v>
      </c>
      <c r="B145" s="159" t="s">
        <v>401</v>
      </c>
      <c r="C145" s="159" t="s">
        <v>351</v>
      </c>
      <c r="D145" s="32">
        <v>5188</v>
      </c>
      <c r="E145" s="32"/>
      <c r="F145" s="32"/>
      <c r="G145" s="32"/>
      <c r="H145" s="32">
        <v>5484</v>
      </c>
      <c r="I145" s="32"/>
      <c r="J145" s="32"/>
      <c r="K145" s="32">
        <v>4781</v>
      </c>
      <c r="L145" s="32"/>
      <c r="M145" s="32"/>
      <c r="N145" s="32"/>
      <c r="O145" s="32"/>
      <c r="Q145" s="32" t="e">
        <f>IF(A145="AmeriQual Foods",_xlfn.XLOOKUP(B145,Lookup!A:A,Lookup!B:B),_xlfn.XLOOKUP(B145,Lookup!M:M,Lookup!N:N))</f>
        <v>#N/A</v>
      </c>
    </row>
    <row r="146" spans="1:17" x14ac:dyDescent="0.25">
      <c r="A146" s="159" t="s">
        <v>350</v>
      </c>
      <c r="B146" s="159" t="s">
        <v>402</v>
      </c>
      <c r="C146" s="159" t="s">
        <v>351</v>
      </c>
      <c r="D146" s="32"/>
      <c r="E146" s="32">
        <v>9652</v>
      </c>
      <c r="F146" s="32"/>
      <c r="G146" s="32">
        <v>20654</v>
      </c>
      <c r="H146" s="32"/>
      <c r="I146" s="32"/>
      <c r="J146" s="32"/>
      <c r="K146" s="32">
        <v>473</v>
      </c>
      <c r="L146" s="32"/>
      <c r="M146" s="32"/>
      <c r="N146" s="32"/>
      <c r="O146" s="32"/>
      <c r="Q146" s="32" t="e">
        <f>IF(A146="AmeriQual Foods",_xlfn.XLOOKUP(B146,Lookup!A:A,Lookup!B:B),_xlfn.XLOOKUP(B146,Lookup!M:M,Lookup!N:N))</f>
        <v>#N/A</v>
      </c>
    </row>
    <row r="147" spans="1:17" x14ac:dyDescent="0.25">
      <c r="A147" s="159" t="s">
        <v>350</v>
      </c>
      <c r="B147" s="159" t="s">
        <v>403</v>
      </c>
      <c r="C147" s="159" t="s">
        <v>351</v>
      </c>
      <c r="D147" s="32">
        <v>282</v>
      </c>
      <c r="E147" s="32"/>
      <c r="F147" s="32"/>
      <c r="G147" s="32"/>
      <c r="H147" s="32">
        <v>25203</v>
      </c>
      <c r="I147" s="32"/>
      <c r="J147" s="32"/>
      <c r="K147" s="32"/>
      <c r="L147" s="32"/>
      <c r="M147" s="32"/>
      <c r="N147" s="32"/>
      <c r="O147" s="32"/>
      <c r="Q147" s="32" t="e">
        <f>IF(A147="AmeriQual Foods",_xlfn.XLOOKUP(B147,Lookup!A:A,Lookup!B:B),_xlfn.XLOOKUP(B147,Lookup!M:M,Lookup!N:N))</f>
        <v>#N/A</v>
      </c>
    </row>
    <row r="148" spans="1:17" x14ac:dyDescent="0.25">
      <c r="A148" s="159" t="s">
        <v>350</v>
      </c>
      <c r="B148" s="159" t="s">
        <v>404</v>
      </c>
      <c r="C148" s="159" t="s">
        <v>351</v>
      </c>
      <c r="D148" s="32">
        <v>476</v>
      </c>
      <c r="E148" s="32">
        <v>4457</v>
      </c>
      <c r="F148" s="32"/>
      <c r="G148" s="32"/>
      <c r="H148" s="32"/>
      <c r="I148" s="32"/>
      <c r="J148" s="32"/>
      <c r="K148" s="32">
        <v>5979</v>
      </c>
      <c r="L148" s="32">
        <v>686</v>
      </c>
      <c r="M148" s="32"/>
      <c r="N148" s="32"/>
      <c r="O148" s="32"/>
      <c r="Q148" s="32" t="e">
        <f>IF(A148="AmeriQual Foods",_xlfn.XLOOKUP(B148,Lookup!A:A,Lookup!B:B),_xlfn.XLOOKUP(B148,Lookup!M:M,Lookup!N:N))</f>
        <v>#N/A</v>
      </c>
    </row>
    <row r="149" spans="1:17" x14ac:dyDescent="0.25">
      <c r="A149" s="159" t="s">
        <v>350</v>
      </c>
      <c r="B149" s="159" t="s">
        <v>405</v>
      </c>
      <c r="C149" s="159" t="s">
        <v>351</v>
      </c>
      <c r="D149" s="32"/>
      <c r="E149" s="32">
        <v>24253</v>
      </c>
      <c r="F149" s="32"/>
      <c r="G149" s="32"/>
      <c r="H149" s="32"/>
      <c r="I149" s="32"/>
      <c r="J149" s="32">
        <v>754</v>
      </c>
      <c r="K149" s="32"/>
      <c r="L149" s="32"/>
      <c r="M149" s="32"/>
      <c r="N149" s="32"/>
      <c r="O149" s="32"/>
      <c r="Q149" s="32" t="e">
        <f>IF(A149="AmeriQual Foods",_xlfn.XLOOKUP(B149,Lookup!A:A,Lookup!B:B),_xlfn.XLOOKUP(B149,Lookup!M:M,Lookup!N:N))</f>
        <v>#N/A</v>
      </c>
    </row>
    <row r="150" spans="1:17" x14ac:dyDescent="0.25">
      <c r="A150" s="159" t="s">
        <v>350</v>
      </c>
      <c r="B150" s="159" t="s">
        <v>406</v>
      </c>
      <c r="C150" s="159" t="s">
        <v>351</v>
      </c>
      <c r="D150" s="32">
        <v>5272</v>
      </c>
      <c r="E150" s="32"/>
      <c r="F150" s="32"/>
      <c r="G150" s="32">
        <v>2580</v>
      </c>
      <c r="H150" s="32"/>
      <c r="I150" s="32"/>
      <c r="J150" s="32"/>
      <c r="K150" s="32"/>
      <c r="L150" s="32"/>
      <c r="M150" s="32"/>
      <c r="N150" s="32"/>
      <c r="O150" s="32"/>
      <c r="Q150" s="32" t="e">
        <f>IF(A150="AmeriQual Foods",_xlfn.XLOOKUP(B150,Lookup!A:A,Lookup!B:B),_xlfn.XLOOKUP(B150,Lookup!M:M,Lookup!N:N))</f>
        <v>#N/A</v>
      </c>
    </row>
    <row r="151" spans="1:17" x14ac:dyDescent="0.25">
      <c r="A151" s="159" t="s">
        <v>350</v>
      </c>
      <c r="B151" s="159" t="s">
        <v>407</v>
      </c>
      <c r="C151" s="159" t="s">
        <v>351</v>
      </c>
      <c r="D151" s="32"/>
      <c r="E151" s="32">
        <v>4554</v>
      </c>
      <c r="F151" s="32"/>
      <c r="G151" s="32"/>
      <c r="H151" s="32">
        <v>10321</v>
      </c>
      <c r="I151" s="32"/>
      <c r="J151" s="32"/>
      <c r="K151" s="32"/>
      <c r="L151" s="32">
        <v>27466</v>
      </c>
      <c r="M151" s="32"/>
      <c r="N151" s="32"/>
      <c r="O151" s="32"/>
      <c r="Q151" s="32" t="e">
        <f>IF(A151="AmeriQual Foods",_xlfn.XLOOKUP(B151,Lookup!A:A,Lookup!B:B),_xlfn.XLOOKUP(B151,Lookup!M:M,Lookup!N:N))</f>
        <v>#N/A</v>
      </c>
    </row>
    <row r="152" spans="1:17" x14ac:dyDescent="0.25">
      <c r="A152" s="159" t="s">
        <v>350</v>
      </c>
      <c r="B152" s="159" t="s">
        <v>408</v>
      </c>
      <c r="C152" s="159" t="s">
        <v>351</v>
      </c>
      <c r="D152" s="32"/>
      <c r="E152" s="32">
        <v>4908</v>
      </c>
      <c r="F152" s="32"/>
      <c r="G152" s="32"/>
      <c r="H152" s="32">
        <v>5046</v>
      </c>
      <c r="I152" s="32"/>
      <c r="J152" s="32"/>
      <c r="K152" s="32"/>
      <c r="L152" s="32">
        <v>10079</v>
      </c>
      <c r="M152" s="32"/>
      <c r="N152" s="32"/>
      <c r="O152" s="32"/>
      <c r="Q152" s="32" t="e">
        <f>IF(A152="AmeriQual Foods",_xlfn.XLOOKUP(B152,Lookup!A:A,Lookup!B:B),_xlfn.XLOOKUP(B152,Lookup!M:M,Lookup!N:N))</f>
        <v>#N/A</v>
      </c>
    </row>
    <row r="153" spans="1:17" x14ac:dyDescent="0.25">
      <c r="A153" s="159" t="s">
        <v>350</v>
      </c>
      <c r="B153" s="159" t="s">
        <v>409</v>
      </c>
      <c r="C153" s="159" t="s">
        <v>351</v>
      </c>
      <c r="D153" s="32">
        <v>5318</v>
      </c>
      <c r="E153" s="32"/>
      <c r="F153" s="32"/>
      <c r="G153" s="32">
        <v>2564</v>
      </c>
      <c r="H153" s="32"/>
      <c r="I153" s="32"/>
      <c r="J153" s="32"/>
      <c r="K153" s="32"/>
      <c r="L153" s="32"/>
      <c r="M153" s="32"/>
      <c r="N153" s="32"/>
      <c r="O153" s="32"/>
      <c r="Q153" s="32" t="e">
        <f>IF(A153="AmeriQual Foods",_xlfn.XLOOKUP(B153,Lookup!A:A,Lookup!B:B),_xlfn.XLOOKUP(B153,Lookup!M:M,Lookup!N:N))</f>
        <v>#N/A</v>
      </c>
    </row>
    <row r="154" spans="1:17" x14ac:dyDescent="0.25">
      <c r="A154" s="159" t="s">
        <v>350</v>
      </c>
      <c r="B154" s="159" t="s">
        <v>346</v>
      </c>
      <c r="C154" s="159" t="s">
        <v>351</v>
      </c>
      <c r="D154" s="32">
        <v>74</v>
      </c>
      <c r="E154" s="32"/>
      <c r="F154" s="32"/>
      <c r="G154" s="32">
        <v>2754</v>
      </c>
      <c r="H154" s="32">
        <v>2130</v>
      </c>
      <c r="I154" s="32">
        <v>1161</v>
      </c>
      <c r="J154" s="32">
        <v>3776</v>
      </c>
      <c r="K154" s="32">
        <v>8058</v>
      </c>
      <c r="L154" s="32">
        <v>543</v>
      </c>
      <c r="M154" s="32"/>
      <c r="N154" s="32"/>
      <c r="O154" s="32"/>
      <c r="Q154" s="32" t="str">
        <f>IF(A154="AmeriQual Foods",_xlfn.XLOOKUP(B154,Lookup!A:A,Lookup!B:B),_xlfn.XLOOKUP(B154,Lookup!M:M,Lookup!N:N))</f>
        <v>RD</v>
      </c>
    </row>
    <row r="155" spans="1:17" x14ac:dyDescent="0.25">
      <c r="A155" s="159" t="s">
        <v>350</v>
      </c>
      <c r="B155" s="159" t="s">
        <v>410</v>
      </c>
      <c r="C155" s="159" t="s">
        <v>351</v>
      </c>
      <c r="D155" s="32">
        <v>74</v>
      </c>
      <c r="E155" s="32"/>
      <c r="F155" s="32"/>
      <c r="G155" s="32">
        <v>2754</v>
      </c>
      <c r="H155" s="32">
        <v>2130</v>
      </c>
      <c r="I155" s="32">
        <v>1161</v>
      </c>
      <c r="J155" s="32">
        <v>3776</v>
      </c>
      <c r="K155" s="32">
        <v>8058</v>
      </c>
      <c r="L155" s="32">
        <v>543</v>
      </c>
      <c r="M155" s="32"/>
      <c r="N155" s="32"/>
      <c r="O155" s="32"/>
      <c r="Q155" s="32" t="e">
        <f>IF(A155="AmeriQual Foods",_xlfn.XLOOKUP(B155,Lookup!A:A,Lookup!B:B),_xlfn.XLOOKUP(B155,Lookup!M:M,Lookup!N:N))</f>
        <v>#N/A</v>
      </c>
    </row>
    <row r="156" spans="1:17" x14ac:dyDescent="0.25">
      <c r="A156" s="159" t="s">
        <v>350</v>
      </c>
      <c r="B156" s="159" t="s">
        <v>289</v>
      </c>
      <c r="C156" s="159" t="s">
        <v>351</v>
      </c>
      <c r="D156" s="32">
        <v>8735500</v>
      </c>
      <c r="E156" s="32">
        <v>6610250</v>
      </c>
      <c r="F156" s="32">
        <v>9362500</v>
      </c>
      <c r="G156" s="32"/>
      <c r="H156" s="32"/>
      <c r="I156" s="32">
        <v>4900500</v>
      </c>
      <c r="J156" s="32">
        <v>12110500</v>
      </c>
      <c r="K156" s="32">
        <v>6660500</v>
      </c>
      <c r="L156" s="32">
        <v>3336000</v>
      </c>
      <c r="M156" s="32">
        <v>14016250</v>
      </c>
      <c r="N156" s="32">
        <v>271000</v>
      </c>
      <c r="O156" s="32"/>
      <c r="Q156" s="32" t="str">
        <f>IF(A156="AmeriQual Foods",_xlfn.XLOOKUP(B156,Lookup!A:A,Lookup!B:B),_xlfn.XLOOKUP(B156,Lookup!M:M,Lookup!N:N))</f>
        <v>Red Gold</v>
      </c>
    </row>
    <row r="157" spans="1:17" x14ac:dyDescent="0.25">
      <c r="A157" s="159" t="s">
        <v>350</v>
      </c>
      <c r="B157" s="159" t="s">
        <v>411</v>
      </c>
      <c r="C157" s="159" t="s">
        <v>351</v>
      </c>
      <c r="D157" s="32">
        <v>5623750</v>
      </c>
      <c r="E157" s="32">
        <v>157500</v>
      </c>
      <c r="F157" s="32">
        <v>6824000</v>
      </c>
      <c r="G157" s="32"/>
      <c r="H157" s="32"/>
      <c r="I157" s="32">
        <v>2967750</v>
      </c>
      <c r="J157" s="32">
        <v>4200750</v>
      </c>
      <c r="K157" s="32">
        <v>6096000</v>
      </c>
      <c r="L157" s="32">
        <v>3336000</v>
      </c>
      <c r="M157" s="32">
        <v>6396000</v>
      </c>
      <c r="N157" s="32">
        <v>141750</v>
      </c>
      <c r="O157" s="32"/>
      <c r="Q157" s="32" t="e">
        <f>IF(A157="AmeriQual Foods",_xlfn.XLOOKUP(B157,Lookup!A:A,Lookup!B:B),_xlfn.XLOOKUP(B157,Lookup!M:M,Lookup!N:N))</f>
        <v>#N/A</v>
      </c>
    </row>
    <row r="158" spans="1:17" x14ac:dyDescent="0.25">
      <c r="A158" s="159" t="s">
        <v>350</v>
      </c>
      <c r="B158" s="159" t="s">
        <v>412</v>
      </c>
      <c r="C158" s="159" t="s">
        <v>351</v>
      </c>
      <c r="D158" s="32">
        <v>5623750</v>
      </c>
      <c r="E158" s="32">
        <v>157500</v>
      </c>
      <c r="F158" s="32">
        <v>3035000</v>
      </c>
      <c r="G158" s="32"/>
      <c r="H158" s="32"/>
      <c r="I158" s="32"/>
      <c r="J158" s="32"/>
      <c r="K158" s="32"/>
      <c r="L158" s="32"/>
      <c r="M158" s="32"/>
      <c r="N158" s="32"/>
      <c r="O158" s="32"/>
      <c r="Q158" s="32" t="e">
        <f>IF(A158="AmeriQual Foods",_xlfn.XLOOKUP(B158,Lookup!A:A,Lookup!B:B),_xlfn.XLOOKUP(B158,Lookup!M:M,Lookup!N:N))</f>
        <v>#N/A</v>
      </c>
    </row>
    <row r="159" spans="1:17" x14ac:dyDescent="0.25">
      <c r="A159" s="159" t="s">
        <v>350</v>
      </c>
      <c r="B159" s="159" t="s">
        <v>413</v>
      </c>
      <c r="C159" s="159" t="s">
        <v>351</v>
      </c>
      <c r="D159" s="32"/>
      <c r="E159" s="32"/>
      <c r="F159" s="32">
        <v>3789000</v>
      </c>
      <c r="G159" s="32"/>
      <c r="H159" s="32"/>
      <c r="I159" s="32">
        <v>2967750</v>
      </c>
      <c r="J159" s="32">
        <v>4200750</v>
      </c>
      <c r="K159" s="32">
        <v>6096000</v>
      </c>
      <c r="L159" s="32">
        <v>3336000</v>
      </c>
      <c r="M159" s="32">
        <v>6396000</v>
      </c>
      <c r="N159" s="32">
        <v>141750</v>
      </c>
      <c r="O159" s="32"/>
      <c r="Q159" s="32" t="e">
        <f>IF(A159="AmeriQual Foods",_xlfn.XLOOKUP(B159,Lookup!A:A,Lookup!B:B),_xlfn.XLOOKUP(B159,Lookup!M:M,Lookup!N:N))</f>
        <v>#N/A</v>
      </c>
    </row>
    <row r="160" spans="1:17" x14ac:dyDescent="0.25">
      <c r="A160" s="159" t="s">
        <v>350</v>
      </c>
      <c r="B160" s="159" t="s">
        <v>414</v>
      </c>
      <c r="C160" s="159" t="s">
        <v>351</v>
      </c>
      <c r="D160" s="32">
        <v>3111750</v>
      </c>
      <c r="E160" s="32">
        <v>6452750</v>
      </c>
      <c r="F160" s="32">
        <v>2538500</v>
      </c>
      <c r="G160" s="32"/>
      <c r="H160" s="32"/>
      <c r="I160" s="32">
        <v>1932750</v>
      </c>
      <c r="J160" s="32">
        <v>7909750</v>
      </c>
      <c r="K160" s="32">
        <v>564500</v>
      </c>
      <c r="L160" s="32"/>
      <c r="M160" s="32">
        <v>7620250</v>
      </c>
      <c r="N160" s="32">
        <v>129250</v>
      </c>
      <c r="O160" s="32"/>
      <c r="Q160" s="32" t="e">
        <f>IF(A160="AmeriQual Foods",_xlfn.XLOOKUP(B160,Lookup!A:A,Lookup!B:B),_xlfn.XLOOKUP(B160,Lookup!M:M,Lookup!N:N))</f>
        <v>#N/A</v>
      </c>
    </row>
    <row r="161" spans="1:17" x14ac:dyDescent="0.25">
      <c r="A161" s="159" t="s">
        <v>350</v>
      </c>
      <c r="B161" s="159" t="s">
        <v>415</v>
      </c>
      <c r="C161" s="159" t="s">
        <v>351</v>
      </c>
      <c r="D161" s="32"/>
      <c r="E161" s="32">
        <v>3186500</v>
      </c>
      <c r="F161" s="32">
        <v>2538500</v>
      </c>
      <c r="G161" s="32"/>
      <c r="H161" s="32"/>
      <c r="I161" s="32"/>
      <c r="J161" s="32"/>
      <c r="K161" s="32"/>
      <c r="L161" s="32"/>
      <c r="M161" s="32"/>
      <c r="N161" s="32"/>
      <c r="O161" s="32"/>
      <c r="Q161" s="32" t="e">
        <f>IF(A161="AmeriQual Foods",_xlfn.XLOOKUP(B161,Lookup!A:A,Lookup!B:B),_xlfn.XLOOKUP(B161,Lookup!M:M,Lookup!N:N))</f>
        <v>#N/A</v>
      </c>
    </row>
    <row r="162" spans="1:17" x14ac:dyDescent="0.25">
      <c r="A162" s="159" t="s">
        <v>350</v>
      </c>
      <c r="B162" s="159" t="s">
        <v>416</v>
      </c>
      <c r="C162" s="159" t="s">
        <v>351</v>
      </c>
      <c r="D162" s="32">
        <v>3111750</v>
      </c>
      <c r="E162" s="32">
        <v>3266250</v>
      </c>
      <c r="F162" s="32"/>
      <c r="G162" s="32"/>
      <c r="H162" s="32"/>
      <c r="I162" s="32">
        <v>1932750</v>
      </c>
      <c r="J162" s="32">
        <v>7909750</v>
      </c>
      <c r="K162" s="32">
        <v>564500</v>
      </c>
      <c r="L162" s="32"/>
      <c r="M162" s="32">
        <v>7620250</v>
      </c>
      <c r="N162" s="32">
        <v>129250</v>
      </c>
      <c r="O162" s="32"/>
      <c r="Q162" s="32" t="e">
        <f>IF(A162="AmeriQual Foods",_xlfn.XLOOKUP(B162,Lookup!A:A,Lookup!B:B),_xlfn.XLOOKUP(B162,Lookup!M:M,Lookup!N:N))</f>
        <v>#N/A</v>
      </c>
    </row>
    <row r="163" spans="1:17" x14ac:dyDescent="0.25">
      <c r="A163" s="159" t="s">
        <v>350</v>
      </c>
      <c r="B163" s="159" t="s">
        <v>565</v>
      </c>
      <c r="C163" s="159" t="s">
        <v>351</v>
      </c>
      <c r="D163" s="32"/>
      <c r="E163" s="32">
        <v>149508</v>
      </c>
      <c r="F163" s="32"/>
      <c r="G163" s="32">
        <v>221616</v>
      </c>
      <c r="H163" s="32"/>
      <c r="I163" s="32"/>
      <c r="J163" s="32"/>
      <c r="K163" s="32">
        <v>32940</v>
      </c>
      <c r="L163" s="32">
        <v>71478</v>
      </c>
      <c r="M163" s="32">
        <v>66480</v>
      </c>
      <c r="N163" s="32">
        <v>175326</v>
      </c>
      <c r="O163" s="32"/>
      <c r="Q163" s="32" t="e">
        <f>IF(A163="AmeriQual Foods",_xlfn.XLOOKUP(B163,Lookup!A:A,Lookup!B:B),_xlfn.XLOOKUP(B163,Lookup!M:M,Lookup!N:N))</f>
        <v>#N/A</v>
      </c>
    </row>
    <row r="164" spans="1:17" x14ac:dyDescent="0.25">
      <c r="A164" s="159" t="s">
        <v>350</v>
      </c>
      <c r="B164" s="159" t="s">
        <v>331</v>
      </c>
      <c r="C164" s="159" t="s">
        <v>351</v>
      </c>
      <c r="D164" s="32"/>
      <c r="E164" s="32"/>
      <c r="F164" s="32"/>
      <c r="G164" s="32">
        <v>221616</v>
      </c>
      <c r="H164" s="32"/>
      <c r="I164" s="32"/>
      <c r="J164" s="32"/>
      <c r="K164" s="32">
        <v>32940</v>
      </c>
      <c r="L164" s="32"/>
      <c r="M164" s="32">
        <v>66480</v>
      </c>
      <c r="N164" s="32"/>
      <c r="O164" s="32"/>
      <c r="Q164" s="32" t="str">
        <f>IF(A164="AmeriQual Foods",_xlfn.XLOOKUP(B164,Lookup!A:A,Lookup!B:B),_xlfn.XLOOKUP(B164,Lookup!M:M,Lookup!N:N))</f>
        <v>Scott Pet</v>
      </c>
    </row>
    <row r="165" spans="1:17" x14ac:dyDescent="0.25">
      <c r="A165" s="159" t="s">
        <v>350</v>
      </c>
      <c r="B165" s="159" t="s">
        <v>566</v>
      </c>
      <c r="C165" s="159" t="s">
        <v>351</v>
      </c>
      <c r="D165" s="32"/>
      <c r="E165" s="32"/>
      <c r="F165" s="32"/>
      <c r="G165" s="32">
        <v>61620</v>
      </c>
      <c r="H165" s="32"/>
      <c r="I165" s="32"/>
      <c r="J165" s="32"/>
      <c r="K165" s="32">
        <v>15768</v>
      </c>
      <c r="L165" s="32"/>
      <c r="M165" s="32"/>
      <c r="N165" s="32"/>
      <c r="O165" s="32"/>
      <c r="Q165" s="32" t="str">
        <f>IF(A165="AmeriQual Foods",_xlfn.XLOOKUP(B165,Lookup!A:A,Lookup!B:B),_xlfn.XLOOKUP(B165,Lookup!M:M,Lookup!N:N))</f>
        <v>Scott Pet Cat</v>
      </c>
    </row>
    <row r="166" spans="1:17" x14ac:dyDescent="0.25">
      <c r="A166" s="159" t="s">
        <v>350</v>
      </c>
      <c r="B166" s="159" t="s">
        <v>567</v>
      </c>
      <c r="C166" s="159" t="s">
        <v>351</v>
      </c>
      <c r="D166" s="32"/>
      <c r="E166" s="32"/>
      <c r="F166" s="32"/>
      <c r="G166" s="32">
        <v>86076</v>
      </c>
      <c r="H166" s="32"/>
      <c r="I166" s="32"/>
      <c r="J166" s="32"/>
      <c r="K166" s="32"/>
      <c r="L166" s="32"/>
      <c r="M166" s="32">
        <v>42408</v>
      </c>
      <c r="N166" s="32"/>
      <c r="O166" s="32"/>
      <c r="Q166" s="32" t="str">
        <f>IF(A166="AmeriQual Foods",_xlfn.XLOOKUP(B166,Lookup!A:A,Lookup!B:B),_xlfn.XLOOKUP(B166,Lookup!M:M,Lookup!N:N))</f>
        <v>Scott Pet Cat</v>
      </c>
    </row>
    <row r="167" spans="1:17" x14ac:dyDescent="0.25">
      <c r="A167" s="159" t="s">
        <v>350</v>
      </c>
      <c r="B167" s="159" t="s">
        <v>568</v>
      </c>
      <c r="C167" s="159" t="s">
        <v>351</v>
      </c>
      <c r="D167" s="32"/>
      <c r="E167" s="32"/>
      <c r="F167" s="32"/>
      <c r="G167" s="32">
        <v>73920</v>
      </c>
      <c r="H167" s="32"/>
      <c r="I167" s="32"/>
      <c r="J167" s="32"/>
      <c r="K167" s="32">
        <v>17172</v>
      </c>
      <c r="L167" s="32"/>
      <c r="M167" s="32">
        <v>24072</v>
      </c>
      <c r="N167" s="32"/>
      <c r="O167" s="32"/>
      <c r="Q167" s="32" t="str">
        <f>IF(A167="AmeriQual Foods",_xlfn.XLOOKUP(B167,Lookup!A:A,Lookup!B:B),_xlfn.XLOOKUP(B167,Lookup!M:M,Lookup!N:N))</f>
        <v>Scott Pet Cat</v>
      </c>
    </row>
    <row r="168" spans="1:17" x14ac:dyDescent="0.25">
      <c r="A168" s="159" t="s">
        <v>350</v>
      </c>
      <c r="B168" s="159" t="s">
        <v>332</v>
      </c>
      <c r="C168" s="159" t="s">
        <v>351</v>
      </c>
      <c r="D168" s="32"/>
      <c r="E168" s="32">
        <v>149508</v>
      </c>
      <c r="F168" s="32"/>
      <c r="G168" s="32"/>
      <c r="H168" s="32"/>
      <c r="I168" s="32"/>
      <c r="J168" s="32"/>
      <c r="K168" s="32"/>
      <c r="L168" s="32">
        <v>71478</v>
      </c>
      <c r="M168" s="32"/>
      <c r="N168" s="32">
        <v>175326</v>
      </c>
      <c r="O168" s="32"/>
      <c r="Q168" s="32" t="str">
        <f>IF(A168="AmeriQual Foods",_xlfn.XLOOKUP(B168,Lookup!A:A,Lookup!B:B),_xlfn.XLOOKUP(B168,Lookup!M:M,Lookup!N:N))</f>
        <v>Scott Pet</v>
      </c>
    </row>
    <row r="169" spans="1:17" x14ac:dyDescent="0.25">
      <c r="A169" s="159" t="s">
        <v>350</v>
      </c>
      <c r="B169" s="159" t="s">
        <v>569</v>
      </c>
      <c r="C169" s="159" t="s">
        <v>351</v>
      </c>
      <c r="D169" s="32"/>
      <c r="E169" s="32">
        <v>65412</v>
      </c>
      <c r="F169" s="32"/>
      <c r="G169" s="32"/>
      <c r="H169" s="32"/>
      <c r="I169" s="32"/>
      <c r="J169" s="32"/>
      <c r="K169" s="32"/>
      <c r="L169" s="32">
        <v>3510</v>
      </c>
      <c r="M169" s="32"/>
      <c r="N169" s="32">
        <v>89466</v>
      </c>
      <c r="O169" s="32"/>
      <c r="Q169" s="32" t="str">
        <f>IF(A169="AmeriQual Foods",_xlfn.XLOOKUP(B169,Lookup!A:A,Lookup!B:B),_xlfn.XLOOKUP(B169,Lookup!M:M,Lookup!N:N))</f>
        <v>Scott Pet Dog</v>
      </c>
    </row>
    <row r="170" spans="1:17" x14ac:dyDescent="0.25">
      <c r="A170" s="159" t="s">
        <v>350</v>
      </c>
      <c r="B170" s="159" t="s">
        <v>570</v>
      </c>
      <c r="C170" s="159" t="s">
        <v>351</v>
      </c>
      <c r="D170" s="32"/>
      <c r="E170" s="32">
        <v>52656</v>
      </c>
      <c r="F170" s="32"/>
      <c r="G170" s="32"/>
      <c r="H170" s="32"/>
      <c r="I170" s="32"/>
      <c r="J170" s="32"/>
      <c r="K170" s="32"/>
      <c r="L170" s="32">
        <v>4032</v>
      </c>
      <c r="M170" s="32"/>
      <c r="N170" s="32">
        <v>85860</v>
      </c>
      <c r="O170" s="32"/>
      <c r="Q170" s="32" t="str">
        <f>IF(A170="AmeriQual Foods",_xlfn.XLOOKUP(B170,Lookup!A:A,Lookup!B:B),_xlfn.XLOOKUP(B170,Lookup!M:M,Lookup!N:N))</f>
        <v>Scott Pet Dog</v>
      </c>
    </row>
    <row r="171" spans="1:17" x14ac:dyDescent="0.25">
      <c r="A171" s="159" t="s">
        <v>350</v>
      </c>
      <c r="B171" s="159" t="s">
        <v>571</v>
      </c>
      <c r="C171" s="159" t="s">
        <v>351</v>
      </c>
      <c r="D171" s="32"/>
      <c r="E171" s="32">
        <v>31440</v>
      </c>
      <c r="F171" s="32"/>
      <c r="G171" s="32"/>
      <c r="H171" s="32"/>
      <c r="I171" s="32"/>
      <c r="J171" s="32"/>
      <c r="K171" s="32"/>
      <c r="L171" s="32">
        <v>63936</v>
      </c>
      <c r="M171" s="32"/>
      <c r="N171" s="32"/>
      <c r="O171" s="32"/>
      <c r="Q171" s="32" t="str">
        <f>IF(A171="AmeriQual Foods",_xlfn.XLOOKUP(B171,Lookup!A:A,Lookup!B:B),_xlfn.XLOOKUP(B171,Lookup!M:M,Lookup!N:N))</f>
        <v>Scott Pet Dog</v>
      </c>
    </row>
    <row r="172" spans="1:17" x14ac:dyDescent="0.25">
      <c r="A172" s="159" t="s">
        <v>350</v>
      </c>
      <c r="B172" s="159" t="s">
        <v>418</v>
      </c>
      <c r="C172" s="159" t="s">
        <v>351</v>
      </c>
      <c r="D172" s="32"/>
      <c r="E172" s="32"/>
      <c r="F172" s="32"/>
      <c r="G172" s="32">
        <v>96336</v>
      </c>
      <c r="H172" s="32">
        <v>150984</v>
      </c>
      <c r="I172" s="32"/>
      <c r="J172" s="32"/>
      <c r="K172" s="32">
        <v>112602</v>
      </c>
      <c r="L172" s="32">
        <v>1204226</v>
      </c>
      <c r="M172" s="32">
        <v>1414242</v>
      </c>
      <c r="N172" s="32"/>
      <c r="O172" s="32"/>
      <c r="Q172" s="32" t="e">
        <f>IF(A172="AmeriQual Foods",_xlfn.XLOOKUP(B172,Lookup!A:A,Lookup!B:B),_xlfn.XLOOKUP(B172,Lookup!M:M,Lookup!N:N))</f>
        <v>#N/A</v>
      </c>
    </row>
    <row r="173" spans="1:17" x14ac:dyDescent="0.25">
      <c r="A173" s="159" t="s">
        <v>350</v>
      </c>
      <c r="B173" s="159" t="s">
        <v>1112</v>
      </c>
      <c r="C173" s="159" t="s">
        <v>351</v>
      </c>
      <c r="D173" s="32"/>
      <c r="E173" s="32"/>
      <c r="F173" s="32"/>
      <c r="G173" s="32"/>
      <c r="H173" s="32"/>
      <c r="I173" s="32"/>
      <c r="J173" s="32"/>
      <c r="K173" s="32"/>
      <c r="L173" s="32">
        <v>226076</v>
      </c>
      <c r="M173" s="32">
        <v>776682</v>
      </c>
      <c r="N173" s="32"/>
      <c r="O173" s="32"/>
      <c r="Q173" s="32" t="str">
        <f>IF(A173="AmeriQual Foods",_xlfn.XLOOKUP(B173,Lookup!A:A,Lookup!B:B),_xlfn.XLOOKUP(B173,Lookup!M:M,Lookup!N:N))</f>
        <v>aPack</v>
      </c>
    </row>
    <row r="174" spans="1:17" x14ac:dyDescent="0.25">
      <c r="A174" s="159" t="s">
        <v>350</v>
      </c>
      <c r="B174" s="159" t="s">
        <v>329</v>
      </c>
      <c r="C174" s="159" t="s">
        <v>351</v>
      </c>
      <c r="D174" s="32"/>
      <c r="E174" s="32"/>
      <c r="F174" s="32"/>
      <c r="G174" s="32">
        <v>96336</v>
      </c>
      <c r="H174" s="32">
        <v>150984</v>
      </c>
      <c r="I174" s="32"/>
      <c r="J174" s="32"/>
      <c r="K174" s="32">
        <v>112602</v>
      </c>
      <c r="L174" s="32">
        <v>978150</v>
      </c>
      <c r="M174" s="32">
        <v>637560</v>
      </c>
      <c r="N174" s="32"/>
      <c r="O174" s="32"/>
      <c r="Q174" s="32" t="str">
        <f>IF(A174="AmeriQual Foods",_xlfn.XLOOKUP(B174,Lookup!A:A,Lookup!B:B),_xlfn.XLOOKUP(B174,Lookup!M:M,Lookup!N:N))</f>
        <v>SDR</v>
      </c>
    </row>
    <row r="175" spans="1:17" x14ac:dyDescent="0.25">
      <c r="A175" s="159" t="s">
        <v>350</v>
      </c>
      <c r="B175" s="159" t="s">
        <v>419</v>
      </c>
      <c r="C175" s="159" t="s">
        <v>351</v>
      </c>
      <c r="D175" s="32"/>
      <c r="E175" s="32"/>
      <c r="F175" s="32"/>
      <c r="G175" s="32">
        <v>96336</v>
      </c>
      <c r="H175" s="32">
        <v>150984</v>
      </c>
      <c r="I175" s="32"/>
      <c r="J175" s="32"/>
      <c r="K175" s="32">
        <v>112602</v>
      </c>
      <c r="L175" s="32">
        <v>978150</v>
      </c>
      <c r="M175" s="32">
        <v>637560</v>
      </c>
      <c r="N175" s="32"/>
      <c r="O175" s="32"/>
      <c r="Q175" s="32" t="e">
        <f>IF(A175="AmeriQual Foods",_xlfn.XLOOKUP(B175,Lookup!A:A,Lookup!B:B),_xlfn.XLOOKUP(B175,Lookup!M:M,Lookup!N:N))</f>
        <v>#N/A</v>
      </c>
    </row>
    <row r="176" spans="1:17" x14ac:dyDescent="0.25">
      <c r="A176" s="159" t="s">
        <v>350</v>
      </c>
      <c r="B176" s="159" t="s">
        <v>293</v>
      </c>
      <c r="C176" s="159" t="s">
        <v>351</v>
      </c>
      <c r="D176" s="32">
        <v>305194</v>
      </c>
      <c r="E176" s="32">
        <v>368432</v>
      </c>
      <c r="F176" s="32">
        <v>1414182</v>
      </c>
      <c r="G176" s="32">
        <v>1679122</v>
      </c>
      <c r="H176" s="32">
        <v>1664634</v>
      </c>
      <c r="I176" s="32">
        <v>1184016</v>
      </c>
      <c r="J176" s="32">
        <v>1872768</v>
      </c>
      <c r="K176" s="32">
        <v>1602980</v>
      </c>
      <c r="L176" s="32">
        <v>1063766</v>
      </c>
      <c r="M176" s="32">
        <v>1731146</v>
      </c>
      <c r="N176" s="32">
        <v>725208</v>
      </c>
      <c r="O176" s="32"/>
      <c r="Q176" s="32" t="str">
        <f>IF(A176="AmeriQual Foods",_xlfn.XLOOKUP(B176,Lookup!A:A,Lookup!B:B),_xlfn.XLOOKUP(B176,Lookup!M:M,Lookup!N:N))</f>
        <v>Serenity</v>
      </c>
    </row>
    <row r="177" spans="1:17" x14ac:dyDescent="0.25">
      <c r="A177" s="159" t="s">
        <v>350</v>
      </c>
      <c r="B177" s="159" t="s">
        <v>420</v>
      </c>
      <c r="C177" s="159" t="s">
        <v>351</v>
      </c>
      <c r="D177" s="32"/>
      <c r="E177" s="32">
        <v>47268</v>
      </c>
      <c r="F177" s="32"/>
      <c r="G177" s="32"/>
      <c r="H177" s="32">
        <v>40320</v>
      </c>
      <c r="I177" s="32"/>
      <c r="J177" s="32">
        <v>55440</v>
      </c>
      <c r="K177" s="32"/>
      <c r="L177" s="32"/>
      <c r="M177" s="32">
        <v>51540</v>
      </c>
      <c r="N177" s="32"/>
      <c r="O177" s="32"/>
      <c r="Q177" s="32" t="e">
        <f>IF(A177="AmeriQual Foods",_xlfn.XLOOKUP(B177,Lookup!A:A,Lookup!B:B),_xlfn.XLOOKUP(B177,Lookup!M:M,Lookup!N:N))</f>
        <v>#N/A</v>
      </c>
    </row>
    <row r="178" spans="1:17" x14ac:dyDescent="0.25">
      <c r="A178" s="159" t="s">
        <v>350</v>
      </c>
      <c r="B178" s="159" t="s">
        <v>421</v>
      </c>
      <c r="C178" s="159" t="s">
        <v>351</v>
      </c>
      <c r="D178" s="32"/>
      <c r="E178" s="32">
        <v>20450</v>
      </c>
      <c r="F178" s="32"/>
      <c r="G178" s="32"/>
      <c r="H178" s="32">
        <v>20450</v>
      </c>
      <c r="I178" s="32"/>
      <c r="J178" s="32">
        <v>20450</v>
      </c>
      <c r="K178" s="32"/>
      <c r="L178" s="32"/>
      <c r="M178" s="32">
        <v>20450</v>
      </c>
      <c r="N178" s="32"/>
      <c r="O178" s="32"/>
      <c r="Q178" s="32" t="e">
        <f>IF(A178="AmeriQual Foods",_xlfn.XLOOKUP(B178,Lookup!A:A,Lookup!B:B),_xlfn.XLOOKUP(B178,Lookup!M:M,Lookup!N:N))</f>
        <v>#N/A</v>
      </c>
    </row>
    <row r="179" spans="1:17" x14ac:dyDescent="0.25">
      <c r="A179" s="159" t="s">
        <v>350</v>
      </c>
      <c r="B179" s="159" t="s">
        <v>422</v>
      </c>
      <c r="C179" s="159" t="s">
        <v>351</v>
      </c>
      <c r="D179" s="32">
        <v>45012</v>
      </c>
      <c r="E179" s="32"/>
      <c r="F179" s="32">
        <v>404244</v>
      </c>
      <c r="G179" s="32">
        <v>324552</v>
      </c>
      <c r="H179" s="32">
        <v>373404</v>
      </c>
      <c r="I179" s="32">
        <v>342684</v>
      </c>
      <c r="J179" s="32">
        <v>679752</v>
      </c>
      <c r="K179" s="32">
        <v>359760</v>
      </c>
      <c r="L179" s="32">
        <v>187752</v>
      </c>
      <c r="M179" s="32">
        <v>405420</v>
      </c>
      <c r="N179" s="32">
        <v>189144</v>
      </c>
      <c r="O179" s="32"/>
      <c r="Q179" s="32" t="e">
        <f>IF(A179="AmeriQual Foods",_xlfn.XLOOKUP(B179,Lookup!A:A,Lookup!B:B),_xlfn.XLOOKUP(B179,Lookup!M:M,Lookup!N:N))</f>
        <v>#N/A</v>
      </c>
    </row>
    <row r="180" spans="1:17" x14ac:dyDescent="0.25">
      <c r="A180" s="159" t="s">
        <v>350</v>
      </c>
      <c r="B180" s="159" t="s">
        <v>423</v>
      </c>
      <c r="C180" s="159" t="s">
        <v>351</v>
      </c>
      <c r="D180" s="32">
        <v>20450</v>
      </c>
      <c r="E180" s="32"/>
      <c r="F180" s="32">
        <v>20450</v>
      </c>
      <c r="G180" s="32"/>
      <c r="H180" s="32">
        <v>81700</v>
      </c>
      <c r="I180" s="32">
        <v>40850</v>
      </c>
      <c r="J180" s="32">
        <v>61350</v>
      </c>
      <c r="K180" s="32">
        <v>40900</v>
      </c>
      <c r="L180" s="32">
        <v>40100</v>
      </c>
      <c r="M180" s="32"/>
      <c r="N180" s="32"/>
      <c r="O180" s="32"/>
      <c r="Q180" s="32" t="e">
        <f>IF(A180="AmeriQual Foods",_xlfn.XLOOKUP(B180,Lookup!A:A,Lookup!B:B),_xlfn.XLOOKUP(B180,Lookup!M:M,Lookup!N:N))</f>
        <v>#N/A</v>
      </c>
    </row>
    <row r="181" spans="1:17" x14ac:dyDescent="0.25">
      <c r="A181" s="159" t="s">
        <v>350</v>
      </c>
      <c r="B181" s="159" t="s">
        <v>830</v>
      </c>
      <c r="C181" s="159" t="s">
        <v>351</v>
      </c>
      <c r="D181" s="32"/>
      <c r="E181" s="32"/>
      <c r="F181" s="32"/>
      <c r="G181" s="32"/>
      <c r="H181" s="32">
        <v>110268</v>
      </c>
      <c r="I181" s="32"/>
      <c r="J181" s="32"/>
      <c r="K181" s="32">
        <v>74076</v>
      </c>
      <c r="L181" s="32"/>
      <c r="M181" s="32"/>
      <c r="N181" s="32">
        <v>79656</v>
      </c>
      <c r="O181" s="32"/>
      <c r="Q181" s="32" t="e">
        <f>IF(A181="AmeriQual Foods",_xlfn.XLOOKUP(B181,Lookup!A:A,Lookup!B:B),_xlfn.XLOOKUP(B181,Lookup!M:M,Lookup!N:N))</f>
        <v>#N/A</v>
      </c>
    </row>
    <row r="182" spans="1:17" x14ac:dyDescent="0.25">
      <c r="A182" s="159" t="s">
        <v>350</v>
      </c>
      <c r="B182" s="159" t="s">
        <v>831</v>
      </c>
      <c r="C182" s="159" t="s">
        <v>351</v>
      </c>
      <c r="D182" s="32"/>
      <c r="E182" s="32"/>
      <c r="F182" s="32"/>
      <c r="G182" s="32"/>
      <c r="H182" s="32">
        <v>20450</v>
      </c>
      <c r="I182" s="32"/>
      <c r="J182" s="32"/>
      <c r="K182" s="32"/>
      <c r="L182" s="32"/>
      <c r="M182" s="32"/>
      <c r="N182" s="32">
        <v>20450</v>
      </c>
      <c r="O182" s="32"/>
      <c r="Q182" s="32" t="e">
        <f>IF(A182="AmeriQual Foods",_xlfn.XLOOKUP(B182,Lookup!A:A,Lookup!B:B),_xlfn.XLOOKUP(B182,Lookup!M:M,Lookup!N:N))</f>
        <v>#N/A</v>
      </c>
    </row>
    <row r="183" spans="1:17" x14ac:dyDescent="0.25">
      <c r="A183" s="159" t="s">
        <v>350</v>
      </c>
      <c r="B183" s="159" t="s">
        <v>424</v>
      </c>
      <c r="C183" s="159" t="s">
        <v>351</v>
      </c>
      <c r="D183" s="32"/>
      <c r="E183" s="32"/>
      <c r="F183" s="32">
        <v>342180</v>
      </c>
      <c r="G183" s="32">
        <v>184416</v>
      </c>
      <c r="H183" s="32"/>
      <c r="I183" s="32">
        <v>77244</v>
      </c>
      <c r="J183" s="32"/>
      <c r="K183" s="32"/>
      <c r="L183" s="32"/>
      <c r="M183" s="32"/>
      <c r="N183" s="32"/>
      <c r="O183" s="32"/>
      <c r="Q183" s="32" t="e">
        <f>IF(A183="AmeriQual Foods",_xlfn.XLOOKUP(B183,Lookup!A:A,Lookup!B:B),_xlfn.XLOOKUP(B183,Lookup!M:M,Lookup!N:N))</f>
        <v>#N/A</v>
      </c>
    </row>
    <row r="184" spans="1:17" x14ac:dyDescent="0.25">
      <c r="A184" s="159" t="s">
        <v>350</v>
      </c>
      <c r="B184" s="159" t="s">
        <v>425</v>
      </c>
      <c r="C184" s="159" t="s">
        <v>351</v>
      </c>
      <c r="D184" s="32"/>
      <c r="E184" s="32"/>
      <c r="F184" s="32">
        <v>62900</v>
      </c>
      <c r="G184" s="32"/>
      <c r="H184" s="32"/>
      <c r="I184" s="32"/>
      <c r="J184" s="32"/>
      <c r="K184" s="32"/>
      <c r="L184" s="32"/>
      <c r="M184" s="32"/>
      <c r="N184" s="32"/>
      <c r="O184" s="32"/>
      <c r="Q184" s="32" t="e">
        <f>IF(A184="AmeriQual Foods",_xlfn.XLOOKUP(B184,Lookup!A:A,Lookup!B:B),_xlfn.XLOOKUP(B184,Lookup!M:M,Lookup!N:N))</f>
        <v>#N/A</v>
      </c>
    </row>
    <row r="185" spans="1:17" x14ac:dyDescent="0.25">
      <c r="A185" s="159" t="s">
        <v>350</v>
      </c>
      <c r="B185" s="159" t="s">
        <v>426</v>
      </c>
      <c r="C185" s="159" t="s">
        <v>351</v>
      </c>
      <c r="D185" s="32"/>
      <c r="E185" s="32"/>
      <c r="F185" s="32"/>
      <c r="G185" s="32">
        <v>35532</v>
      </c>
      <c r="H185" s="32">
        <v>69228</v>
      </c>
      <c r="I185" s="32"/>
      <c r="J185" s="32"/>
      <c r="K185" s="32"/>
      <c r="L185" s="32">
        <v>77268</v>
      </c>
      <c r="M185" s="32">
        <v>51336</v>
      </c>
      <c r="N185" s="32"/>
      <c r="O185" s="32"/>
      <c r="Q185" s="32" t="e">
        <f>IF(A185="AmeriQual Foods",_xlfn.XLOOKUP(B185,Lookup!A:A,Lookup!B:B),_xlfn.XLOOKUP(B185,Lookup!M:M,Lookup!N:N))</f>
        <v>#N/A</v>
      </c>
    </row>
    <row r="186" spans="1:17" x14ac:dyDescent="0.25">
      <c r="A186" s="159" t="s">
        <v>350</v>
      </c>
      <c r="B186" s="159" t="s">
        <v>427</v>
      </c>
      <c r="C186" s="159" t="s">
        <v>351</v>
      </c>
      <c r="D186" s="32"/>
      <c r="E186" s="32"/>
      <c r="F186" s="32"/>
      <c r="G186" s="32">
        <v>20450</v>
      </c>
      <c r="H186" s="32"/>
      <c r="I186" s="32"/>
      <c r="J186" s="32"/>
      <c r="K186" s="32"/>
      <c r="L186" s="32"/>
      <c r="M186" s="32">
        <v>20450</v>
      </c>
      <c r="N186" s="32"/>
      <c r="O186" s="32"/>
      <c r="Q186" s="32" t="e">
        <f>IF(A186="AmeriQual Foods",_xlfn.XLOOKUP(B186,Lookup!A:A,Lookup!B:B),_xlfn.XLOOKUP(B186,Lookup!M:M,Lookup!N:N))</f>
        <v>#N/A</v>
      </c>
    </row>
    <row r="187" spans="1:17" x14ac:dyDescent="0.25">
      <c r="A187" s="159" t="s">
        <v>350</v>
      </c>
      <c r="B187" s="159" t="s">
        <v>428</v>
      </c>
      <c r="C187" s="159" t="s">
        <v>351</v>
      </c>
      <c r="D187" s="32"/>
      <c r="E187" s="32">
        <v>14928</v>
      </c>
      <c r="F187" s="32"/>
      <c r="G187" s="32"/>
      <c r="H187" s="32">
        <v>94836</v>
      </c>
      <c r="I187" s="32">
        <v>49248</v>
      </c>
      <c r="J187" s="32"/>
      <c r="K187" s="32">
        <v>35700</v>
      </c>
      <c r="L187" s="32">
        <v>40968</v>
      </c>
      <c r="M187" s="32">
        <v>79440</v>
      </c>
      <c r="N187" s="32"/>
      <c r="O187" s="32"/>
      <c r="Q187" s="32" t="e">
        <f>IF(A187="AmeriQual Foods",_xlfn.XLOOKUP(B187,Lookup!A:A,Lookup!B:B),_xlfn.XLOOKUP(B187,Lookup!M:M,Lookup!N:N))</f>
        <v>#N/A</v>
      </c>
    </row>
    <row r="188" spans="1:17" x14ac:dyDescent="0.25">
      <c r="A188" s="159" t="s">
        <v>350</v>
      </c>
      <c r="B188" s="159" t="s">
        <v>429</v>
      </c>
      <c r="C188" s="159" t="s">
        <v>351</v>
      </c>
      <c r="D188" s="32"/>
      <c r="E188" s="32">
        <v>40850</v>
      </c>
      <c r="F188" s="32"/>
      <c r="G188" s="32"/>
      <c r="H188" s="32">
        <v>20450</v>
      </c>
      <c r="I188" s="32">
        <v>20450</v>
      </c>
      <c r="J188" s="32"/>
      <c r="K188" s="32">
        <v>41000</v>
      </c>
      <c r="L188" s="32">
        <v>20450</v>
      </c>
      <c r="M188" s="32"/>
      <c r="N188" s="32"/>
      <c r="O188" s="32"/>
      <c r="Q188" s="32" t="e">
        <f>IF(A188="AmeriQual Foods",_xlfn.XLOOKUP(B188,Lookup!A:A,Lookup!B:B),_xlfn.XLOOKUP(B188,Lookup!M:M,Lookup!N:N))</f>
        <v>#N/A</v>
      </c>
    </row>
    <row r="189" spans="1:17" x14ac:dyDescent="0.25">
      <c r="A189" s="159" t="s">
        <v>350</v>
      </c>
      <c r="B189" s="159" t="s">
        <v>430</v>
      </c>
      <c r="C189" s="159" t="s">
        <v>351</v>
      </c>
      <c r="D189" s="32">
        <v>53136</v>
      </c>
      <c r="E189" s="32">
        <v>55332</v>
      </c>
      <c r="F189" s="32">
        <v>28620</v>
      </c>
      <c r="G189" s="32">
        <v>23796</v>
      </c>
      <c r="H189" s="32"/>
      <c r="I189" s="32"/>
      <c r="J189" s="32">
        <v>95316</v>
      </c>
      <c r="K189" s="32">
        <v>98664</v>
      </c>
      <c r="L189" s="32">
        <v>52980</v>
      </c>
      <c r="M189" s="32">
        <v>79716</v>
      </c>
      <c r="N189" s="32">
        <v>23760</v>
      </c>
      <c r="O189" s="32"/>
      <c r="Q189" s="32" t="e">
        <f>IF(A189="AmeriQual Foods",_xlfn.XLOOKUP(B189,Lookup!A:A,Lookup!B:B),_xlfn.XLOOKUP(B189,Lookup!M:M,Lookup!N:N))</f>
        <v>#N/A</v>
      </c>
    </row>
    <row r="190" spans="1:17" x14ac:dyDescent="0.25">
      <c r="A190" s="159" t="s">
        <v>350</v>
      </c>
      <c r="B190" s="159" t="s">
        <v>431</v>
      </c>
      <c r="C190" s="159" t="s">
        <v>351</v>
      </c>
      <c r="D190" s="32">
        <v>40900</v>
      </c>
      <c r="E190" s="32"/>
      <c r="F190" s="32">
        <v>20450</v>
      </c>
      <c r="G190" s="32"/>
      <c r="H190" s="32"/>
      <c r="I190" s="32"/>
      <c r="J190" s="32">
        <v>20450</v>
      </c>
      <c r="K190" s="32">
        <v>40450</v>
      </c>
      <c r="L190" s="32"/>
      <c r="M190" s="32">
        <v>20450</v>
      </c>
      <c r="N190" s="32"/>
      <c r="O190" s="32"/>
      <c r="Q190" s="32" t="e">
        <f>IF(A190="AmeriQual Foods",_xlfn.XLOOKUP(B190,Lookup!A:A,Lookup!B:B),_xlfn.XLOOKUP(B190,Lookup!M:M,Lookup!N:N))</f>
        <v>#N/A</v>
      </c>
    </row>
    <row r="191" spans="1:17" x14ac:dyDescent="0.25">
      <c r="A191" s="159" t="s">
        <v>350</v>
      </c>
      <c r="B191" s="159" t="s">
        <v>432</v>
      </c>
      <c r="C191" s="159" t="s">
        <v>351</v>
      </c>
      <c r="D191" s="32"/>
      <c r="E191" s="32"/>
      <c r="F191" s="32">
        <v>120900</v>
      </c>
      <c r="G191" s="32">
        <v>197496</v>
      </c>
      <c r="H191" s="32">
        <v>27504</v>
      </c>
      <c r="I191" s="32">
        <v>107520</v>
      </c>
      <c r="J191" s="32"/>
      <c r="K191" s="32">
        <v>167244</v>
      </c>
      <c r="L191" s="32">
        <v>141192</v>
      </c>
      <c r="M191" s="32">
        <v>217308</v>
      </c>
      <c r="N191" s="32">
        <v>67584</v>
      </c>
      <c r="O191" s="32"/>
      <c r="Q191" s="32" t="e">
        <f>IF(A191="AmeriQual Foods",_xlfn.XLOOKUP(B191,Lookup!A:A,Lookup!B:B),_xlfn.XLOOKUP(B191,Lookup!M:M,Lookup!N:N))</f>
        <v>#N/A</v>
      </c>
    </row>
    <row r="192" spans="1:17" x14ac:dyDescent="0.25">
      <c r="A192" s="159" t="s">
        <v>350</v>
      </c>
      <c r="B192" s="159" t="s">
        <v>433</v>
      </c>
      <c r="C192" s="159" t="s">
        <v>351</v>
      </c>
      <c r="D192" s="32"/>
      <c r="E192" s="32"/>
      <c r="F192" s="32"/>
      <c r="G192" s="32">
        <v>20450</v>
      </c>
      <c r="H192" s="32">
        <v>20450</v>
      </c>
      <c r="I192" s="32"/>
      <c r="J192" s="32"/>
      <c r="K192" s="32"/>
      <c r="L192" s="32"/>
      <c r="M192" s="32">
        <v>20450</v>
      </c>
      <c r="N192" s="32"/>
      <c r="O192" s="32"/>
      <c r="Q192" s="32" t="e">
        <f>IF(A192="AmeriQual Foods",_xlfn.XLOOKUP(B192,Lookup!A:A,Lookup!B:B),_xlfn.XLOOKUP(B192,Lookup!M:M,Lookup!N:N))</f>
        <v>#N/A</v>
      </c>
    </row>
    <row r="193" spans="1:17" x14ac:dyDescent="0.25">
      <c r="A193" s="159" t="s">
        <v>350</v>
      </c>
      <c r="B193" s="159" t="s">
        <v>434</v>
      </c>
      <c r="C193" s="159" t="s">
        <v>351</v>
      </c>
      <c r="D193" s="32"/>
      <c r="E193" s="32">
        <v>55716</v>
      </c>
      <c r="F193" s="32">
        <v>52860</v>
      </c>
      <c r="G193" s="32"/>
      <c r="H193" s="32">
        <v>53412</v>
      </c>
      <c r="I193" s="32">
        <v>40380</v>
      </c>
      <c r="J193" s="32"/>
      <c r="K193" s="32"/>
      <c r="L193" s="32"/>
      <c r="M193" s="32"/>
      <c r="N193" s="32"/>
      <c r="O193" s="32"/>
      <c r="Q193" s="32" t="e">
        <f>IF(A193="AmeriQual Foods",_xlfn.XLOOKUP(B193,Lookup!A:A,Lookup!B:B),_xlfn.XLOOKUP(B193,Lookup!M:M,Lookup!N:N))</f>
        <v>#N/A</v>
      </c>
    </row>
    <row r="194" spans="1:17" x14ac:dyDescent="0.25">
      <c r="A194" s="159" t="s">
        <v>350</v>
      </c>
      <c r="B194" s="159" t="s">
        <v>572</v>
      </c>
      <c r="C194" s="159" t="s">
        <v>351</v>
      </c>
      <c r="D194" s="32"/>
      <c r="E194" s="32">
        <v>32200</v>
      </c>
      <c r="F194" s="32">
        <v>10250</v>
      </c>
      <c r="G194" s="32"/>
      <c r="H194" s="32">
        <v>20450</v>
      </c>
      <c r="I194" s="32">
        <v>20450</v>
      </c>
      <c r="J194" s="32"/>
      <c r="K194" s="32"/>
      <c r="L194" s="32"/>
      <c r="M194" s="32"/>
      <c r="N194" s="32"/>
      <c r="O194" s="32"/>
      <c r="Q194" s="32" t="e">
        <f>IF(A194="AmeriQual Foods",_xlfn.XLOOKUP(B194,Lookup!A:A,Lookup!B:B),_xlfn.XLOOKUP(B194,Lookup!M:M,Lookup!N:N))</f>
        <v>#N/A</v>
      </c>
    </row>
    <row r="195" spans="1:17" x14ac:dyDescent="0.25">
      <c r="A195" s="159" t="s">
        <v>350</v>
      </c>
      <c r="B195" s="159" t="s">
        <v>945</v>
      </c>
      <c r="C195" s="159" t="s">
        <v>351</v>
      </c>
      <c r="D195" s="32"/>
      <c r="E195" s="32"/>
      <c r="F195" s="32"/>
      <c r="G195" s="32"/>
      <c r="H195" s="32"/>
      <c r="I195" s="32"/>
      <c r="J195" s="32">
        <v>52932</v>
      </c>
      <c r="K195" s="32">
        <v>35544</v>
      </c>
      <c r="L195" s="32">
        <v>23784</v>
      </c>
      <c r="M195" s="32">
        <v>51660</v>
      </c>
      <c r="N195" s="32"/>
      <c r="O195" s="32"/>
      <c r="Q195" s="32" t="e">
        <f>IF(A195="AmeriQual Foods",_xlfn.XLOOKUP(B195,Lookup!A:A,Lookup!B:B),_xlfn.XLOOKUP(B195,Lookup!M:M,Lookup!N:N))</f>
        <v>#N/A</v>
      </c>
    </row>
    <row r="196" spans="1:17" x14ac:dyDescent="0.25">
      <c r="A196" s="159" t="s">
        <v>350</v>
      </c>
      <c r="B196" s="159" t="s">
        <v>946</v>
      </c>
      <c r="C196" s="159" t="s">
        <v>351</v>
      </c>
      <c r="D196" s="32"/>
      <c r="E196" s="32"/>
      <c r="F196" s="32"/>
      <c r="G196" s="32"/>
      <c r="H196" s="32"/>
      <c r="I196" s="32"/>
      <c r="J196" s="32">
        <v>20450</v>
      </c>
      <c r="K196" s="32">
        <v>20450</v>
      </c>
      <c r="L196" s="32"/>
      <c r="M196" s="32">
        <v>20450</v>
      </c>
      <c r="N196" s="32"/>
      <c r="O196" s="32"/>
      <c r="Q196" s="32" t="e">
        <f>IF(A196="AmeriQual Foods",_xlfn.XLOOKUP(B196,Lookup!A:A,Lookup!B:B),_xlfn.XLOOKUP(B196,Lookup!M:M,Lookup!N:N))</f>
        <v>#N/A</v>
      </c>
    </row>
    <row r="197" spans="1:17" x14ac:dyDescent="0.25">
      <c r="A197" s="159" t="s">
        <v>350</v>
      </c>
      <c r="B197" s="159" t="s">
        <v>912</v>
      </c>
      <c r="C197" s="159" t="s">
        <v>351</v>
      </c>
      <c r="D197" s="32"/>
      <c r="E197" s="32"/>
      <c r="F197" s="32"/>
      <c r="G197" s="32"/>
      <c r="H197" s="32"/>
      <c r="I197" s="32">
        <v>51420</v>
      </c>
      <c r="J197" s="32"/>
      <c r="K197" s="32"/>
      <c r="L197" s="32"/>
      <c r="M197" s="32"/>
      <c r="N197" s="32"/>
      <c r="O197" s="32"/>
      <c r="Q197" s="32" t="e">
        <f>IF(A197="AmeriQual Foods",_xlfn.XLOOKUP(B197,Lookup!A:A,Lookup!B:B),_xlfn.XLOOKUP(B197,Lookup!M:M,Lookup!N:N))</f>
        <v>#N/A</v>
      </c>
    </row>
    <row r="198" spans="1:17" x14ac:dyDescent="0.25">
      <c r="A198" s="159" t="s">
        <v>350</v>
      </c>
      <c r="B198" s="159" t="s">
        <v>913</v>
      </c>
      <c r="C198" s="159" t="s">
        <v>351</v>
      </c>
      <c r="D198" s="32"/>
      <c r="E198" s="32"/>
      <c r="F198" s="32"/>
      <c r="G198" s="32"/>
      <c r="H198" s="32"/>
      <c r="I198" s="32">
        <v>20450</v>
      </c>
      <c r="J198" s="32"/>
      <c r="K198" s="32"/>
      <c r="L198" s="32"/>
      <c r="M198" s="32"/>
      <c r="N198" s="32"/>
      <c r="O198" s="32"/>
      <c r="Q198" s="32" t="e">
        <f>IF(A198="AmeriQual Foods",_xlfn.XLOOKUP(B198,Lookup!A:A,Lookup!B:B),_xlfn.XLOOKUP(B198,Lookup!M:M,Lookup!N:N))</f>
        <v>#N/A</v>
      </c>
    </row>
    <row r="199" spans="1:17" x14ac:dyDescent="0.25">
      <c r="A199" s="159" t="s">
        <v>350</v>
      </c>
      <c r="B199" s="159" t="s">
        <v>435</v>
      </c>
      <c r="C199" s="159" t="s">
        <v>351</v>
      </c>
      <c r="D199" s="32"/>
      <c r="E199" s="32"/>
      <c r="F199" s="32"/>
      <c r="G199" s="32">
        <v>104244</v>
      </c>
      <c r="H199" s="32">
        <v>133500</v>
      </c>
      <c r="I199" s="32">
        <v>55056</v>
      </c>
      <c r="J199" s="32"/>
      <c r="K199" s="32">
        <v>112308</v>
      </c>
      <c r="L199" s="32"/>
      <c r="M199" s="32">
        <v>75192</v>
      </c>
      <c r="N199" s="32">
        <v>55308</v>
      </c>
      <c r="O199" s="32"/>
      <c r="Q199" s="32" t="e">
        <f>IF(A199="AmeriQual Foods",_xlfn.XLOOKUP(B199,Lookup!A:A,Lookup!B:B),_xlfn.XLOOKUP(B199,Lookup!M:M,Lookup!N:N))</f>
        <v>#N/A</v>
      </c>
    </row>
    <row r="200" spans="1:17" x14ac:dyDescent="0.25">
      <c r="A200" s="159" t="s">
        <v>350</v>
      </c>
      <c r="B200" s="159" t="s">
        <v>436</v>
      </c>
      <c r="C200" s="159" t="s">
        <v>351</v>
      </c>
      <c r="D200" s="32"/>
      <c r="E200" s="32"/>
      <c r="F200" s="32"/>
      <c r="G200" s="32">
        <v>40900</v>
      </c>
      <c r="H200" s="32"/>
      <c r="I200" s="32">
        <v>13850</v>
      </c>
      <c r="J200" s="32"/>
      <c r="K200" s="32">
        <v>20450</v>
      </c>
      <c r="L200" s="32"/>
      <c r="M200" s="32"/>
      <c r="N200" s="32">
        <v>20450</v>
      </c>
      <c r="O200" s="32"/>
      <c r="Q200" s="32" t="e">
        <f>IF(A200="AmeriQual Foods",_xlfn.XLOOKUP(B200,Lookup!A:A,Lookup!B:B),_xlfn.XLOOKUP(B200,Lookup!M:M,Lookup!N:N))</f>
        <v>#N/A</v>
      </c>
    </row>
    <row r="201" spans="1:17" x14ac:dyDescent="0.25">
      <c r="A201" s="159" t="s">
        <v>350</v>
      </c>
      <c r="B201" s="159" t="s">
        <v>437</v>
      </c>
      <c r="C201" s="159" t="s">
        <v>351</v>
      </c>
      <c r="D201" s="32"/>
      <c r="E201" s="32"/>
      <c r="F201" s="32">
        <v>44772</v>
      </c>
      <c r="G201" s="32"/>
      <c r="H201" s="32"/>
      <c r="I201" s="32">
        <v>52536</v>
      </c>
      <c r="J201" s="32">
        <v>57672</v>
      </c>
      <c r="K201" s="32"/>
      <c r="L201" s="32"/>
      <c r="M201" s="32"/>
      <c r="N201" s="32">
        <v>41532</v>
      </c>
      <c r="O201" s="32"/>
      <c r="Q201" s="32" t="e">
        <f>IF(A201="AmeriQual Foods",_xlfn.XLOOKUP(B201,Lookup!A:A,Lookup!B:B),_xlfn.XLOOKUP(B201,Lookup!M:M,Lookup!N:N))</f>
        <v>#N/A</v>
      </c>
    </row>
    <row r="202" spans="1:17" x14ac:dyDescent="0.25">
      <c r="A202" s="159" t="s">
        <v>350</v>
      </c>
      <c r="B202" s="159" t="s">
        <v>438</v>
      </c>
      <c r="C202" s="159" t="s">
        <v>351</v>
      </c>
      <c r="D202" s="32"/>
      <c r="E202" s="32"/>
      <c r="F202" s="32">
        <v>20450</v>
      </c>
      <c r="G202" s="32"/>
      <c r="H202" s="32"/>
      <c r="I202" s="32">
        <v>20450</v>
      </c>
      <c r="J202" s="32"/>
      <c r="K202" s="32"/>
      <c r="L202" s="32"/>
      <c r="M202" s="32"/>
      <c r="N202" s="32">
        <v>34050</v>
      </c>
      <c r="O202" s="32"/>
      <c r="Q202" s="32" t="e">
        <f>IF(A202="AmeriQual Foods",_xlfn.XLOOKUP(B202,Lookup!A:A,Lookup!B:B),_xlfn.XLOOKUP(B202,Lookup!M:M,Lookup!N:N))</f>
        <v>#N/A</v>
      </c>
    </row>
    <row r="203" spans="1:17" x14ac:dyDescent="0.25">
      <c r="A203" s="159" t="s">
        <v>350</v>
      </c>
      <c r="B203" s="159" t="s">
        <v>439</v>
      </c>
      <c r="C203" s="159" t="s">
        <v>351</v>
      </c>
      <c r="D203" s="32"/>
      <c r="E203" s="32"/>
      <c r="F203" s="32">
        <v>57216</v>
      </c>
      <c r="G203" s="32"/>
      <c r="H203" s="32">
        <v>90924</v>
      </c>
      <c r="I203" s="32">
        <v>61632</v>
      </c>
      <c r="J203" s="32">
        <v>54348</v>
      </c>
      <c r="K203" s="32"/>
      <c r="L203" s="32"/>
      <c r="M203" s="32">
        <v>75888</v>
      </c>
      <c r="N203" s="32"/>
      <c r="O203" s="32"/>
      <c r="Q203" s="32" t="e">
        <f>IF(A203="AmeriQual Foods",_xlfn.XLOOKUP(B203,Lookup!A:A,Lookup!B:B),_xlfn.XLOOKUP(B203,Lookup!M:M,Lookup!N:N))</f>
        <v>#N/A</v>
      </c>
    </row>
    <row r="204" spans="1:17" x14ac:dyDescent="0.25">
      <c r="A204" s="159" t="s">
        <v>350</v>
      </c>
      <c r="B204" s="159" t="s">
        <v>832</v>
      </c>
      <c r="C204" s="159" t="s">
        <v>351</v>
      </c>
      <c r="D204" s="32"/>
      <c r="E204" s="32"/>
      <c r="F204" s="32"/>
      <c r="G204" s="32"/>
      <c r="H204" s="32">
        <v>20450</v>
      </c>
      <c r="I204" s="32"/>
      <c r="J204" s="32">
        <v>20450</v>
      </c>
      <c r="K204" s="32"/>
      <c r="L204" s="32"/>
      <c r="M204" s="32"/>
      <c r="N204" s="32"/>
      <c r="O204" s="32"/>
      <c r="Q204" s="32" t="e">
        <f>IF(A204="AmeriQual Foods",_xlfn.XLOOKUP(B204,Lookup!A:A,Lookup!B:B),_xlfn.XLOOKUP(B204,Lookup!M:M,Lookup!N:N))</f>
        <v>#N/A</v>
      </c>
    </row>
    <row r="205" spans="1:17" x14ac:dyDescent="0.25">
      <c r="A205" s="159" t="s">
        <v>350</v>
      </c>
      <c r="B205" s="159" t="s">
        <v>440</v>
      </c>
      <c r="C205" s="159" t="s">
        <v>351</v>
      </c>
      <c r="D205" s="32"/>
      <c r="E205" s="32">
        <v>23892</v>
      </c>
      <c r="F205" s="32">
        <v>45228</v>
      </c>
      <c r="G205" s="32">
        <v>206532</v>
      </c>
      <c r="H205" s="32">
        <v>200052</v>
      </c>
      <c r="I205" s="32">
        <v>152592</v>
      </c>
      <c r="J205" s="32">
        <v>212964</v>
      </c>
      <c r="K205" s="32">
        <v>180504</v>
      </c>
      <c r="L205" s="32">
        <v>141012</v>
      </c>
      <c r="M205" s="32">
        <v>123120</v>
      </c>
      <c r="N205" s="32">
        <v>115788</v>
      </c>
      <c r="O205" s="32"/>
      <c r="Q205" s="32" t="e">
        <f>IF(A205="AmeriQual Foods",_xlfn.XLOOKUP(B205,Lookup!A:A,Lookup!B:B),_xlfn.XLOOKUP(B205,Lookup!M:M,Lookup!N:N))</f>
        <v>#N/A</v>
      </c>
    </row>
    <row r="206" spans="1:17" x14ac:dyDescent="0.25">
      <c r="A206" s="159" t="s">
        <v>350</v>
      </c>
      <c r="B206" s="159" t="s">
        <v>573</v>
      </c>
      <c r="C206" s="159" t="s">
        <v>351</v>
      </c>
      <c r="D206" s="32"/>
      <c r="E206" s="32">
        <v>40000</v>
      </c>
      <c r="F206" s="32">
        <v>20450</v>
      </c>
      <c r="G206" s="32"/>
      <c r="H206" s="32"/>
      <c r="I206" s="32"/>
      <c r="J206" s="32">
        <v>20450</v>
      </c>
      <c r="K206" s="32"/>
      <c r="L206" s="32"/>
      <c r="M206" s="32">
        <v>20450</v>
      </c>
      <c r="N206" s="32">
        <v>20450</v>
      </c>
      <c r="O206" s="32"/>
      <c r="Q206" s="32" t="e">
        <f>IF(A206="AmeriQual Foods",_xlfn.XLOOKUP(B206,Lookup!A:A,Lookup!B:B),_xlfn.XLOOKUP(B206,Lookup!M:M,Lookup!N:N))</f>
        <v>#N/A</v>
      </c>
    </row>
    <row r="207" spans="1:17" x14ac:dyDescent="0.25">
      <c r="A207" s="159" t="s">
        <v>350</v>
      </c>
      <c r="B207" s="159" t="s">
        <v>441</v>
      </c>
      <c r="C207" s="159" t="s">
        <v>351</v>
      </c>
      <c r="D207" s="32">
        <v>48060</v>
      </c>
      <c r="E207" s="32">
        <v>18096</v>
      </c>
      <c r="F207" s="32"/>
      <c r="G207" s="32">
        <v>141132</v>
      </c>
      <c r="H207" s="32">
        <v>99480</v>
      </c>
      <c r="I207" s="32"/>
      <c r="J207" s="32"/>
      <c r="K207" s="32"/>
      <c r="L207" s="32"/>
      <c r="M207" s="32"/>
      <c r="N207" s="32"/>
      <c r="O207" s="32"/>
      <c r="Q207" s="32" t="e">
        <f>IF(A207="AmeriQual Foods",_xlfn.XLOOKUP(B207,Lookup!A:A,Lookup!B:B),_xlfn.XLOOKUP(B207,Lookup!M:M,Lookup!N:N))</f>
        <v>#N/A</v>
      </c>
    </row>
    <row r="208" spans="1:17" x14ac:dyDescent="0.25">
      <c r="A208" s="159" t="s">
        <v>350</v>
      </c>
      <c r="B208" s="159" t="s">
        <v>442</v>
      </c>
      <c r="C208" s="159" t="s">
        <v>351</v>
      </c>
      <c r="D208" s="32">
        <v>20450</v>
      </c>
      <c r="E208" s="32">
        <v>19700</v>
      </c>
      <c r="F208" s="32"/>
      <c r="G208" s="32"/>
      <c r="H208" s="32">
        <v>20450</v>
      </c>
      <c r="I208" s="32"/>
      <c r="J208" s="32"/>
      <c r="K208" s="32"/>
      <c r="L208" s="32"/>
      <c r="M208" s="32"/>
      <c r="N208" s="32"/>
      <c r="O208" s="32"/>
      <c r="Q208" s="32" t="e">
        <f>IF(A208="AmeriQual Foods",_xlfn.XLOOKUP(B208,Lookup!A:A,Lookup!B:B),_xlfn.XLOOKUP(B208,Lookup!M:M,Lookup!N:N))</f>
        <v>#N/A</v>
      </c>
    </row>
    <row r="209" spans="1:17" x14ac:dyDescent="0.25">
      <c r="A209" s="159" t="s">
        <v>350</v>
      </c>
      <c r="B209" s="159" t="s">
        <v>443</v>
      </c>
      <c r="C209" s="159" t="s">
        <v>351</v>
      </c>
      <c r="D209" s="32">
        <v>56736</v>
      </c>
      <c r="E209" s="32"/>
      <c r="F209" s="32">
        <v>104424</v>
      </c>
      <c r="G209" s="32">
        <v>121260</v>
      </c>
      <c r="H209" s="32">
        <v>146856</v>
      </c>
      <c r="I209" s="32"/>
      <c r="J209" s="32">
        <v>61980</v>
      </c>
      <c r="K209" s="32">
        <v>110592</v>
      </c>
      <c r="L209" s="32">
        <v>51036</v>
      </c>
      <c r="M209" s="32">
        <v>141240</v>
      </c>
      <c r="N209" s="32"/>
      <c r="O209" s="32"/>
      <c r="Q209" s="32" t="e">
        <f>IF(A209="AmeriQual Foods",_xlfn.XLOOKUP(B209,Lookup!A:A,Lookup!B:B),_xlfn.XLOOKUP(B209,Lookup!M:M,Lookup!N:N))</f>
        <v>#N/A</v>
      </c>
    </row>
    <row r="210" spans="1:17" x14ac:dyDescent="0.25">
      <c r="A210" s="159" t="s">
        <v>350</v>
      </c>
      <c r="B210" s="159" t="s">
        <v>444</v>
      </c>
      <c r="C210" s="159" t="s">
        <v>351</v>
      </c>
      <c r="D210" s="32">
        <v>20450</v>
      </c>
      <c r="E210" s="32"/>
      <c r="F210" s="32"/>
      <c r="G210" s="32"/>
      <c r="H210" s="32"/>
      <c r="I210" s="32"/>
      <c r="J210" s="32">
        <v>20450</v>
      </c>
      <c r="K210" s="32">
        <v>40850</v>
      </c>
      <c r="L210" s="32">
        <v>20450</v>
      </c>
      <c r="M210" s="32"/>
      <c r="N210" s="32"/>
      <c r="O210" s="32"/>
      <c r="Q210" s="32" t="e">
        <f>IF(A210="AmeriQual Foods",_xlfn.XLOOKUP(B210,Lookup!A:A,Lookup!B:B),_xlfn.XLOOKUP(B210,Lookup!M:M,Lookup!N:N))</f>
        <v>#N/A</v>
      </c>
    </row>
    <row r="211" spans="1:17" x14ac:dyDescent="0.25">
      <c r="A211" s="159" t="s">
        <v>350</v>
      </c>
      <c r="B211" s="159" t="s">
        <v>947</v>
      </c>
      <c r="C211" s="159" t="s">
        <v>351</v>
      </c>
      <c r="D211" s="32"/>
      <c r="E211" s="32"/>
      <c r="F211" s="32"/>
      <c r="G211" s="32"/>
      <c r="H211" s="32"/>
      <c r="I211" s="32"/>
      <c r="J211" s="32">
        <v>54216</v>
      </c>
      <c r="K211" s="32"/>
      <c r="L211" s="32"/>
      <c r="M211" s="32">
        <v>68628</v>
      </c>
      <c r="N211" s="32"/>
      <c r="O211" s="32"/>
      <c r="Q211" s="32" t="e">
        <f>IF(A211="AmeriQual Foods",_xlfn.XLOOKUP(B211,Lookup!A:A,Lookup!B:B),_xlfn.XLOOKUP(B211,Lookup!M:M,Lookup!N:N))</f>
        <v>#N/A</v>
      </c>
    </row>
    <row r="212" spans="1:17" x14ac:dyDescent="0.25">
      <c r="A212" s="159" t="s">
        <v>350</v>
      </c>
      <c r="B212" s="159" t="s">
        <v>948</v>
      </c>
      <c r="C212" s="159" t="s">
        <v>351</v>
      </c>
      <c r="D212" s="32"/>
      <c r="E212" s="32"/>
      <c r="F212" s="32"/>
      <c r="G212" s="32"/>
      <c r="H212" s="32"/>
      <c r="I212" s="32"/>
      <c r="J212" s="32">
        <v>20450</v>
      </c>
      <c r="K212" s="32"/>
      <c r="L212" s="32"/>
      <c r="M212" s="32"/>
      <c r="N212" s="32"/>
      <c r="O212" s="32"/>
      <c r="Q212" s="32" t="e">
        <f>IF(A212="AmeriQual Foods",_xlfn.XLOOKUP(B212,Lookup!A:A,Lookup!B:B),_xlfn.XLOOKUP(B212,Lookup!M:M,Lookup!N:N))</f>
        <v>#N/A</v>
      </c>
    </row>
    <row r="213" spans="1:17" x14ac:dyDescent="0.25">
      <c r="A213" s="159" t="s">
        <v>350</v>
      </c>
      <c r="B213" s="159" t="s">
        <v>445</v>
      </c>
      <c r="C213" s="159" t="s">
        <v>351</v>
      </c>
      <c r="D213" s="32"/>
      <c r="E213" s="32"/>
      <c r="F213" s="32">
        <v>58788</v>
      </c>
      <c r="G213" s="32"/>
      <c r="H213" s="32"/>
      <c r="I213" s="32"/>
      <c r="J213" s="32"/>
      <c r="K213" s="32"/>
      <c r="L213" s="32">
        <v>63060</v>
      </c>
      <c r="M213" s="32"/>
      <c r="N213" s="32"/>
      <c r="O213" s="32"/>
      <c r="Q213" s="32" t="e">
        <f>IF(A213="AmeriQual Foods",_xlfn.XLOOKUP(B213,Lookup!A:A,Lookup!B:B),_xlfn.XLOOKUP(B213,Lookup!M:M,Lookup!N:N))</f>
        <v>#N/A</v>
      </c>
    </row>
    <row r="214" spans="1:17" x14ac:dyDescent="0.25">
      <c r="A214" s="159" t="s">
        <v>350</v>
      </c>
      <c r="B214" s="159" t="s">
        <v>446</v>
      </c>
      <c r="C214" s="159" t="s">
        <v>351</v>
      </c>
      <c r="D214" s="32"/>
      <c r="E214" s="32"/>
      <c r="F214" s="32"/>
      <c r="G214" s="32">
        <v>237912</v>
      </c>
      <c r="H214" s="32"/>
      <c r="I214" s="32">
        <v>57204</v>
      </c>
      <c r="J214" s="32">
        <v>282348</v>
      </c>
      <c r="K214" s="32">
        <v>183588</v>
      </c>
      <c r="L214" s="32">
        <v>183264</v>
      </c>
      <c r="M214" s="32">
        <v>167508</v>
      </c>
      <c r="N214" s="32">
        <v>57036</v>
      </c>
      <c r="O214" s="32"/>
      <c r="Q214" s="32" t="e">
        <f>IF(A214="AmeriQual Foods",_xlfn.XLOOKUP(B214,Lookup!A:A,Lookup!B:B),_xlfn.XLOOKUP(B214,Lookup!M:M,Lookup!N:N))</f>
        <v>#N/A</v>
      </c>
    </row>
    <row r="215" spans="1:17" x14ac:dyDescent="0.25">
      <c r="A215" s="159" t="s">
        <v>350</v>
      </c>
      <c r="B215" s="159" t="s">
        <v>447</v>
      </c>
      <c r="C215" s="159" t="s">
        <v>351</v>
      </c>
      <c r="D215" s="32"/>
      <c r="E215" s="32"/>
      <c r="F215" s="32"/>
      <c r="G215" s="32">
        <v>20450</v>
      </c>
      <c r="H215" s="32"/>
      <c r="I215" s="32"/>
      <c r="J215" s="32">
        <v>61300</v>
      </c>
      <c r="K215" s="32">
        <v>40900</v>
      </c>
      <c r="L215" s="32">
        <v>20450</v>
      </c>
      <c r="M215" s="32">
        <v>20450</v>
      </c>
      <c r="N215" s="32"/>
      <c r="O215" s="32"/>
      <c r="Q215" s="32" t="e">
        <f>IF(A215="AmeriQual Foods",_xlfn.XLOOKUP(B215,Lookup!A:A,Lookup!B:B),_xlfn.XLOOKUP(B215,Lookup!M:M,Lookup!N:N))</f>
        <v>#N/A</v>
      </c>
    </row>
    <row r="216" spans="1:17" x14ac:dyDescent="0.25">
      <c r="A216" s="159" t="s">
        <v>350</v>
      </c>
      <c r="B216" s="159" t="s">
        <v>294</v>
      </c>
      <c r="C216" s="159" t="s">
        <v>351</v>
      </c>
      <c r="D216" s="32"/>
      <c r="E216" s="32"/>
      <c r="F216" s="32">
        <v>63048</v>
      </c>
      <c r="G216" s="32"/>
      <c r="H216" s="32"/>
      <c r="I216" s="32">
        <v>79872</v>
      </c>
      <c r="J216" s="32">
        <v>71244</v>
      </c>
      <c r="K216" s="32"/>
      <c r="L216" s="32"/>
      <c r="M216" s="32"/>
      <c r="N216" s="32"/>
      <c r="O216" s="32"/>
      <c r="Q216" s="32" t="str">
        <f>IF(A216="AmeriQual Foods",_xlfn.XLOOKUP(B216,Lookup!A:A,Lookup!B:B),_xlfn.XLOOKUP(B216,Lookup!M:M,Lookup!N:N))</f>
        <v>SunMaid</v>
      </c>
    </row>
    <row r="217" spans="1:17" x14ac:dyDescent="0.25">
      <c r="A217" s="159" t="s">
        <v>350</v>
      </c>
      <c r="B217" s="159" t="s">
        <v>448</v>
      </c>
      <c r="C217" s="159" t="s">
        <v>351</v>
      </c>
      <c r="D217" s="32"/>
      <c r="E217" s="32"/>
      <c r="F217" s="32">
        <v>63048</v>
      </c>
      <c r="G217" s="32"/>
      <c r="H217" s="32"/>
      <c r="I217" s="32">
        <v>79872</v>
      </c>
      <c r="J217" s="32"/>
      <c r="K217" s="32"/>
      <c r="L217" s="32"/>
      <c r="M217" s="32"/>
      <c r="N217" s="32"/>
      <c r="O217" s="32"/>
      <c r="Q217" s="32" t="e">
        <f>IF(A217="AmeriQual Foods",_xlfn.XLOOKUP(B217,Lookup!A:A,Lookup!B:B),_xlfn.XLOOKUP(B217,Lookup!M:M,Lookup!N:N))</f>
        <v>#N/A</v>
      </c>
    </row>
    <row r="218" spans="1:17" x14ac:dyDescent="0.25">
      <c r="A218" s="159" t="s">
        <v>350</v>
      </c>
      <c r="B218" s="159" t="s">
        <v>949</v>
      </c>
      <c r="C218" s="159" t="s">
        <v>351</v>
      </c>
      <c r="D218" s="32"/>
      <c r="E218" s="32"/>
      <c r="F218" s="32"/>
      <c r="G218" s="32"/>
      <c r="H218" s="32"/>
      <c r="I218" s="32"/>
      <c r="J218" s="32">
        <v>71244</v>
      </c>
      <c r="K218" s="32"/>
      <c r="L218" s="32"/>
      <c r="M218" s="32"/>
      <c r="N218" s="32"/>
      <c r="O218" s="32"/>
      <c r="Q218" s="32" t="e">
        <f>IF(A218="AmeriQual Foods",_xlfn.XLOOKUP(B218,Lookup!A:A,Lookup!B:B),_xlfn.XLOOKUP(B218,Lookup!M:M,Lookup!N:N))</f>
        <v>#N/A</v>
      </c>
    </row>
    <row r="219" spans="1:17" x14ac:dyDescent="0.25">
      <c r="A219" s="159" t="s">
        <v>350</v>
      </c>
      <c r="B219" s="159" t="s">
        <v>449</v>
      </c>
      <c r="C219" s="159" t="s">
        <v>351</v>
      </c>
      <c r="D219" s="32">
        <v>3806256</v>
      </c>
      <c r="E219" s="32">
        <v>4115076</v>
      </c>
      <c r="F219" s="32">
        <v>2106540</v>
      </c>
      <c r="G219" s="32">
        <v>2172948</v>
      </c>
      <c r="H219" s="32">
        <v>455004</v>
      </c>
      <c r="I219" s="32">
        <v>1890924</v>
      </c>
      <c r="J219" s="32">
        <v>1287972</v>
      </c>
      <c r="K219" s="32">
        <v>1473564</v>
      </c>
      <c r="L219" s="32">
        <v>984132</v>
      </c>
      <c r="M219" s="32">
        <v>1969740</v>
      </c>
      <c r="N219" s="32">
        <v>257412</v>
      </c>
      <c r="O219" s="32"/>
      <c r="Q219" s="32" t="e">
        <f>IF(A219="AmeriQual Foods",_xlfn.XLOOKUP(B219,Lookup!A:A,Lookup!B:B),_xlfn.XLOOKUP(B219,Lookup!M:M,Lookup!N:N))</f>
        <v>#N/A</v>
      </c>
    </row>
    <row r="220" spans="1:17" x14ac:dyDescent="0.25">
      <c r="A220" s="159" t="s">
        <v>350</v>
      </c>
      <c r="B220" s="159" t="s">
        <v>295</v>
      </c>
      <c r="C220" s="159" t="s">
        <v>351</v>
      </c>
      <c r="D220" s="32">
        <v>204924</v>
      </c>
      <c r="E220" s="32"/>
      <c r="F220" s="32"/>
      <c r="G220" s="32"/>
      <c r="H220" s="32">
        <v>83004</v>
      </c>
      <c r="I220" s="32"/>
      <c r="J220" s="32"/>
      <c r="K220" s="32"/>
      <c r="L220" s="32">
        <v>179412</v>
      </c>
      <c r="M220" s="32"/>
      <c r="N220" s="32"/>
      <c r="O220" s="32"/>
      <c r="Q220" s="32" t="str">
        <f>IF(A220="AmeriQual Foods",_xlfn.XLOOKUP(B220,Lookup!A:A,Lookup!B:B),_xlfn.XLOOKUP(B220,Lookup!M:M,Lookup!N:N))</f>
        <v>Starkist Creations</v>
      </c>
    </row>
    <row r="221" spans="1:17" x14ac:dyDescent="0.25">
      <c r="A221" s="159" t="s">
        <v>350</v>
      </c>
      <c r="B221" s="159" t="s">
        <v>296</v>
      </c>
      <c r="C221" s="159" t="s">
        <v>351</v>
      </c>
      <c r="D221" s="32">
        <v>554868</v>
      </c>
      <c r="E221" s="32">
        <v>723324</v>
      </c>
      <c r="F221" s="32">
        <v>207984</v>
      </c>
      <c r="G221" s="32">
        <v>813420</v>
      </c>
      <c r="H221" s="32"/>
      <c r="I221" s="32">
        <v>182388</v>
      </c>
      <c r="J221" s="32">
        <v>202980</v>
      </c>
      <c r="K221" s="32">
        <v>158436</v>
      </c>
      <c r="L221" s="32">
        <v>199668</v>
      </c>
      <c r="M221" s="32">
        <v>379428</v>
      </c>
      <c r="N221" s="32"/>
      <c r="O221" s="32"/>
      <c r="Q221" s="32" t="str">
        <f>IF(A221="AmeriQual Foods",_xlfn.XLOOKUP(B221,Lookup!A:A,Lookup!B:B),_xlfn.XLOOKUP(B221,Lookup!M:M,Lookup!N:N))</f>
        <v>Starkist Creations</v>
      </c>
    </row>
    <row r="222" spans="1:17" x14ac:dyDescent="0.25">
      <c r="A222" s="159" t="s">
        <v>350</v>
      </c>
      <c r="B222" s="159" t="s">
        <v>297</v>
      </c>
      <c r="C222" s="159" t="s">
        <v>351</v>
      </c>
      <c r="D222" s="32">
        <v>579156</v>
      </c>
      <c r="E222" s="32">
        <v>429216</v>
      </c>
      <c r="F222" s="32">
        <v>404244</v>
      </c>
      <c r="G222" s="32">
        <v>202944</v>
      </c>
      <c r="H222" s="32"/>
      <c r="I222" s="32"/>
      <c r="J222" s="32"/>
      <c r="K222" s="32">
        <v>603840</v>
      </c>
      <c r="L222" s="32">
        <v>296520</v>
      </c>
      <c r="M222" s="32"/>
      <c r="N222" s="32"/>
      <c r="O222" s="32"/>
      <c r="Q222" s="32" t="str">
        <f>IF(A222="AmeriQual Foods",_xlfn.XLOOKUP(B222,Lookup!A:A,Lookup!B:B),_xlfn.XLOOKUP(B222,Lookup!M:M,Lookup!N:N))</f>
        <v>Starkist Creations</v>
      </c>
    </row>
    <row r="223" spans="1:17" x14ac:dyDescent="0.25">
      <c r="A223" s="159" t="s">
        <v>350</v>
      </c>
      <c r="B223" s="159" t="s">
        <v>298</v>
      </c>
      <c r="C223" s="159" t="s">
        <v>351</v>
      </c>
      <c r="D223" s="32">
        <v>234852</v>
      </c>
      <c r="E223" s="32">
        <v>199236</v>
      </c>
      <c r="F223" s="32">
        <v>191232</v>
      </c>
      <c r="G223" s="32"/>
      <c r="H223" s="32"/>
      <c r="I223" s="32">
        <v>183000</v>
      </c>
      <c r="J223" s="32"/>
      <c r="K223" s="32"/>
      <c r="L223" s="32"/>
      <c r="M223" s="32">
        <v>209016</v>
      </c>
      <c r="N223" s="32"/>
      <c r="O223" s="32"/>
      <c r="Q223" s="32" t="str">
        <f>IF(A223="AmeriQual Foods",_xlfn.XLOOKUP(B223,Lookup!A:A,Lookup!B:B),_xlfn.XLOOKUP(B223,Lookup!M:M,Lookup!N:N))</f>
        <v>Starkist Creations</v>
      </c>
    </row>
    <row r="224" spans="1:17" x14ac:dyDescent="0.25">
      <c r="A224" s="159" t="s">
        <v>350</v>
      </c>
      <c r="B224" s="159" t="s">
        <v>300</v>
      </c>
      <c r="C224" s="159" t="s">
        <v>351</v>
      </c>
      <c r="D224" s="32">
        <v>170352</v>
      </c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Q224" s="32" t="str">
        <f>IF(A224="AmeriQual Foods",_xlfn.XLOOKUP(B224,Lookup!A:A,Lookup!B:B),_xlfn.XLOOKUP(B224,Lookup!M:M,Lookup!N:N))</f>
        <v>Starkist Creations</v>
      </c>
    </row>
    <row r="225" spans="1:17" x14ac:dyDescent="0.25">
      <c r="A225" s="159" t="s">
        <v>350</v>
      </c>
      <c r="B225" s="159" t="s">
        <v>302</v>
      </c>
      <c r="C225" s="159" t="s">
        <v>351</v>
      </c>
      <c r="D225" s="32"/>
      <c r="E225" s="32">
        <v>184752</v>
      </c>
      <c r="F225" s="32">
        <v>137820</v>
      </c>
      <c r="G225" s="32"/>
      <c r="H225" s="32"/>
      <c r="I225" s="32"/>
      <c r="J225" s="32">
        <v>195372</v>
      </c>
      <c r="K225" s="32"/>
      <c r="L225" s="32"/>
      <c r="M225" s="32"/>
      <c r="N225" s="32"/>
      <c r="O225" s="32"/>
      <c r="Q225" s="32" t="str">
        <f>IF(A225="AmeriQual Foods",_xlfn.XLOOKUP(B225,Lookup!A:A,Lookup!B:B),_xlfn.XLOOKUP(B225,Lookup!M:M,Lookup!N:N))</f>
        <v>Starkist Creations</v>
      </c>
    </row>
    <row r="226" spans="1:17" x14ac:dyDescent="0.25">
      <c r="A226" s="159" t="s">
        <v>350</v>
      </c>
      <c r="B226" s="159" t="s">
        <v>304</v>
      </c>
      <c r="C226" s="159" t="s">
        <v>351</v>
      </c>
      <c r="D226" s="32">
        <v>616740</v>
      </c>
      <c r="E226" s="32">
        <v>710448</v>
      </c>
      <c r="F226" s="32">
        <v>1037712</v>
      </c>
      <c r="G226" s="32">
        <v>534780</v>
      </c>
      <c r="H226" s="32"/>
      <c r="I226" s="32">
        <v>874896</v>
      </c>
      <c r="J226" s="32">
        <v>147972</v>
      </c>
      <c r="K226" s="32">
        <v>386652</v>
      </c>
      <c r="L226" s="32"/>
      <c r="M226" s="32">
        <v>650856</v>
      </c>
      <c r="N226" s="32">
        <v>257412</v>
      </c>
      <c r="O226" s="32"/>
      <c r="Q226" s="32" t="str">
        <f>IF(A226="AmeriQual Foods",_xlfn.XLOOKUP(B226,Lookup!A:A,Lookup!B:B),_xlfn.XLOOKUP(B226,Lookup!M:M,Lookup!N:N))</f>
        <v>Starkist WHITE</v>
      </c>
    </row>
    <row r="227" spans="1:17" x14ac:dyDescent="0.25">
      <c r="A227" s="159" t="s">
        <v>350</v>
      </c>
      <c r="B227" s="159" t="s">
        <v>305</v>
      </c>
      <c r="C227" s="159" t="s">
        <v>351</v>
      </c>
      <c r="D227" s="32">
        <v>573720</v>
      </c>
      <c r="E227" s="32">
        <v>688932</v>
      </c>
      <c r="F227" s="32">
        <v>127548</v>
      </c>
      <c r="G227" s="32">
        <v>303012</v>
      </c>
      <c r="H227" s="32">
        <v>173196</v>
      </c>
      <c r="I227" s="32">
        <v>535620</v>
      </c>
      <c r="J227" s="32">
        <v>516540</v>
      </c>
      <c r="K227" s="32"/>
      <c r="L227" s="32"/>
      <c r="M227" s="32">
        <v>440508</v>
      </c>
      <c r="N227" s="32"/>
      <c r="O227" s="32"/>
      <c r="Q227" s="32" t="str">
        <f>IF(A227="AmeriQual Foods",_xlfn.XLOOKUP(B227,Lookup!A:A,Lookup!B:B),_xlfn.XLOOKUP(B227,Lookup!M:M,Lookup!N:N))</f>
        <v>Starkist WHITE</v>
      </c>
    </row>
    <row r="228" spans="1:17" x14ac:dyDescent="0.25">
      <c r="A228" s="159" t="s">
        <v>350</v>
      </c>
      <c r="B228" s="159" t="s">
        <v>306</v>
      </c>
      <c r="C228" s="159" t="s">
        <v>351</v>
      </c>
      <c r="D228" s="32"/>
      <c r="E228" s="32">
        <v>51120</v>
      </c>
      <c r="F228" s="32"/>
      <c r="G228" s="32">
        <v>107568</v>
      </c>
      <c r="H228" s="32"/>
      <c r="I228" s="32"/>
      <c r="J228" s="32"/>
      <c r="K228" s="32">
        <v>134412</v>
      </c>
      <c r="L228" s="32"/>
      <c r="M228" s="32"/>
      <c r="N228" s="32"/>
      <c r="O228" s="32"/>
      <c r="Q228" s="32" t="str">
        <f>IF(A228="AmeriQual Foods",_xlfn.XLOOKUP(B228,Lookup!A:A,Lookup!B:B),_xlfn.XLOOKUP(B228,Lookup!M:M,Lookup!N:N))</f>
        <v>Starkist WHITE 5.0 OZ</v>
      </c>
    </row>
    <row r="229" spans="1:17" x14ac:dyDescent="0.25">
      <c r="A229" s="159" t="s">
        <v>350</v>
      </c>
      <c r="B229" s="159" t="s">
        <v>821</v>
      </c>
      <c r="C229" s="159" t="s">
        <v>351</v>
      </c>
      <c r="D229" s="32"/>
      <c r="E229" s="32"/>
      <c r="F229" s="32"/>
      <c r="G229" s="32"/>
      <c r="H229" s="32"/>
      <c r="I229" s="32"/>
      <c r="J229" s="32">
        <v>95064</v>
      </c>
      <c r="K229" s="32"/>
      <c r="L229" s="32"/>
      <c r="M229" s="32">
        <v>98172</v>
      </c>
      <c r="N229" s="32"/>
      <c r="O229" s="32"/>
      <c r="Q229" s="32" t="str">
        <f>IF(A229="AmeriQual Foods",_xlfn.XLOOKUP(B229,Lookup!A:A,Lookup!B:B),_xlfn.XLOOKUP(B229,Lookup!M:M,Lookup!N:N))</f>
        <v>Starkist WHITE</v>
      </c>
    </row>
    <row r="230" spans="1:17" x14ac:dyDescent="0.25">
      <c r="A230" s="159" t="s">
        <v>350</v>
      </c>
      <c r="B230" s="159" t="s">
        <v>1384</v>
      </c>
      <c r="C230" s="159" t="s">
        <v>351</v>
      </c>
      <c r="D230" s="32"/>
      <c r="E230" s="32"/>
      <c r="F230" s="32"/>
      <c r="G230" s="32"/>
      <c r="H230" s="32"/>
      <c r="I230" s="32"/>
      <c r="J230" s="32"/>
      <c r="K230" s="32"/>
      <c r="L230" s="32"/>
      <c r="M230" s="32">
        <v>191760</v>
      </c>
      <c r="N230" s="32"/>
      <c r="O230" s="32"/>
      <c r="Q230" s="32" t="str">
        <f>IF(A230="AmeriQual Foods",_xlfn.XLOOKUP(B230,Lookup!A:A,Lookup!B:B),_xlfn.XLOOKUP(B230,Lookup!M:M,Lookup!N:N))</f>
        <v>Starkist 5.0 Oz</v>
      </c>
    </row>
    <row r="231" spans="1:17" x14ac:dyDescent="0.25">
      <c r="A231" s="159" t="s">
        <v>350</v>
      </c>
      <c r="B231" s="159" t="s">
        <v>307</v>
      </c>
      <c r="C231" s="159" t="s">
        <v>351</v>
      </c>
      <c r="D231" s="32">
        <v>211128</v>
      </c>
      <c r="E231" s="32"/>
      <c r="F231" s="32"/>
      <c r="G231" s="32">
        <v>211224</v>
      </c>
      <c r="H231" s="32"/>
      <c r="I231" s="32"/>
      <c r="J231" s="32">
        <v>130044</v>
      </c>
      <c r="K231" s="32"/>
      <c r="L231" s="32">
        <v>308532</v>
      </c>
      <c r="M231" s="32"/>
      <c r="N231" s="32"/>
      <c r="O231" s="32"/>
      <c r="Q231" s="32" t="str">
        <f>IF(A231="AmeriQual Foods",_xlfn.XLOOKUP(B231,Lookup!A:A,Lookup!B:B),_xlfn.XLOOKUP(B231,Lookup!M:M,Lookup!N:N))</f>
        <v>Starkist Creations</v>
      </c>
    </row>
    <row r="232" spans="1:17" x14ac:dyDescent="0.25">
      <c r="A232" s="159" t="s">
        <v>350</v>
      </c>
      <c r="B232" s="159" t="s">
        <v>308</v>
      </c>
      <c r="C232" s="159" t="s">
        <v>351</v>
      </c>
      <c r="D232" s="32"/>
      <c r="E232" s="32">
        <v>165660</v>
      </c>
      <c r="F232" s="32"/>
      <c r="G232" s="32"/>
      <c r="H232" s="32">
        <v>198804</v>
      </c>
      <c r="I232" s="32">
        <v>115020</v>
      </c>
      <c r="J232" s="32"/>
      <c r="K232" s="32">
        <v>190224</v>
      </c>
      <c r="L232" s="32"/>
      <c r="M232" s="32"/>
      <c r="N232" s="32"/>
      <c r="O232" s="32"/>
      <c r="Q232" s="32" t="str">
        <f>IF(A232="AmeriQual Foods",_xlfn.XLOOKUP(B232,Lookup!A:A,Lookup!B:B),_xlfn.XLOOKUP(B232,Lookup!M:M,Lookup!N:N))</f>
        <v>Starkist Creations</v>
      </c>
    </row>
    <row r="233" spans="1:17" x14ac:dyDescent="0.25">
      <c r="A233" s="159" t="s">
        <v>350</v>
      </c>
      <c r="B233" s="159" t="s">
        <v>309</v>
      </c>
      <c r="C233" s="159" t="s">
        <v>351</v>
      </c>
      <c r="D233" s="32">
        <v>194304</v>
      </c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Q233" s="32" t="str">
        <f>IF(A233="AmeriQual Foods",_xlfn.XLOOKUP(B233,Lookup!A:A,Lookup!B:B),_xlfn.XLOOKUP(B233,Lookup!M:M,Lookup!N:N))</f>
        <v>Starkist Beef</v>
      </c>
    </row>
    <row r="234" spans="1:17" x14ac:dyDescent="0.25">
      <c r="A234" s="159" t="s">
        <v>350</v>
      </c>
      <c r="B234" s="159" t="s">
        <v>311</v>
      </c>
      <c r="C234" s="159" t="s">
        <v>351</v>
      </c>
      <c r="D234" s="32">
        <v>353268</v>
      </c>
      <c r="E234" s="32">
        <v>371604</v>
      </c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Q234" s="32" t="str">
        <f>IF(A234="AmeriQual Foods",_xlfn.XLOOKUP(B234,Lookup!A:A,Lookup!B:B),_xlfn.XLOOKUP(B234,Lookup!M:M,Lookup!N:N))</f>
        <v>Starkist Beef</v>
      </c>
    </row>
    <row r="235" spans="1:17" x14ac:dyDescent="0.25">
      <c r="A235" s="159" t="s">
        <v>350</v>
      </c>
      <c r="B235" s="159" t="s">
        <v>313</v>
      </c>
      <c r="C235" s="159" t="s">
        <v>351</v>
      </c>
      <c r="D235" s="32">
        <v>112944</v>
      </c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Q235" s="32" t="str">
        <f>IF(A235="AmeriQual Foods",_xlfn.XLOOKUP(B235,Lookup!A:A,Lookup!B:B),_xlfn.XLOOKUP(B235,Lookup!M:M,Lookup!N:N))</f>
        <v>Starkist Beef</v>
      </c>
    </row>
    <row r="236" spans="1:17" x14ac:dyDescent="0.25">
      <c r="A236" s="159" t="s">
        <v>350</v>
      </c>
      <c r="B236" s="159" t="s">
        <v>315</v>
      </c>
      <c r="C236" s="159" t="s">
        <v>351</v>
      </c>
      <c r="D236" s="32"/>
      <c r="E236" s="32">
        <v>590784</v>
      </c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Q236" s="32" t="str">
        <f>IF(A236="AmeriQual Foods",_xlfn.XLOOKUP(B236,Lookup!A:A,Lookup!B:B),_xlfn.XLOOKUP(B236,Lookup!M:M,Lookup!N:N))</f>
        <v>Starkist Creations</v>
      </c>
    </row>
    <row r="237" spans="1:17" x14ac:dyDescent="0.25">
      <c r="A237" s="159" t="s">
        <v>350</v>
      </c>
      <c r="B237" s="159" t="s">
        <v>191</v>
      </c>
      <c r="C237" s="159" t="s">
        <v>351</v>
      </c>
      <c r="D237" s="32">
        <v>2224</v>
      </c>
      <c r="E237" s="32">
        <v>18568</v>
      </c>
      <c r="F237" s="32">
        <v>2612</v>
      </c>
      <c r="G237" s="32">
        <v>4409</v>
      </c>
      <c r="H237" s="32">
        <v>15545</v>
      </c>
      <c r="I237" s="32">
        <v>11853</v>
      </c>
      <c r="J237" s="32">
        <v>7292</v>
      </c>
      <c r="K237" s="32">
        <v>1196</v>
      </c>
      <c r="L237" s="32">
        <v>1152</v>
      </c>
      <c r="M237" s="32">
        <v>10341</v>
      </c>
      <c r="N237" s="32">
        <v>3000</v>
      </c>
      <c r="O237" s="32"/>
      <c r="Q237" s="32" t="str">
        <f>IF(A237="AmeriQual Foods",_xlfn.XLOOKUP(B237,Lookup!A:A,Lookup!B:B),_xlfn.XLOOKUP(B237,Lookup!M:M,Lookup!N:N))</f>
        <v>UGRA</v>
      </c>
    </row>
    <row r="238" spans="1:17" x14ac:dyDescent="0.25">
      <c r="A238" s="159" t="s">
        <v>350</v>
      </c>
      <c r="B238" s="159" t="s">
        <v>450</v>
      </c>
      <c r="C238" s="159" t="s">
        <v>351</v>
      </c>
      <c r="D238" s="32">
        <v>364</v>
      </c>
      <c r="E238" s="32">
        <v>3547</v>
      </c>
      <c r="F238" s="32">
        <v>2012</v>
      </c>
      <c r="G238" s="32">
        <v>4409</v>
      </c>
      <c r="H238" s="32">
        <v>7195</v>
      </c>
      <c r="I238" s="32">
        <v>7209</v>
      </c>
      <c r="J238" s="32">
        <v>7292</v>
      </c>
      <c r="K238" s="32">
        <v>904</v>
      </c>
      <c r="L238" s="32">
        <v>1152</v>
      </c>
      <c r="M238" s="32">
        <v>3381</v>
      </c>
      <c r="N238" s="32"/>
      <c r="O238" s="32"/>
      <c r="Q238" s="32" t="e">
        <f>IF(A238="AmeriQual Foods",_xlfn.XLOOKUP(B238,Lookup!A:A,Lookup!B:B),_xlfn.XLOOKUP(B238,Lookup!M:M,Lookup!N:N))</f>
        <v>#N/A</v>
      </c>
    </row>
    <row r="239" spans="1:17" x14ac:dyDescent="0.25">
      <c r="A239" s="159" t="s">
        <v>350</v>
      </c>
      <c r="B239" s="159" t="s">
        <v>451</v>
      </c>
      <c r="C239" s="159" t="s">
        <v>351</v>
      </c>
      <c r="D239" s="32">
        <v>1860</v>
      </c>
      <c r="E239" s="32">
        <v>15021</v>
      </c>
      <c r="F239" s="32">
        <v>600</v>
      </c>
      <c r="G239" s="32"/>
      <c r="H239" s="32">
        <v>8350</v>
      </c>
      <c r="I239" s="32">
        <v>4644</v>
      </c>
      <c r="J239" s="32"/>
      <c r="K239" s="32">
        <v>292</v>
      </c>
      <c r="L239" s="32"/>
      <c r="M239" s="32">
        <v>6960</v>
      </c>
      <c r="N239" s="32">
        <v>3000</v>
      </c>
      <c r="O239" s="32"/>
      <c r="Q239" s="32" t="e">
        <f>IF(A239="AmeriQual Foods",_xlfn.XLOOKUP(B239,Lookup!A:A,Lookup!B:B),_xlfn.XLOOKUP(B239,Lookup!M:M,Lookup!N:N))</f>
        <v>#N/A</v>
      </c>
    </row>
    <row r="240" spans="1:17" x14ac:dyDescent="0.25">
      <c r="A240" s="159" t="s">
        <v>350</v>
      </c>
      <c r="B240" s="159" t="s">
        <v>318</v>
      </c>
      <c r="C240" s="159" t="s">
        <v>351</v>
      </c>
      <c r="D240" s="32">
        <v>1993608</v>
      </c>
      <c r="E240" s="32">
        <v>1958364</v>
      </c>
      <c r="F240" s="32">
        <v>2394792</v>
      </c>
      <c r="G240" s="32">
        <v>809904</v>
      </c>
      <c r="H240" s="32">
        <v>62856</v>
      </c>
      <c r="I240" s="32">
        <v>1158108</v>
      </c>
      <c r="J240" s="32"/>
      <c r="K240" s="32"/>
      <c r="L240" s="32"/>
      <c r="M240" s="32">
        <v>1028376</v>
      </c>
      <c r="N240" s="32">
        <v>200904</v>
      </c>
      <c r="O240" s="32"/>
      <c r="Q240" s="32" t="str">
        <f>IF(A240="AmeriQual Foods",_xlfn.XLOOKUP(B240,Lookup!A:A,Lookup!B:B),_xlfn.XLOOKUP(B240,Lookup!M:M,Lookup!N:N))</f>
        <v>USDA</v>
      </c>
    </row>
    <row r="241" spans="1:18" x14ac:dyDescent="0.25">
      <c r="A241" s="159" t="s">
        <v>350</v>
      </c>
      <c r="B241" s="159" t="s">
        <v>452</v>
      </c>
      <c r="C241" s="159" t="s">
        <v>351</v>
      </c>
      <c r="D241" s="32">
        <v>1660464</v>
      </c>
      <c r="E241" s="32">
        <v>1215612</v>
      </c>
      <c r="F241" s="32">
        <v>1998936</v>
      </c>
      <c r="G241" s="32">
        <v>196488</v>
      </c>
      <c r="H241" s="32">
        <v>62856</v>
      </c>
      <c r="I241" s="32"/>
      <c r="J241" s="32"/>
      <c r="K241" s="32"/>
      <c r="L241" s="32"/>
      <c r="M241" s="32"/>
      <c r="N241" s="32"/>
      <c r="O241" s="32"/>
      <c r="Q241" s="32" t="e">
        <f>IF(A241="AmeriQual Foods",_xlfn.XLOOKUP(B241,Lookup!A:A,Lookup!B:B),_xlfn.XLOOKUP(B241,Lookup!M:M,Lookup!N:N))</f>
        <v>#N/A</v>
      </c>
    </row>
    <row r="242" spans="1:18" x14ac:dyDescent="0.25">
      <c r="A242" s="159" t="s">
        <v>350</v>
      </c>
      <c r="B242" s="159" t="s">
        <v>319</v>
      </c>
      <c r="C242" s="159" t="s">
        <v>351</v>
      </c>
      <c r="D242" s="32">
        <v>1660464</v>
      </c>
      <c r="E242" s="32">
        <v>1215612</v>
      </c>
      <c r="F242" s="32">
        <v>1998936</v>
      </c>
      <c r="G242" s="32">
        <v>196488</v>
      </c>
      <c r="H242" s="32">
        <v>62856</v>
      </c>
      <c r="I242" s="32"/>
      <c r="J242" s="32"/>
      <c r="K242" s="32"/>
      <c r="L242" s="32"/>
      <c r="M242" s="32"/>
      <c r="N242" s="32"/>
      <c r="O242" s="32"/>
      <c r="Q242" s="32" t="str">
        <f>IF(A242="AmeriQual Foods",_xlfn.XLOOKUP(B242,Lookup!A:A,Lookup!B:B),_xlfn.XLOOKUP(B242,Lookup!M:M,Lookup!N:N))</f>
        <v>USDA Chicken</v>
      </c>
    </row>
    <row r="243" spans="1:18" x14ac:dyDescent="0.25">
      <c r="A243" s="159" t="s">
        <v>350</v>
      </c>
      <c r="B243" s="159" t="s">
        <v>914</v>
      </c>
      <c r="C243" s="159" t="s">
        <v>351</v>
      </c>
      <c r="D243" s="32"/>
      <c r="E243" s="32"/>
      <c r="F243" s="32"/>
      <c r="G243" s="32"/>
      <c r="H243" s="32"/>
      <c r="I243" s="32">
        <v>275460</v>
      </c>
      <c r="J243" s="32"/>
      <c r="K243" s="32"/>
      <c r="L243" s="32"/>
      <c r="M243" s="32">
        <v>275472</v>
      </c>
      <c r="N243" s="32">
        <v>59856</v>
      </c>
      <c r="O243" s="32"/>
      <c r="Q243" s="32" t="e">
        <f>IF(A243="AmeriQual Foods",_xlfn.XLOOKUP(B243,Lookup!A:A,Lookup!B:B),_xlfn.XLOOKUP(B243,Lookup!M:M,Lookup!N:N))</f>
        <v>#N/A</v>
      </c>
    </row>
    <row r="244" spans="1:18" x14ac:dyDescent="0.25">
      <c r="A244" s="159" t="s">
        <v>350</v>
      </c>
      <c r="B244" s="159" t="s">
        <v>323</v>
      </c>
      <c r="C244" s="159" t="s">
        <v>351</v>
      </c>
      <c r="D244" s="32"/>
      <c r="E244" s="32"/>
      <c r="F244" s="32"/>
      <c r="G244" s="32"/>
      <c r="H244" s="32"/>
      <c r="I244" s="32">
        <v>275460</v>
      </c>
      <c r="J244" s="32"/>
      <c r="K244" s="32"/>
      <c r="L244" s="32"/>
      <c r="M244" s="32">
        <v>275472</v>
      </c>
      <c r="N244" s="32">
        <v>59856</v>
      </c>
      <c r="O244" s="32"/>
      <c r="Q244" s="32" t="str">
        <f>IF(A244="AmeriQual Foods",_xlfn.XLOOKUP(B244,Lookup!A:A,Lookup!B:B),_xlfn.XLOOKUP(B244,Lookup!M:M,Lookup!N:N))</f>
        <v>USDA Chili with Beans</v>
      </c>
    </row>
    <row r="245" spans="1:18" x14ac:dyDescent="0.25">
      <c r="A245" s="159" t="s">
        <v>350</v>
      </c>
      <c r="B245" s="159" t="s">
        <v>453</v>
      </c>
      <c r="C245" s="159" t="s">
        <v>351</v>
      </c>
      <c r="D245" s="32">
        <v>333144</v>
      </c>
      <c r="E245" s="32">
        <v>742752</v>
      </c>
      <c r="F245" s="32">
        <v>395856</v>
      </c>
      <c r="G245" s="32">
        <v>613416</v>
      </c>
      <c r="H245" s="32"/>
      <c r="I245" s="32">
        <v>882648</v>
      </c>
      <c r="J245" s="32"/>
      <c r="K245" s="32"/>
      <c r="L245" s="32"/>
      <c r="M245" s="32">
        <v>752904</v>
      </c>
      <c r="N245" s="32">
        <v>141048</v>
      </c>
      <c r="O245" s="32"/>
      <c r="Q245" s="32" t="e">
        <f>IF(A245="AmeriQual Foods",_xlfn.XLOOKUP(B245,Lookup!A:A,Lookup!B:B),_xlfn.XLOOKUP(B245,Lookup!M:M,Lookup!N:N))</f>
        <v>#N/A</v>
      </c>
    </row>
    <row r="246" spans="1:18" x14ac:dyDescent="0.25">
      <c r="A246" s="159" t="s">
        <v>350</v>
      </c>
      <c r="B246" s="159" t="s">
        <v>325</v>
      </c>
      <c r="C246" s="159" t="s">
        <v>351</v>
      </c>
      <c r="D246" s="32">
        <v>333144</v>
      </c>
      <c r="E246" s="32">
        <v>742752</v>
      </c>
      <c r="F246" s="32">
        <v>395856</v>
      </c>
      <c r="G246" s="32">
        <v>613416</v>
      </c>
      <c r="H246" s="32"/>
      <c r="I246" s="32">
        <v>882648</v>
      </c>
      <c r="J246" s="32"/>
      <c r="K246" s="32"/>
      <c r="L246" s="32"/>
      <c r="M246" s="32">
        <v>752904</v>
      </c>
      <c r="N246" s="32">
        <v>141048</v>
      </c>
      <c r="O246" s="32"/>
      <c r="Q246" s="32" t="str">
        <f>IF(A246="AmeriQual Foods",_xlfn.XLOOKUP(B246,Lookup!A:A,Lookup!B:B),_xlfn.XLOOKUP(B246,Lookup!M:M,Lookup!N:N))</f>
        <v>USDA Beef Stew</v>
      </c>
    </row>
    <row r="247" spans="1:18" x14ac:dyDescent="0.25">
      <c r="A247" s="159" t="s">
        <v>350</v>
      </c>
      <c r="B247" s="159" t="s">
        <v>326</v>
      </c>
      <c r="C247" s="159" t="s">
        <v>351</v>
      </c>
      <c r="D247" s="32">
        <v>134160</v>
      </c>
      <c r="E247" s="32">
        <v>143136</v>
      </c>
      <c r="F247" s="32">
        <v>332664</v>
      </c>
      <c r="G247" s="32">
        <v>101928</v>
      </c>
      <c r="H247" s="32">
        <v>312240</v>
      </c>
      <c r="I247" s="32"/>
      <c r="J247" s="32">
        <v>248232</v>
      </c>
      <c r="K247" s="32"/>
      <c r="L247" s="32">
        <v>463488</v>
      </c>
      <c r="M247" s="32"/>
      <c r="N247" s="32"/>
      <c r="O247" s="32"/>
      <c r="Q247" s="32" t="str">
        <f>IF(A247="AmeriQual Foods",_xlfn.XLOOKUP(B247,Lookup!A:A,Lookup!B:B),_xlfn.XLOOKUP(B247,Lookup!M:M,Lookup!N:N))</f>
        <v>Union Supply</v>
      </c>
    </row>
    <row r="248" spans="1:18" x14ac:dyDescent="0.25">
      <c r="A248" s="159" t="s">
        <v>350</v>
      </c>
      <c r="B248" s="159" t="s">
        <v>574</v>
      </c>
      <c r="C248" s="159" t="s">
        <v>351</v>
      </c>
      <c r="D248" s="32"/>
      <c r="E248" s="32"/>
      <c r="F248" s="32">
        <v>94392</v>
      </c>
      <c r="G248" s="32"/>
      <c r="H248" s="32"/>
      <c r="I248" s="32"/>
      <c r="J248" s="32"/>
      <c r="K248" s="32"/>
      <c r="L248" s="32"/>
      <c r="M248" s="32"/>
      <c r="N248" s="32"/>
      <c r="O248" s="32"/>
      <c r="Q248" s="32" t="e">
        <f>IF(A248="AmeriQual Foods",_xlfn.XLOOKUP(B248,Lookup!A:A,Lookup!B:B),_xlfn.XLOOKUP(B248,Lookup!M:M,Lookup!N:N))</f>
        <v>#N/A</v>
      </c>
    </row>
    <row r="249" spans="1:18" x14ac:dyDescent="0.25">
      <c r="A249" s="159" t="s">
        <v>350</v>
      </c>
      <c r="B249" s="159" t="s">
        <v>454</v>
      </c>
      <c r="C249" s="159" t="s">
        <v>351</v>
      </c>
      <c r="D249" s="32"/>
      <c r="E249" s="32"/>
      <c r="F249" s="32">
        <v>46200</v>
      </c>
      <c r="G249" s="32"/>
      <c r="H249" s="32"/>
      <c r="I249" s="32"/>
      <c r="J249" s="32"/>
      <c r="K249" s="32"/>
      <c r="L249" s="32">
        <v>69336</v>
      </c>
      <c r="M249" s="32"/>
      <c r="N249" s="32"/>
      <c r="O249" s="32"/>
      <c r="Q249" s="32" t="e">
        <f>IF(A249="AmeriQual Foods",_xlfn.XLOOKUP(B249,Lookup!A:A,Lookup!B:B),_xlfn.XLOOKUP(B249,Lookup!M:M,Lookup!N:N))</f>
        <v>#N/A</v>
      </c>
    </row>
    <row r="250" spans="1:18" x14ac:dyDescent="0.25">
      <c r="A250" s="159" t="s">
        <v>350</v>
      </c>
      <c r="B250" s="159" t="s">
        <v>455</v>
      </c>
      <c r="C250" s="159" t="s">
        <v>351</v>
      </c>
      <c r="D250" s="32">
        <v>62136</v>
      </c>
      <c r="E250" s="32"/>
      <c r="F250" s="32"/>
      <c r="G250" s="32"/>
      <c r="H250" s="32">
        <v>59736</v>
      </c>
      <c r="I250" s="32"/>
      <c r="J250" s="32">
        <v>199776</v>
      </c>
      <c r="K250" s="32"/>
      <c r="L250" s="32"/>
      <c r="M250" s="32"/>
      <c r="N250" s="32"/>
      <c r="O250" s="32"/>
      <c r="Q250" s="32" t="e">
        <f>IF(A250="AmeriQual Foods",_xlfn.XLOOKUP(B250,Lookup!A:A,Lookup!B:B),_xlfn.XLOOKUP(B250,Lookup!M:M,Lookup!N:N))</f>
        <v>#N/A</v>
      </c>
    </row>
    <row r="251" spans="1:18" x14ac:dyDescent="0.25">
      <c r="A251" s="159" t="s">
        <v>350</v>
      </c>
      <c r="B251" s="159" t="s">
        <v>456</v>
      </c>
      <c r="C251" s="159" t="s">
        <v>351</v>
      </c>
      <c r="D251" s="32"/>
      <c r="E251" s="32"/>
      <c r="F251" s="32">
        <v>36024</v>
      </c>
      <c r="G251" s="32"/>
      <c r="H251" s="32"/>
      <c r="I251" s="32"/>
      <c r="J251" s="32"/>
      <c r="K251" s="32"/>
      <c r="L251" s="32"/>
      <c r="M251" s="32"/>
      <c r="N251" s="32"/>
      <c r="O251" s="32"/>
      <c r="Q251" s="32" t="e">
        <f>IF(A251="AmeriQual Foods",_xlfn.XLOOKUP(B251,Lookup!A:A,Lookup!B:B),_xlfn.XLOOKUP(B251,Lookup!M:M,Lookup!N:N))</f>
        <v>#N/A</v>
      </c>
    </row>
    <row r="252" spans="1:18" x14ac:dyDescent="0.25">
      <c r="A252" s="159" t="s">
        <v>350</v>
      </c>
      <c r="B252" s="159" t="s">
        <v>457</v>
      </c>
      <c r="C252" s="159" t="s">
        <v>351</v>
      </c>
      <c r="D252" s="32"/>
      <c r="E252" s="32">
        <v>52200</v>
      </c>
      <c r="F252" s="32">
        <v>156048</v>
      </c>
      <c r="G252" s="32"/>
      <c r="H252" s="32">
        <v>185688</v>
      </c>
      <c r="I252" s="32"/>
      <c r="J252" s="32"/>
      <c r="K252" s="32"/>
      <c r="L252" s="32">
        <v>191232</v>
      </c>
      <c r="M252" s="32"/>
      <c r="N252" s="32"/>
      <c r="O252" s="32"/>
      <c r="Q252" s="32" t="e">
        <f>IF(A252="AmeriQual Foods",_xlfn.XLOOKUP(B252,Lookup!A:A,Lookup!B:B),_xlfn.XLOOKUP(B252,Lookup!M:M,Lookup!N:N))</f>
        <v>#N/A</v>
      </c>
    </row>
    <row r="253" spans="1:18" x14ac:dyDescent="0.25">
      <c r="A253" s="159" t="s">
        <v>350</v>
      </c>
      <c r="B253" s="159" t="s">
        <v>458</v>
      </c>
      <c r="C253" s="159" t="s">
        <v>351</v>
      </c>
      <c r="D253" s="32">
        <v>72024</v>
      </c>
      <c r="E253" s="32">
        <v>90936</v>
      </c>
      <c r="F253" s="32"/>
      <c r="G253" s="32">
        <v>101928</v>
      </c>
      <c r="H253" s="32">
        <v>66816</v>
      </c>
      <c r="I253" s="32"/>
      <c r="J253" s="32">
        <v>48456</v>
      </c>
      <c r="K253" s="32"/>
      <c r="L253" s="32">
        <v>202920</v>
      </c>
      <c r="M253" s="32"/>
      <c r="N253" s="32"/>
      <c r="O253" s="32"/>
      <c r="Q253" s="32" t="e">
        <f>IF(A253="AmeriQual Foods",_xlfn.XLOOKUP(B253,Lookup!A:A,Lookup!B:B),_xlfn.XLOOKUP(B253,Lookup!M:M,Lookup!N:N))</f>
        <v>#N/A</v>
      </c>
    </row>
    <row r="254" spans="1:18" x14ac:dyDescent="0.25">
      <c r="A254" s="159" t="s">
        <v>350</v>
      </c>
      <c r="B254" s="159" t="s">
        <v>327</v>
      </c>
      <c r="C254" s="159" t="s">
        <v>351</v>
      </c>
      <c r="D254" s="32"/>
      <c r="E254" s="32"/>
      <c r="F254" s="32"/>
      <c r="G254" s="32"/>
      <c r="H254" s="32"/>
      <c r="I254" s="32"/>
      <c r="J254" s="32"/>
      <c r="K254" s="32">
        <v>250818</v>
      </c>
      <c r="L254" s="32"/>
      <c r="M254" s="32"/>
      <c r="N254" s="32"/>
      <c r="O254" s="32"/>
      <c r="Q254" s="32" t="str">
        <f>IF(A254="AmeriQual Foods",_xlfn.XLOOKUP(B254,Lookup!A:A,Lookup!B:B),_xlfn.XLOOKUP(B254,Lookup!M:M,Lookup!N:N))</f>
        <v>Emergency drinking water</v>
      </c>
    </row>
    <row r="255" spans="1:18" x14ac:dyDescent="0.25">
      <c r="A255" s="159" t="s">
        <v>350</v>
      </c>
      <c r="B255" s="159" t="s">
        <v>1025</v>
      </c>
      <c r="C255" s="159" t="s">
        <v>351</v>
      </c>
      <c r="D255" s="32"/>
      <c r="E255" s="32"/>
      <c r="F255" s="32"/>
      <c r="G255" s="32"/>
      <c r="H255" s="32"/>
      <c r="I255" s="32"/>
      <c r="J255" s="32"/>
      <c r="K255" s="32">
        <v>250818</v>
      </c>
      <c r="L255" s="32"/>
      <c r="M255" s="32"/>
      <c r="N255" s="32"/>
      <c r="O255" s="32"/>
      <c r="Q255" s="32" t="e">
        <f>IF(A255="AmeriQual Foods",_xlfn.XLOOKUP(B255,Lookup!A:A,Lookup!B:B),_xlfn.XLOOKUP(B255,Lookup!M:M,Lookup!N:N))</f>
        <v>#N/A</v>
      </c>
    </row>
    <row r="256" spans="1:18" x14ac:dyDescent="0.25">
      <c r="A256" s="159" t="s">
        <v>534</v>
      </c>
      <c r="B256" s="159" t="s">
        <v>138</v>
      </c>
      <c r="C256" s="159" t="s">
        <v>351</v>
      </c>
      <c r="D256" s="32">
        <v>390544</v>
      </c>
      <c r="E256" s="32">
        <v>376358</v>
      </c>
      <c r="F256" s="32">
        <v>279846</v>
      </c>
      <c r="G256" s="32">
        <v>591809</v>
      </c>
      <c r="H256" s="32">
        <v>481202</v>
      </c>
      <c r="I256" s="32">
        <v>884941</v>
      </c>
      <c r="J256" s="32">
        <v>1321948</v>
      </c>
      <c r="K256" s="32">
        <v>2136389</v>
      </c>
      <c r="L256" s="32">
        <v>1464607</v>
      </c>
      <c r="M256" s="32">
        <v>1505107</v>
      </c>
      <c r="N256" s="32">
        <v>195916</v>
      </c>
      <c r="O256" s="32"/>
      <c r="R256" s="32" t="e">
        <f>_xlfn.XLOOKUP(B256,Lookup!M:M,Lookup!N:N)</f>
        <v>#N/A</v>
      </c>
    </row>
    <row r="257" spans="1:18" x14ac:dyDescent="0.25">
      <c r="A257" s="159" t="s">
        <v>534</v>
      </c>
      <c r="B257" s="159" t="s">
        <v>145</v>
      </c>
      <c r="C257" s="159" t="s">
        <v>351</v>
      </c>
      <c r="D257" s="32">
        <v>2667</v>
      </c>
      <c r="E257" s="32">
        <v>51504</v>
      </c>
      <c r="F257" s="32">
        <v>38352</v>
      </c>
      <c r="G257" s="32"/>
      <c r="H257" s="32">
        <v>33984</v>
      </c>
      <c r="I257" s="32">
        <v>19008</v>
      </c>
      <c r="J257" s="32">
        <v>18144</v>
      </c>
      <c r="K257" s="32"/>
      <c r="L257" s="32"/>
      <c r="M257" s="32"/>
      <c r="N257" s="32"/>
      <c r="O257" s="32"/>
      <c r="R257" s="32" t="str">
        <f>_xlfn.XLOOKUP(B257,Lookup!M:M,Lookup!N:N)</f>
        <v>APACK Cases</v>
      </c>
    </row>
    <row r="258" spans="1:18" x14ac:dyDescent="0.25">
      <c r="A258" s="159" t="s">
        <v>534</v>
      </c>
      <c r="B258" s="159" t="s">
        <v>535</v>
      </c>
      <c r="C258" s="159" t="s">
        <v>351</v>
      </c>
      <c r="D258" s="32">
        <v>2667</v>
      </c>
      <c r="E258" s="32">
        <v>51504</v>
      </c>
      <c r="F258" s="32">
        <v>38352</v>
      </c>
      <c r="G258" s="32"/>
      <c r="H258" s="32">
        <v>33984</v>
      </c>
      <c r="I258" s="32">
        <v>19008</v>
      </c>
      <c r="J258" s="32"/>
      <c r="K258" s="32"/>
      <c r="L258" s="32"/>
      <c r="M258" s="32"/>
      <c r="N258" s="32"/>
      <c r="O258" s="32"/>
      <c r="R258" s="32" t="e">
        <f>_xlfn.XLOOKUP(B258,Lookup!M:M,Lookup!N:N)</f>
        <v>#N/A</v>
      </c>
    </row>
    <row r="259" spans="1:18" x14ac:dyDescent="0.25">
      <c r="A259" s="159" t="s">
        <v>534</v>
      </c>
      <c r="B259" s="159" t="s">
        <v>950</v>
      </c>
      <c r="C259" s="159" t="s">
        <v>351</v>
      </c>
      <c r="D259" s="32"/>
      <c r="E259" s="32"/>
      <c r="F259" s="32"/>
      <c r="G259" s="32"/>
      <c r="H259" s="32"/>
      <c r="I259" s="32"/>
      <c r="J259" s="32">
        <v>18144</v>
      </c>
      <c r="K259" s="32"/>
      <c r="L259" s="32"/>
      <c r="M259" s="32"/>
      <c r="N259" s="32"/>
      <c r="O259" s="32"/>
      <c r="R259" s="32" t="e">
        <f>_xlfn.XLOOKUP(B259,Lookup!M:M,Lookup!N:N)</f>
        <v>#N/A</v>
      </c>
    </row>
    <row r="260" spans="1:18" x14ac:dyDescent="0.25">
      <c r="A260" s="159" t="s">
        <v>534</v>
      </c>
      <c r="B260" s="159" t="s">
        <v>468</v>
      </c>
      <c r="C260" s="159" t="s">
        <v>351</v>
      </c>
      <c r="D260" s="32"/>
      <c r="E260" s="32">
        <v>42496</v>
      </c>
      <c r="F260" s="32">
        <v>63680</v>
      </c>
      <c r="G260" s="32">
        <v>298160</v>
      </c>
      <c r="H260" s="32">
        <v>308240</v>
      </c>
      <c r="I260" s="32">
        <v>110816</v>
      </c>
      <c r="J260" s="32">
        <v>602496</v>
      </c>
      <c r="K260" s="32">
        <v>395416</v>
      </c>
      <c r="L260" s="32">
        <v>524752</v>
      </c>
      <c r="M260" s="32">
        <v>863834</v>
      </c>
      <c r="N260" s="32"/>
      <c r="O260" s="32"/>
      <c r="R260" s="32" t="e">
        <f>_xlfn.XLOOKUP(B260,Lookup!M:M,Lookup!N:N)</f>
        <v>#N/A</v>
      </c>
    </row>
    <row r="261" spans="1:18" x14ac:dyDescent="0.25">
      <c r="A261" s="159" t="s">
        <v>534</v>
      </c>
      <c r="B261" s="159" t="s">
        <v>143</v>
      </c>
      <c r="C261" s="159" t="s">
        <v>351</v>
      </c>
      <c r="D261" s="32"/>
      <c r="E261" s="32"/>
      <c r="F261" s="32"/>
      <c r="G261" s="32">
        <v>160240</v>
      </c>
      <c r="H261" s="32">
        <v>96824</v>
      </c>
      <c r="I261" s="32"/>
      <c r="J261" s="32"/>
      <c r="K261" s="32"/>
      <c r="L261" s="32"/>
      <c r="M261" s="32"/>
      <c r="N261" s="32"/>
      <c r="O261" s="32"/>
      <c r="R261" s="32" t="str">
        <f>_xlfn.XLOOKUP(B261,Lookup!M:M,Lookup!N:N)</f>
        <v>(8034) GOODERS - CHED OVER HEELS</v>
      </c>
    </row>
    <row r="262" spans="1:18" x14ac:dyDescent="0.25">
      <c r="A262" s="159" t="s">
        <v>534</v>
      </c>
      <c r="B262" s="159" t="s">
        <v>833</v>
      </c>
      <c r="C262" s="159" t="s">
        <v>351</v>
      </c>
      <c r="D262" s="32"/>
      <c r="E262" s="32"/>
      <c r="F262" s="32"/>
      <c r="G262" s="32"/>
      <c r="H262" s="32">
        <v>105192</v>
      </c>
      <c r="I262" s="32">
        <v>75936</v>
      </c>
      <c r="J262" s="32">
        <v>228104</v>
      </c>
      <c r="K262" s="32">
        <v>290120</v>
      </c>
      <c r="L262" s="32">
        <v>418080</v>
      </c>
      <c r="M262" s="32">
        <v>337056</v>
      </c>
      <c r="N262" s="32"/>
      <c r="O262" s="32"/>
      <c r="R262" s="32" t="str">
        <f>_xlfn.XLOOKUP(B262,Lookup!M:M,Lookup!N:N)</f>
        <v>(8034) GOODERS - CHED OVER HEELS</v>
      </c>
    </row>
    <row r="263" spans="1:18" x14ac:dyDescent="0.25">
      <c r="A263" s="159" t="s">
        <v>534</v>
      </c>
      <c r="B263" s="159" t="s">
        <v>1379</v>
      </c>
      <c r="C263" s="159" t="s">
        <v>351</v>
      </c>
      <c r="D263" s="32"/>
      <c r="E263" s="32"/>
      <c r="F263" s="32"/>
      <c r="G263" s="32"/>
      <c r="H263" s="32"/>
      <c r="I263" s="32"/>
      <c r="J263" s="32"/>
      <c r="K263" s="32"/>
      <c r="L263" s="32"/>
      <c r="M263" s="32">
        <v>10672</v>
      </c>
      <c r="N263" s="32"/>
      <c r="O263" s="32"/>
      <c r="R263" s="32" t="str">
        <f>_xlfn.XLOOKUP(B263,Lookup!M:M,Lookup!N:N)</f>
        <v>(8034) GOODERS - CHED OVER HEELS</v>
      </c>
    </row>
    <row r="264" spans="1:18" x14ac:dyDescent="0.25">
      <c r="A264" s="159" t="s">
        <v>534</v>
      </c>
      <c r="B264" s="159" t="s">
        <v>149</v>
      </c>
      <c r="C264" s="159" t="s">
        <v>351</v>
      </c>
      <c r="D264" s="32"/>
      <c r="E264" s="32"/>
      <c r="F264" s="32"/>
      <c r="G264" s="32">
        <v>137920</v>
      </c>
      <c r="H264" s="32">
        <v>65800</v>
      </c>
      <c r="I264" s="32">
        <v>11072</v>
      </c>
      <c r="J264" s="32"/>
      <c r="K264" s="32"/>
      <c r="L264" s="32"/>
      <c r="M264" s="32"/>
      <c r="N264" s="32"/>
      <c r="O264" s="32"/>
      <c r="R264" s="32" t="str">
        <f>_xlfn.XLOOKUP(B264,Lookup!M:M,Lookup!N:N)</f>
        <v>(8035) GOODERS - SHELL WE DANCE</v>
      </c>
    </row>
    <row r="265" spans="1:18" x14ac:dyDescent="0.25">
      <c r="A265" s="159" t="s">
        <v>534</v>
      </c>
      <c r="B265" s="159" t="s">
        <v>951</v>
      </c>
      <c r="C265" s="159" t="s">
        <v>351</v>
      </c>
      <c r="D265" s="32"/>
      <c r="E265" s="32"/>
      <c r="F265" s="32"/>
      <c r="G265" s="32"/>
      <c r="H265" s="32"/>
      <c r="I265" s="32"/>
      <c r="J265" s="32">
        <v>218376</v>
      </c>
      <c r="K265" s="32">
        <v>105296</v>
      </c>
      <c r="L265" s="32">
        <v>67616</v>
      </c>
      <c r="M265" s="32">
        <v>337497</v>
      </c>
      <c r="N265" s="32"/>
      <c r="O265" s="32"/>
      <c r="R265" s="32" t="str">
        <f>_xlfn.XLOOKUP(B265,Lookup!M:M,Lookup!N:N)</f>
        <v>(8035) GOODERS - SHELL WE DANCE</v>
      </c>
    </row>
    <row r="266" spans="1:18" x14ac:dyDescent="0.25">
      <c r="A266" s="159" t="s">
        <v>534</v>
      </c>
      <c r="B266" s="159" t="s">
        <v>1380</v>
      </c>
      <c r="C266" s="159" t="s">
        <v>351</v>
      </c>
      <c r="D266" s="32"/>
      <c r="E266" s="32"/>
      <c r="F266" s="32"/>
      <c r="G266" s="32"/>
      <c r="H266" s="32"/>
      <c r="I266" s="32"/>
      <c r="J266" s="32"/>
      <c r="K266" s="32"/>
      <c r="L266" s="32"/>
      <c r="M266" s="32">
        <v>9344</v>
      </c>
      <c r="N266" s="32"/>
      <c r="O266" s="32"/>
      <c r="R266" s="32" t="str">
        <f>_xlfn.XLOOKUP(B266,Lookup!M:M,Lookup!N:N)</f>
        <v>(8035) GOODERS - SHELL WE DANCE</v>
      </c>
    </row>
    <row r="267" spans="1:18" x14ac:dyDescent="0.25">
      <c r="A267" s="159" t="s">
        <v>534</v>
      </c>
      <c r="B267" s="159" t="s">
        <v>156</v>
      </c>
      <c r="C267" s="159" t="s">
        <v>351</v>
      </c>
      <c r="D267" s="32"/>
      <c r="E267" s="32">
        <v>42496</v>
      </c>
      <c r="F267" s="32">
        <v>63680</v>
      </c>
      <c r="G267" s="32"/>
      <c r="H267" s="32">
        <v>18016</v>
      </c>
      <c r="I267" s="32"/>
      <c r="J267" s="32"/>
      <c r="K267" s="32"/>
      <c r="L267" s="32"/>
      <c r="M267" s="32"/>
      <c r="N267" s="32"/>
      <c r="O267" s="32"/>
      <c r="R267" s="32" t="str">
        <f>_xlfn.XLOOKUP(B267,Lookup!M:M,Lookup!N:N)</f>
        <v>(8036) GOODERS - QUESO TELL ME MORE</v>
      </c>
    </row>
    <row r="268" spans="1:18" x14ac:dyDescent="0.25">
      <c r="A268" s="159" t="s">
        <v>534</v>
      </c>
      <c r="B268" s="159" t="s">
        <v>834</v>
      </c>
      <c r="C268" s="159" t="s">
        <v>351</v>
      </c>
      <c r="D268" s="32"/>
      <c r="E268" s="32"/>
      <c r="F268" s="32"/>
      <c r="G268" s="32"/>
      <c r="H268" s="32">
        <v>22408</v>
      </c>
      <c r="I268" s="32">
        <v>23808</v>
      </c>
      <c r="J268" s="32">
        <v>156016</v>
      </c>
      <c r="K268" s="32"/>
      <c r="L268" s="32">
        <v>39056</v>
      </c>
      <c r="M268" s="32">
        <v>130137</v>
      </c>
      <c r="N268" s="32"/>
      <c r="O268" s="32"/>
      <c r="R268" s="32" t="str">
        <f>_xlfn.XLOOKUP(B268,Lookup!M:M,Lookup!N:N)</f>
        <v>(8036) GOODERS - QUESO TELL ME MORE</v>
      </c>
    </row>
    <row r="269" spans="1:18" x14ac:dyDescent="0.25">
      <c r="A269" s="159" t="s">
        <v>534</v>
      </c>
      <c r="B269" s="159" t="s">
        <v>1385</v>
      </c>
      <c r="C269" s="159" t="s">
        <v>351</v>
      </c>
      <c r="D269" s="32"/>
      <c r="E269" s="32"/>
      <c r="F269" s="32"/>
      <c r="G269" s="32"/>
      <c r="H269" s="32"/>
      <c r="I269" s="32"/>
      <c r="J269" s="32"/>
      <c r="K269" s="32"/>
      <c r="L269" s="32"/>
      <c r="M269" s="32">
        <v>39128</v>
      </c>
      <c r="N269" s="32"/>
      <c r="O269" s="32"/>
      <c r="R269" s="32" t="str">
        <f>_xlfn.XLOOKUP(B269,Lookup!M:M,Lookup!N:N)</f>
        <v>(8036) GOODERS - QUESO TELL ME MORE</v>
      </c>
    </row>
    <row r="270" spans="1:18" x14ac:dyDescent="0.25">
      <c r="A270" s="159" t="s">
        <v>534</v>
      </c>
      <c r="B270" s="159" t="s">
        <v>345</v>
      </c>
      <c r="C270" s="159" t="s">
        <v>351</v>
      </c>
      <c r="D270" s="32"/>
      <c r="E270" s="32"/>
      <c r="F270" s="32">
        <v>28250</v>
      </c>
      <c r="G270" s="32"/>
      <c r="H270" s="32"/>
      <c r="I270" s="32"/>
      <c r="J270" s="32"/>
      <c r="K270" s="32">
        <v>15000</v>
      </c>
      <c r="L270" s="32"/>
      <c r="M270" s="32"/>
      <c r="N270" s="32"/>
      <c r="O270" s="32"/>
      <c r="R270" s="32" t="e">
        <f>_xlfn.XLOOKUP(B270,Lookup!M:M,Lookup!N:N)</f>
        <v>#N/A</v>
      </c>
    </row>
    <row r="271" spans="1:18" x14ac:dyDescent="0.25">
      <c r="A271" s="159" t="s">
        <v>534</v>
      </c>
      <c r="B271" s="159" t="s">
        <v>536</v>
      </c>
      <c r="C271" s="159" t="s">
        <v>351</v>
      </c>
      <c r="D271" s="32"/>
      <c r="E271" s="32"/>
      <c r="F271" s="32">
        <v>28250</v>
      </c>
      <c r="G271" s="32"/>
      <c r="H271" s="32"/>
      <c r="I271" s="32"/>
      <c r="J271" s="32"/>
      <c r="K271" s="32">
        <v>15000</v>
      </c>
      <c r="L271" s="32"/>
      <c r="M271" s="32"/>
      <c r="N271" s="32"/>
      <c r="O271" s="32"/>
      <c r="R271" s="32" t="e">
        <f>_xlfn.XLOOKUP(B271,Lookup!M:M,Lookup!N:N)</f>
        <v>#N/A</v>
      </c>
    </row>
    <row r="272" spans="1:18" x14ac:dyDescent="0.25">
      <c r="A272" s="159" t="s">
        <v>534</v>
      </c>
      <c r="B272" s="159" t="s">
        <v>163</v>
      </c>
      <c r="C272" s="159" t="s">
        <v>351</v>
      </c>
      <c r="D272" s="32"/>
      <c r="E272" s="32"/>
      <c r="F272" s="32">
        <v>28250</v>
      </c>
      <c r="G272" s="32"/>
      <c r="H272" s="32"/>
      <c r="I272" s="32"/>
      <c r="J272" s="32"/>
      <c r="K272" s="32">
        <v>15000</v>
      </c>
      <c r="L272" s="32"/>
      <c r="M272" s="32"/>
      <c r="N272" s="32"/>
      <c r="O272" s="32"/>
      <c r="R272" s="32" t="str">
        <f>_xlfn.XLOOKUP(B272,Lookup!M:M,Lookup!N:N)</f>
        <v>Luxfer Cases</v>
      </c>
    </row>
    <row r="273" spans="1:18" x14ac:dyDescent="0.25">
      <c r="A273" s="159" t="s">
        <v>534</v>
      </c>
      <c r="B273" s="159" t="s">
        <v>382</v>
      </c>
      <c r="C273" s="159" t="s">
        <v>351</v>
      </c>
      <c r="D273" s="32">
        <v>9828</v>
      </c>
      <c r="E273" s="32">
        <v>2100</v>
      </c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R273" s="32" t="e">
        <f>_xlfn.XLOOKUP(B273,Lookup!M:M,Lookup!N:N)</f>
        <v>#N/A</v>
      </c>
    </row>
    <row r="274" spans="1:18" x14ac:dyDescent="0.25">
      <c r="A274" s="159" t="s">
        <v>534</v>
      </c>
      <c r="B274" s="159" t="s">
        <v>167</v>
      </c>
      <c r="C274" s="159" t="s">
        <v>351</v>
      </c>
      <c r="D274" s="32">
        <v>9828</v>
      </c>
      <c r="E274" s="32">
        <v>2100</v>
      </c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R274" s="32" t="str">
        <f>_xlfn.XLOOKUP(B274,Lookup!M:M,Lookup!N:N)</f>
        <v>Luxfer Bib</v>
      </c>
    </row>
    <row r="275" spans="1:18" x14ac:dyDescent="0.25">
      <c r="A275" s="159" t="s">
        <v>534</v>
      </c>
      <c r="B275" s="159" t="s">
        <v>221</v>
      </c>
      <c r="C275" s="159" t="s">
        <v>351</v>
      </c>
      <c r="D275" s="32">
        <v>126768</v>
      </c>
      <c r="E275" s="32">
        <v>119762</v>
      </c>
      <c r="F275" s="32">
        <v>130128</v>
      </c>
      <c r="G275" s="32">
        <v>191472</v>
      </c>
      <c r="H275" s="32">
        <v>122738</v>
      </c>
      <c r="I275" s="32">
        <v>151392</v>
      </c>
      <c r="J275" s="32">
        <v>159120</v>
      </c>
      <c r="K275" s="32">
        <v>129218</v>
      </c>
      <c r="L275" s="32">
        <v>150048</v>
      </c>
      <c r="M275" s="32">
        <v>147504</v>
      </c>
      <c r="N275" s="32">
        <v>38880</v>
      </c>
      <c r="O275" s="32"/>
      <c r="R275" s="32" t="str">
        <f>_xlfn.XLOOKUP(B275,Lookup!M:M,Lookup!N:N)</f>
        <v>MRE Cases</v>
      </c>
    </row>
    <row r="276" spans="1:18" x14ac:dyDescent="0.25">
      <c r="A276" s="159" t="s">
        <v>534</v>
      </c>
      <c r="B276" s="159" t="s">
        <v>575</v>
      </c>
      <c r="C276" s="159" t="s">
        <v>351</v>
      </c>
      <c r="D276" s="32">
        <v>63384</v>
      </c>
      <c r="E276" s="32">
        <v>59881</v>
      </c>
      <c r="F276" s="32">
        <v>65064</v>
      </c>
      <c r="G276" s="32">
        <v>95736</v>
      </c>
      <c r="H276" s="32">
        <v>61369</v>
      </c>
      <c r="I276" s="32">
        <v>75696</v>
      </c>
      <c r="J276" s="32">
        <v>79560</v>
      </c>
      <c r="K276" s="32">
        <v>64609</v>
      </c>
      <c r="L276" s="32">
        <v>75024</v>
      </c>
      <c r="M276" s="32">
        <v>73752</v>
      </c>
      <c r="N276" s="32">
        <v>19440</v>
      </c>
      <c r="O276" s="32"/>
      <c r="R276" s="32" t="e">
        <f>_xlfn.XLOOKUP(B276,Lookup!M:M,Lookup!N:N)</f>
        <v>#N/A</v>
      </c>
    </row>
    <row r="277" spans="1:18" x14ac:dyDescent="0.25">
      <c r="A277" s="159" t="s">
        <v>534</v>
      </c>
      <c r="B277" s="159" t="s">
        <v>576</v>
      </c>
      <c r="C277" s="159" t="s">
        <v>351</v>
      </c>
      <c r="D277" s="32">
        <v>63384</v>
      </c>
      <c r="E277" s="32">
        <v>59881</v>
      </c>
      <c r="F277" s="32">
        <v>65064</v>
      </c>
      <c r="G277" s="32">
        <v>95736</v>
      </c>
      <c r="H277" s="32">
        <v>61369</v>
      </c>
      <c r="I277" s="32">
        <v>75696</v>
      </c>
      <c r="J277" s="32">
        <v>79560</v>
      </c>
      <c r="K277" s="32">
        <v>64609</v>
      </c>
      <c r="L277" s="32">
        <v>75024</v>
      </c>
      <c r="M277" s="32">
        <v>73752</v>
      </c>
      <c r="N277" s="32">
        <v>19440</v>
      </c>
      <c r="O277" s="32"/>
      <c r="R277" s="32" t="e">
        <f>_xlfn.XLOOKUP(B277,Lookup!M:M,Lookup!N:N)</f>
        <v>#N/A</v>
      </c>
    </row>
    <row r="278" spans="1:18" x14ac:dyDescent="0.25">
      <c r="A278" s="159" t="s">
        <v>534</v>
      </c>
      <c r="B278" s="159" t="s">
        <v>418</v>
      </c>
      <c r="C278" s="159" t="s">
        <v>351</v>
      </c>
      <c r="D278" s="32"/>
      <c r="E278" s="32"/>
      <c r="F278" s="32"/>
      <c r="G278" s="32">
        <v>3696</v>
      </c>
      <c r="H278" s="32"/>
      <c r="I278" s="32"/>
      <c r="J278" s="32"/>
      <c r="K278" s="32"/>
      <c r="L278" s="32">
        <v>31680</v>
      </c>
      <c r="M278" s="32">
        <v>156310</v>
      </c>
      <c r="N278" s="32"/>
      <c r="O278" s="32"/>
      <c r="R278" s="32" t="e">
        <f>_xlfn.XLOOKUP(B278,Lookup!M:M,Lookup!N:N)</f>
        <v>#N/A</v>
      </c>
    </row>
    <row r="279" spans="1:18" x14ac:dyDescent="0.25">
      <c r="A279" s="159" t="s">
        <v>534</v>
      </c>
      <c r="B279" s="159" t="s">
        <v>188</v>
      </c>
      <c r="C279" s="159" t="s">
        <v>351</v>
      </c>
      <c r="D279" s="32"/>
      <c r="E279" s="32"/>
      <c r="F279" s="32"/>
      <c r="G279" s="32">
        <v>3696</v>
      </c>
      <c r="H279" s="32"/>
      <c r="I279" s="32"/>
      <c r="J279" s="32"/>
      <c r="K279" s="32"/>
      <c r="L279" s="32">
        <v>31680</v>
      </c>
      <c r="M279" s="32">
        <v>156310</v>
      </c>
      <c r="N279" s="32"/>
      <c r="O279" s="32"/>
      <c r="R279" s="32" t="str">
        <f>_xlfn.XLOOKUP(B279,Lookup!M:M,Lookup!N:N)</f>
        <v>SDR Case</v>
      </c>
    </row>
    <row r="280" spans="1:18" x14ac:dyDescent="0.25">
      <c r="A280" s="159" t="s">
        <v>534</v>
      </c>
      <c r="B280" s="159" t="s">
        <v>449</v>
      </c>
      <c r="C280" s="159" t="s">
        <v>351</v>
      </c>
      <c r="D280" s="32"/>
      <c r="E280" s="32"/>
      <c r="F280" s="32">
        <v>60</v>
      </c>
      <c r="G280" s="32"/>
      <c r="H280" s="32"/>
      <c r="I280" s="32"/>
      <c r="J280" s="32"/>
      <c r="K280" s="32"/>
      <c r="L280" s="32"/>
      <c r="M280" s="32"/>
      <c r="N280" s="32"/>
      <c r="O280" s="32"/>
      <c r="R280" s="32" t="e">
        <f>_xlfn.XLOOKUP(B280,Lookup!M:M,Lookup!N:N)</f>
        <v>#N/A</v>
      </c>
    </row>
    <row r="281" spans="1:18" x14ac:dyDescent="0.25">
      <c r="A281" s="159" t="s">
        <v>534</v>
      </c>
      <c r="B281" s="159" t="s">
        <v>232</v>
      </c>
      <c r="C281" s="159" t="s">
        <v>351</v>
      </c>
      <c r="D281" s="32"/>
      <c r="E281" s="32"/>
      <c r="F281" s="32">
        <v>60</v>
      </c>
      <c r="G281" s="32"/>
      <c r="H281" s="32"/>
      <c r="I281" s="32"/>
      <c r="J281" s="32"/>
      <c r="K281" s="32"/>
      <c r="L281" s="32"/>
      <c r="M281" s="32"/>
      <c r="N281" s="32"/>
      <c r="O281" s="32"/>
      <c r="R281" s="32" t="str">
        <f>_xlfn.XLOOKUP(B281,Lookup!M:M,Lookup!N:N)</f>
        <v>Starkist To-Go</v>
      </c>
    </row>
    <row r="282" spans="1:18" x14ac:dyDescent="0.25">
      <c r="A282" s="159" t="s">
        <v>534</v>
      </c>
      <c r="B282" s="159" t="s">
        <v>191</v>
      </c>
      <c r="C282" s="159" t="s">
        <v>351</v>
      </c>
      <c r="D282" s="32">
        <v>7525</v>
      </c>
      <c r="E282" s="32">
        <v>14816</v>
      </c>
      <c r="F282" s="32">
        <v>4016</v>
      </c>
      <c r="G282" s="32">
        <v>6681</v>
      </c>
      <c r="H282" s="32">
        <v>16240</v>
      </c>
      <c r="I282" s="32">
        <v>8613</v>
      </c>
      <c r="J282" s="32">
        <v>5308</v>
      </c>
      <c r="K282" s="32">
        <v>1079</v>
      </c>
      <c r="L282" s="32">
        <v>1647</v>
      </c>
      <c r="M282" s="32">
        <v>14239</v>
      </c>
      <c r="N282" s="32">
        <v>1720</v>
      </c>
      <c r="O282" s="32"/>
      <c r="R282" s="32" t="str">
        <f>_xlfn.XLOOKUP(B282,Lookup!M:M,Lookup!N:N)</f>
        <v>UGR</v>
      </c>
    </row>
    <row r="283" spans="1:18" x14ac:dyDescent="0.25">
      <c r="A283" s="159" t="s">
        <v>534</v>
      </c>
      <c r="B283" s="159" t="s">
        <v>577</v>
      </c>
      <c r="C283" s="159" t="s">
        <v>351</v>
      </c>
      <c r="D283" s="32">
        <v>-61</v>
      </c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R283" s="32" t="e">
        <f>_xlfn.XLOOKUP(B283,Lookup!M:M,Lookup!N:N)</f>
        <v>#N/A</v>
      </c>
    </row>
    <row r="284" spans="1:18" x14ac:dyDescent="0.25">
      <c r="A284" s="159" t="s">
        <v>534</v>
      </c>
      <c r="B284" s="159" t="s">
        <v>450</v>
      </c>
      <c r="C284" s="159" t="s">
        <v>351</v>
      </c>
      <c r="D284" s="32">
        <v>1694</v>
      </c>
      <c r="E284" s="32">
        <v>3697</v>
      </c>
      <c r="F284" s="32">
        <v>3408</v>
      </c>
      <c r="G284" s="32">
        <v>3801</v>
      </c>
      <c r="H284" s="32">
        <v>7083</v>
      </c>
      <c r="I284" s="32">
        <v>7385</v>
      </c>
      <c r="J284" s="32">
        <v>5014</v>
      </c>
      <c r="K284" s="32">
        <v>1079</v>
      </c>
      <c r="L284" s="32">
        <v>1647</v>
      </c>
      <c r="M284" s="32">
        <v>4279</v>
      </c>
      <c r="N284" s="32"/>
      <c r="O284" s="32"/>
      <c r="R284" s="32" t="e">
        <f>_xlfn.XLOOKUP(B284,Lookup!M:M,Lookup!N:N)</f>
        <v>#N/A</v>
      </c>
    </row>
    <row r="285" spans="1:18" x14ac:dyDescent="0.25">
      <c r="A285" s="159" t="s">
        <v>534</v>
      </c>
      <c r="B285" s="159" t="s">
        <v>451</v>
      </c>
      <c r="C285" s="159" t="s">
        <v>351</v>
      </c>
      <c r="D285" s="32">
        <v>5892</v>
      </c>
      <c r="E285" s="32">
        <v>11119</v>
      </c>
      <c r="F285" s="32">
        <v>608</v>
      </c>
      <c r="G285" s="32">
        <v>2880</v>
      </c>
      <c r="H285" s="32">
        <v>9157</v>
      </c>
      <c r="I285" s="32">
        <v>1228</v>
      </c>
      <c r="J285" s="32">
        <v>294</v>
      </c>
      <c r="K285" s="32"/>
      <c r="L285" s="32"/>
      <c r="M285" s="32">
        <v>9960</v>
      </c>
      <c r="N285" s="32">
        <v>1720</v>
      </c>
      <c r="O285" s="32"/>
      <c r="R285" s="32" t="e">
        <f>_xlfn.XLOOKUP(B285,Lookup!M:M,Lookup!N:N)</f>
        <v>#N/A</v>
      </c>
    </row>
    <row r="286" spans="1:18" x14ac:dyDescent="0.25">
      <c r="A286" s="159" t="s">
        <v>534</v>
      </c>
      <c r="B286" s="159" t="s">
        <v>318</v>
      </c>
      <c r="C286" s="159" t="s">
        <v>351</v>
      </c>
      <c r="D286" s="32">
        <v>243756</v>
      </c>
      <c r="E286" s="32">
        <v>145680</v>
      </c>
      <c r="F286" s="32">
        <v>15360</v>
      </c>
      <c r="G286" s="32">
        <v>91800</v>
      </c>
      <c r="H286" s="32"/>
      <c r="I286" s="32">
        <v>595112</v>
      </c>
      <c r="J286" s="32">
        <v>536880</v>
      </c>
      <c r="K286" s="32">
        <v>1595676</v>
      </c>
      <c r="L286" s="32">
        <v>756480</v>
      </c>
      <c r="M286" s="32">
        <v>323220</v>
      </c>
      <c r="N286" s="32">
        <v>155316</v>
      </c>
      <c r="O286" s="32"/>
      <c r="R286" s="32" t="e">
        <f>_xlfn.XLOOKUP(B286,Lookup!M:M,Lookup!N:N)</f>
        <v>#N/A</v>
      </c>
    </row>
    <row r="287" spans="1:18" x14ac:dyDescent="0.25">
      <c r="A287" s="159" t="s">
        <v>534</v>
      </c>
      <c r="B287" s="159" t="s">
        <v>537</v>
      </c>
      <c r="C287" s="159" t="s">
        <v>351</v>
      </c>
      <c r="D287" s="32">
        <v>243756</v>
      </c>
      <c r="E287" s="32">
        <v>145680</v>
      </c>
      <c r="F287" s="32">
        <v>15360</v>
      </c>
      <c r="G287" s="32">
        <v>91800</v>
      </c>
      <c r="H287" s="32"/>
      <c r="I287" s="32">
        <v>595112</v>
      </c>
      <c r="J287" s="32">
        <v>536880</v>
      </c>
      <c r="K287" s="32">
        <v>1595676</v>
      </c>
      <c r="L287" s="32">
        <v>756480</v>
      </c>
      <c r="M287" s="32">
        <v>323220</v>
      </c>
      <c r="N287" s="32">
        <v>155316</v>
      </c>
      <c r="O287" s="32"/>
      <c r="R287" s="32" t="e">
        <f>_xlfn.XLOOKUP(B287,Lookup!M:M,Lookup!N:N)</f>
        <v>#N/A</v>
      </c>
    </row>
    <row r="288" spans="1:18" x14ac:dyDescent="0.25">
      <c r="A288" s="159" t="s">
        <v>534</v>
      </c>
      <c r="B288" s="159" t="s">
        <v>194</v>
      </c>
      <c r="C288" s="159" t="s">
        <v>351</v>
      </c>
      <c r="D288" s="32"/>
      <c r="E288" s="32"/>
      <c r="F288" s="32"/>
      <c r="G288" s="32">
        <v>42360</v>
      </c>
      <c r="H288" s="32"/>
      <c r="I288" s="32"/>
      <c r="J288" s="32"/>
      <c r="K288" s="32">
        <v>81600</v>
      </c>
      <c r="L288" s="32"/>
      <c r="M288" s="32"/>
      <c r="N288" s="32"/>
      <c r="O288" s="32"/>
      <c r="R288" s="32" t="str">
        <f>_xlfn.XLOOKUP(B288,Lookup!M:M,Lookup!N:N)</f>
        <v>(8030) USDA PASTA, WG ELBOWS 24/1LB</v>
      </c>
    </row>
    <row r="289" spans="1:18" x14ac:dyDescent="0.25">
      <c r="A289" s="159" t="s">
        <v>534</v>
      </c>
      <c r="B289" s="159" t="s">
        <v>197</v>
      </c>
      <c r="C289" s="159" t="s">
        <v>351</v>
      </c>
      <c r="D289" s="32">
        <v>243756</v>
      </c>
      <c r="E289" s="32">
        <v>145680</v>
      </c>
      <c r="F289" s="32">
        <v>15360</v>
      </c>
      <c r="G289" s="32">
        <v>49440</v>
      </c>
      <c r="H289" s="32"/>
      <c r="I289" s="32">
        <v>141672</v>
      </c>
      <c r="J289" s="32">
        <v>56820</v>
      </c>
      <c r="K289" s="32">
        <v>230136</v>
      </c>
      <c r="L289" s="32">
        <v>25560</v>
      </c>
      <c r="M289" s="32">
        <v>323220</v>
      </c>
      <c r="N289" s="32">
        <v>155316</v>
      </c>
      <c r="O289" s="32"/>
      <c r="R289" s="32" t="str">
        <f>_xlfn.XLOOKUP(B289,Lookup!M:M,Lookup!N:N)</f>
        <v>(8031) USDA PASTA, WG ROTINI 12/1LB</v>
      </c>
    </row>
    <row r="290" spans="1:18" x14ac:dyDescent="0.25">
      <c r="A290" s="159" t="s">
        <v>534</v>
      </c>
      <c r="B290" s="159" t="s">
        <v>201</v>
      </c>
      <c r="C290" s="159" t="s">
        <v>351</v>
      </c>
      <c r="D290" s="32"/>
      <c r="E290" s="32"/>
      <c r="F290" s="32"/>
      <c r="G290" s="32"/>
      <c r="H290" s="32"/>
      <c r="I290" s="32">
        <v>453440</v>
      </c>
      <c r="J290" s="32">
        <v>480060</v>
      </c>
      <c r="K290" s="32">
        <v>1283940</v>
      </c>
      <c r="L290" s="32">
        <v>730920</v>
      </c>
      <c r="M290" s="32"/>
      <c r="N290" s="32"/>
      <c r="O290" s="32"/>
      <c r="R290" s="32" t="str">
        <f>_xlfn.XLOOKUP(B290,Lookup!M:M,Lookup!N:N)</f>
        <v>(8032) USDA PASTA, PLAIN ELBOWS 20/1LB</v>
      </c>
    </row>
    <row r="291" spans="1:18" x14ac:dyDescent="0.25">
      <c r="A291" s="159" t="s">
        <v>459</v>
      </c>
      <c r="B291" s="159" t="s">
        <v>138</v>
      </c>
      <c r="C291" s="159" t="s">
        <v>351</v>
      </c>
      <c r="D291" s="32">
        <v>31253258</v>
      </c>
      <c r="E291" s="32">
        <v>38451458</v>
      </c>
      <c r="F291" s="32">
        <v>30079299</v>
      </c>
      <c r="G291" s="32">
        <v>28968074</v>
      </c>
      <c r="H291" s="32">
        <v>34541848</v>
      </c>
      <c r="I291" s="32">
        <v>24374752</v>
      </c>
      <c r="J291" s="32">
        <v>39278053</v>
      </c>
      <c r="K291" s="32">
        <v>38854372</v>
      </c>
      <c r="L291" s="32">
        <v>41004453</v>
      </c>
      <c r="M291" s="32">
        <v>35267487</v>
      </c>
      <c r="N291" s="32">
        <v>14550621</v>
      </c>
      <c r="O291" s="32"/>
    </row>
    <row r="292" spans="1:18" x14ac:dyDescent="0.25">
      <c r="A292" s="159" t="s">
        <v>459</v>
      </c>
      <c r="B292" s="159" t="s">
        <v>145</v>
      </c>
      <c r="C292" s="159" t="s">
        <v>351</v>
      </c>
      <c r="D292" s="32">
        <v>687300</v>
      </c>
      <c r="E292" s="32">
        <v>2098500</v>
      </c>
      <c r="F292" s="32">
        <v>548900</v>
      </c>
      <c r="G292" s="32">
        <v>364200</v>
      </c>
      <c r="H292" s="32"/>
      <c r="I292" s="32"/>
      <c r="J292" s="32"/>
      <c r="K292" s="32"/>
      <c r="L292" s="32"/>
      <c r="M292" s="32"/>
      <c r="N292" s="32"/>
      <c r="O292" s="32"/>
    </row>
    <row r="293" spans="1:18" x14ac:dyDescent="0.25">
      <c r="A293" s="159" t="s">
        <v>459</v>
      </c>
      <c r="B293" s="159" t="s">
        <v>460</v>
      </c>
      <c r="C293" s="159" t="s">
        <v>351</v>
      </c>
      <c r="D293" s="32">
        <v>106000</v>
      </c>
      <c r="E293" s="32">
        <v>99400</v>
      </c>
      <c r="F293" s="32">
        <v>396100</v>
      </c>
      <c r="G293" s="32">
        <v>104300</v>
      </c>
      <c r="H293" s="32"/>
      <c r="I293" s="32"/>
      <c r="J293" s="32"/>
      <c r="K293" s="32"/>
      <c r="L293" s="32"/>
      <c r="M293" s="32"/>
      <c r="N293" s="32"/>
      <c r="O293" s="32"/>
    </row>
    <row r="294" spans="1:18" x14ac:dyDescent="0.25">
      <c r="A294" s="159" t="s">
        <v>459</v>
      </c>
      <c r="B294" s="159" t="s">
        <v>461</v>
      </c>
      <c r="C294" s="159" t="s">
        <v>351</v>
      </c>
      <c r="D294" s="32">
        <v>247400</v>
      </c>
      <c r="E294" s="32">
        <v>739800</v>
      </c>
      <c r="F294" s="32">
        <v>152800</v>
      </c>
      <c r="G294" s="32">
        <v>259900</v>
      </c>
      <c r="H294" s="32"/>
      <c r="I294" s="32"/>
      <c r="J294" s="32"/>
      <c r="K294" s="32"/>
      <c r="L294" s="32"/>
      <c r="M294" s="32"/>
      <c r="N294" s="32"/>
      <c r="O294" s="32"/>
    </row>
    <row r="295" spans="1:18" x14ac:dyDescent="0.25">
      <c r="A295" s="159" t="s">
        <v>459</v>
      </c>
      <c r="B295" s="159" t="s">
        <v>462</v>
      </c>
      <c r="C295" s="159" t="s">
        <v>351</v>
      </c>
      <c r="D295" s="32">
        <v>333900</v>
      </c>
      <c r="E295" s="32">
        <v>1259300</v>
      </c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spans="1:18" x14ac:dyDescent="0.25">
      <c r="A296" s="159" t="s">
        <v>459</v>
      </c>
      <c r="B296" s="159" t="s">
        <v>578</v>
      </c>
      <c r="C296" s="159" t="s">
        <v>351</v>
      </c>
      <c r="D296" s="32"/>
      <c r="E296" s="32"/>
      <c r="F296" s="32"/>
      <c r="G296" s="32">
        <v>140</v>
      </c>
      <c r="H296" s="32">
        <v>17360</v>
      </c>
      <c r="I296" s="32">
        <v>1120</v>
      </c>
      <c r="J296" s="32">
        <v>3220</v>
      </c>
      <c r="K296" s="32">
        <v>33320</v>
      </c>
      <c r="L296" s="32"/>
      <c r="M296" s="32">
        <v>13720</v>
      </c>
      <c r="N296" s="32"/>
      <c r="O296" s="32"/>
    </row>
    <row r="297" spans="1:18" x14ac:dyDescent="0.25">
      <c r="A297" s="159" t="s">
        <v>459</v>
      </c>
      <c r="B297" s="159" t="s">
        <v>579</v>
      </c>
      <c r="C297" s="159" t="s">
        <v>351</v>
      </c>
      <c r="D297" s="32"/>
      <c r="E297" s="32"/>
      <c r="F297" s="32"/>
      <c r="G297" s="32">
        <v>140</v>
      </c>
      <c r="H297" s="32">
        <v>17360</v>
      </c>
      <c r="I297" s="32">
        <v>1120</v>
      </c>
      <c r="J297" s="32">
        <v>3220</v>
      </c>
      <c r="K297" s="32">
        <v>33320</v>
      </c>
      <c r="L297" s="32"/>
      <c r="M297" s="32">
        <v>13720</v>
      </c>
      <c r="N297" s="32"/>
      <c r="O297" s="32"/>
    </row>
    <row r="298" spans="1:18" x14ac:dyDescent="0.25">
      <c r="A298" s="159" t="s">
        <v>459</v>
      </c>
      <c r="B298" s="159" t="s">
        <v>463</v>
      </c>
      <c r="C298" s="159" t="s">
        <v>351</v>
      </c>
      <c r="D298" s="32"/>
      <c r="E298" s="32">
        <v>300600</v>
      </c>
      <c r="F298" s="32"/>
      <c r="G298" s="32">
        <v>85200</v>
      </c>
      <c r="H298" s="32">
        <v>131100</v>
      </c>
      <c r="I298" s="32">
        <v>193500</v>
      </c>
      <c r="J298" s="32">
        <v>155100</v>
      </c>
      <c r="K298" s="32"/>
      <c r="L298" s="32">
        <v>461300</v>
      </c>
      <c r="M298" s="32">
        <v>636600</v>
      </c>
      <c r="N298" s="32"/>
      <c r="O298" s="32"/>
    </row>
    <row r="299" spans="1:18" x14ac:dyDescent="0.25">
      <c r="A299" s="159" t="s">
        <v>459</v>
      </c>
      <c r="B299" s="159" t="s">
        <v>1085</v>
      </c>
      <c r="C299" s="159" t="s">
        <v>351</v>
      </c>
      <c r="D299" s="32"/>
      <c r="E299" s="32"/>
      <c r="F299" s="32"/>
      <c r="G299" s="32"/>
      <c r="H299" s="32"/>
      <c r="I299" s="32"/>
      <c r="J299" s="32"/>
      <c r="K299" s="32"/>
      <c r="L299" s="32">
        <v>61600</v>
      </c>
      <c r="M299" s="32"/>
      <c r="N299" s="32"/>
      <c r="O299" s="32"/>
    </row>
    <row r="300" spans="1:18" x14ac:dyDescent="0.25">
      <c r="A300" s="159" t="s">
        <v>459</v>
      </c>
      <c r="B300" s="159" t="s">
        <v>1086</v>
      </c>
      <c r="C300" s="159" t="s">
        <v>351</v>
      </c>
      <c r="D300" s="32"/>
      <c r="E300" s="32"/>
      <c r="F300" s="32"/>
      <c r="G300" s="32"/>
      <c r="H300" s="32"/>
      <c r="I300" s="32"/>
      <c r="J300" s="32"/>
      <c r="K300" s="32"/>
      <c r="L300" s="32">
        <v>175600</v>
      </c>
      <c r="M300" s="32"/>
      <c r="N300" s="32"/>
      <c r="O300" s="32"/>
    </row>
    <row r="301" spans="1:18" x14ac:dyDescent="0.25">
      <c r="A301" s="159" t="s">
        <v>459</v>
      </c>
      <c r="B301" s="159" t="s">
        <v>464</v>
      </c>
      <c r="C301" s="159" t="s">
        <v>351</v>
      </c>
      <c r="D301" s="32"/>
      <c r="E301" s="32">
        <v>300600</v>
      </c>
      <c r="F301" s="32"/>
      <c r="G301" s="32"/>
      <c r="H301" s="32">
        <v>131100</v>
      </c>
      <c r="I301" s="32">
        <v>193500</v>
      </c>
      <c r="J301" s="32">
        <v>155100</v>
      </c>
      <c r="K301" s="32"/>
      <c r="L301" s="32">
        <v>48000</v>
      </c>
      <c r="M301" s="32">
        <v>452100</v>
      </c>
      <c r="N301" s="32"/>
      <c r="O301" s="32"/>
    </row>
    <row r="302" spans="1:18" x14ac:dyDescent="0.25">
      <c r="A302" s="159" t="s">
        <v>459</v>
      </c>
      <c r="B302" s="159" t="s">
        <v>1087</v>
      </c>
      <c r="C302" s="159" t="s">
        <v>351</v>
      </c>
      <c r="D302" s="32"/>
      <c r="E302" s="32"/>
      <c r="F302" s="32"/>
      <c r="G302" s="32"/>
      <c r="H302" s="32"/>
      <c r="I302" s="32"/>
      <c r="J302" s="32"/>
      <c r="K302" s="32"/>
      <c r="L302" s="32">
        <v>176100</v>
      </c>
      <c r="M302" s="32">
        <v>184500</v>
      </c>
      <c r="N302" s="32"/>
      <c r="O302" s="32"/>
    </row>
    <row r="303" spans="1:18" x14ac:dyDescent="0.25">
      <c r="A303" s="159" t="s">
        <v>459</v>
      </c>
      <c r="B303" s="159" t="s">
        <v>465</v>
      </c>
      <c r="C303" s="159" t="s">
        <v>351</v>
      </c>
      <c r="D303" s="32"/>
      <c r="E303" s="32"/>
      <c r="F303" s="32"/>
      <c r="G303" s="32">
        <v>85200</v>
      </c>
      <c r="H303" s="32"/>
      <c r="I303" s="32"/>
      <c r="J303" s="32"/>
      <c r="K303" s="32"/>
      <c r="L303" s="32"/>
      <c r="M303" s="32"/>
      <c r="N303" s="32"/>
      <c r="O303" s="32"/>
    </row>
    <row r="304" spans="1:18" x14ac:dyDescent="0.25">
      <c r="A304" s="159" t="s">
        <v>459</v>
      </c>
      <c r="B304" s="159" t="s">
        <v>466</v>
      </c>
      <c r="C304" s="159" t="s">
        <v>351</v>
      </c>
      <c r="D304" s="32"/>
      <c r="E304" s="32">
        <v>164928</v>
      </c>
      <c r="F304" s="32"/>
      <c r="G304" s="32">
        <v>89664</v>
      </c>
      <c r="H304" s="32">
        <v>348480</v>
      </c>
      <c r="I304" s="32">
        <v>105408</v>
      </c>
      <c r="J304" s="32"/>
      <c r="K304" s="32"/>
      <c r="L304" s="32">
        <v>15936</v>
      </c>
      <c r="M304" s="32">
        <v>143712</v>
      </c>
      <c r="N304" s="32"/>
      <c r="O304" s="32"/>
    </row>
    <row r="305" spans="1:15" x14ac:dyDescent="0.25">
      <c r="A305" s="159" t="s">
        <v>459</v>
      </c>
      <c r="B305" s="159" t="s">
        <v>467</v>
      </c>
      <c r="C305" s="159" t="s">
        <v>351</v>
      </c>
      <c r="D305" s="32"/>
      <c r="E305" s="32">
        <v>164928</v>
      </c>
      <c r="F305" s="32"/>
      <c r="G305" s="32">
        <v>89664</v>
      </c>
      <c r="H305" s="32">
        <v>159456</v>
      </c>
      <c r="I305" s="32">
        <v>105408</v>
      </c>
      <c r="J305" s="32"/>
      <c r="K305" s="32"/>
      <c r="L305" s="32"/>
      <c r="M305" s="32">
        <v>143712</v>
      </c>
      <c r="N305" s="32"/>
      <c r="O305" s="32"/>
    </row>
    <row r="306" spans="1:15" x14ac:dyDescent="0.25">
      <c r="A306" s="159" t="s">
        <v>459</v>
      </c>
      <c r="B306" s="159" t="s">
        <v>835</v>
      </c>
      <c r="C306" s="159" t="s">
        <v>351</v>
      </c>
      <c r="D306" s="32"/>
      <c r="E306" s="32"/>
      <c r="F306" s="32"/>
      <c r="G306" s="32"/>
      <c r="H306" s="32">
        <v>189024</v>
      </c>
      <c r="I306" s="32"/>
      <c r="J306" s="32"/>
      <c r="K306" s="32"/>
      <c r="L306" s="32">
        <v>15936</v>
      </c>
      <c r="M306" s="32"/>
      <c r="N306" s="32"/>
      <c r="O306" s="32"/>
    </row>
    <row r="307" spans="1:15" x14ac:dyDescent="0.25">
      <c r="A307" s="159" t="s">
        <v>459</v>
      </c>
      <c r="B307" s="159" t="s">
        <v>468</v>
      </c>
      <c r="C307" s="159" t="s">
        <v>351</v>
      </c>
      <c r="D307" s="32">
        <v>43540</v>
      </c>
      <c r="E307" s="32">
        <v>37660</v>
      </c>
      <c r="F307" s="32">
        <v>331240</v>
      </c>
      <c r="G307" s="32">
        <v>238000</v>
      </c>
      <c r="H307" s="32">
        <v>277760</v>
      </c>
      <c r="I307" s="32">
        <v>289660</v>
      </c>
      <c r="J307" s="32">
        <v>334740</v>
      </c>
      <c r="K307" s="32">
        <v>673820</v>
      </c>
      <c r="L307" s="32">
        <v>1014300</v>
      </c>
      <c r="M307" s="32">
        <v>319480</v>
      </c>
      <c r="N307" s="32">
        <v>327320</v>
      </c>
      <c r="O307" s="32"/>
    </row>
    <row r="308" spans="1:15" x14ac:dyDescent="0.25">
      <c r="A308" s="159" t="s">
        <v>459</v>
      </c>
      <c r="B308" s="159" t="s">
        <v>469</v>
      </c>
      <c r="C308" s="159" t="s">
        <v>351</v>
      </c>
      <c r="D308" s="32"/>
      <c r="E308" s="32"/>
      <c r="F308" s="32">
        <v>171220</v>
      </c>
      <c r="G308" s="32">
        <v>202440</v>
      </c>
      <c r="H308" s="32">
        <v>197400</v>
      </c>
      <c r="I308" s="32"/>
      <c r="J308" s="32">
        <v>160860</v>
      </c>
      <c r="K308" s="32">
        <v>527660</v>
      </c>
      <c r="L308" s="32">
        <v>547260</v>
      </c>
      <c r="M308" s="32">
        <v>120820</v>
      </c>
      <c r="N308" s="32">
        <v>71260</v>
      </c>
      <c r="O308" s="32"/>
    </row>
    <row r="309" spans="1:15" x14ac:dyDescent="0.25">
      <c r="A309" s="159" t="s">
        <v>459</v>
      </c>
      <c r="B309" s="159" t="s">
        <v>470</v>
      </c>
      <c r="C309" s="159" t="s">
        <v>351</v>
      </c>
      <c r="D309" s="32"/>
      <c r="E309" s="32"/>
      <c r="F309" s="32">
        <v>129360</v>
      </c>
      <c r="G309" s="32">
        <v>35560</v>
      </c>
      <c r="H309" s="32">
        <v>43540</v>
      </c>
      <c r="I309" s="32">
        <v>186760</v>
      </c>
      <c r="J309" s="32">
        <v>61880</v>
      </c>
      <c r="K309" s="32">
        <v>146160</v>
      </c>
      <c r="L309" s="32">
        <v>372540</v>
      </c>
      <c r="M309" s="32">
        <v>100240</v>
      </c>
      <c r="N309" s="32">
        <v>251020</v>
      </c>
      <c r="O309" s="32"/>
    </row>
    <row r="310" spans="1:15" x14ac:dyDescent="0.25">
      <c r="A310" s="159" t="s">
        <v>459</v>
      </c>
      <c r="B310" s="159" t="s">
        <v>580</v>
      </c>
      <c r="C310" s="159" t="s">
        <v>351</v>
      </c>
      <c r="D310" s="32">
        <v>43540</v>
      </c>
      <c r="E310" s="32">
        <v>37660</v>
      </c>
      <c r="F310" s="32">
        <v>30660</v>
      </c>
      <c r="G310" s="32"/>
      <c r="H310" s="32">
        <v>36820</v>
      </c>
      <c r="I310" s="32">
        <v>102900</v>
      </c>
      <c r="J310" s="32">
        <v>112000</v>
      </c>
      <c r="K310" s="32"/>
      <c r="L310" s="32">
        <v>94500</v>
      </c>
      <c r="M310" s="32">
        <v>98420</v>
      </c>
      <c r="N310" s="32">
        <v>5040</v>
      </c>
      <c r="O310" s="32"/>
    </row>
    <row r="311" spans="1:15" x14ac:dyDescent="0.25">
      <c r="A311" s="159" t="s">
        <v>459</v>
      </c>
      <c r="B311" s="159" t="s">
        <v>471</v>
      </c>
      <c r="C311" s="159" t="s">
        <v>351</v>
      </c>
      <c r="D311" s="32">
        <v>1803720</v>
      </c>
      <c r="E311" s="32">
        <v>4810440</v>
      </c>
      <c r="F311" s="32">
        <v>3097320</v>
      </c>
      <c r="G311" s="32">
        <v>1819740</v>
      </c>
      <c r="H311" s="32">
        <v>3281160</v>
      </c>
      <c r="I311" s="32">
        <v>4626780</v>
      </c>
      <c r="J311" s="32">
        <v>612900</v>
      </c>
      <c r="K311" s="32">
        <v>1895760</v>
      </c>
      <c r="L311" s="32">
        <v>1971720</v>
      </c>
      <c r="M311" s="32">
        <v>5296440</v>
      </c>
      <c r="N311" s="32"/>
      <c r="O311" s="32"/>
    </row>
    <row r="312" spans="1:15" x14ac:dyDescent="0.25">
      <c r="A312" s="159" t="s">
        <v>459</v>
      </c>
      <c r="B312" s="159" t="s">
        <v>472</v>
      </c>
      <c r="C312" s="159" t="s">
        <v>351</v>
      </c>
      <c r="D312" s="32">
        <v>1803720</v>
      </c>
      <c r="E312" s="32">
        <v>4810440</v>
      </c>
      <c r="F312" s="32">
        <v>3097320</v>
      </c>
      <c r="G312" s="32">
        <v>1819740</v>
      </c>
      <c r="H312" s="32">
        <v>3281160</v>
      </c>
      <c r="I312" s="32">
        <v>4626780</v>
      </c>
      <c r="J312" s="32">
        <v>612900</v>
      </c>
      <c r="K312" s="32">
        <v>1895760</v>
      </c>
      <c r="L312" s="32">
        <v>1971720</v>
      </c>
      <c r="M312" s="32">
        <v>5296440</v>
      </c>
      <c r="N312" s="32"/>
      <c r="O312" s="32"/>
    </row>
    <row r="313" spans="1:15" x14ac:dyDescent="0.25">
      <c r="A313" s="159" t="s">
        <v>459</v>
      </c>
      <c r="B313" s="159" t="s">
        <v>473</v>
      </c>
      <c r="C313" s="159" t="s">
        <v>351</v>
      </c>
      <c r="D313" s="32">
        <v>546480</v>
      </c>
      <c r="E313" s="32">
        <v>714540</v>
      </c>
      <c r="F313" s="32"/>
      <c r="G313" s="32">
        <v>1008060</v>
      </c>
      <c r="H313" s="32">
        <v>352500</v>
      </c>
      <c r="I313" s="32">
        <v>1144560</v>
      </c>
      <c r="J313" s="32">
        <v>324900</v>
      </c>
      <c r="K313" s="32">
        <v>653160</v>
      </c>
      <c r="L313" s="32"/>
      <c r="M313" s="32">
        <v>1619700</v>
      </c>
      <c r="N313" s="32"/>
      <c r="O313" s="32"/>
    </row>
    <row r="314" spans="1:15" x14ac:dyDescent="0.25">
      <c r="A314" s="159" t="s">
        <v>459</v>
      </c>
      <c r="B314" s="159" t="s">
        <v>474</v>
      </c>
      <c r="C314" s="159" t="s">
        <v>351</v>
      </c>
      <c r="D314" s="32">
        <v>1257240</v>
      </c>
      <c r="E314" s="32">
        <v>4095900</v>
      </c>
      <c r="F314" s="32">
        <v>3097320</v>
      </c>
      <c r="G314" s="32">
        <v>811680</v>
      </c>
      <c r="H314" s="32">
        <v>2928660</v>
      </c>
      <c r="I314" s="32">
        <v>3482220</v>
      </c>
      <c r="J314" s="32">
        <v>288000</v>
      </c>
      <c r="K314" s="32">
        <v>1242600</v>
      </c>
      <c r="L314" s="32">
        <v>1971720</v>
      </c>
      <c r="M314" s="32">
        <v>3676740</v>
      </c>
      <c r="N314" s="32"/>
      <c r="O314" s="32"/>
    </row>
    <row r="315" spans="1:15" x14ac:dyDescent="0.25">
      <c r="A315" s="159" t="s">
        <v>459</v>
      </c>
      <c r="B315" s="159" t="s">
        <v>185</v>
      </c>
      <c r="C315" s="159" t="s">
        <v>351</v>
      </c>
      <c r="D315" s="32"/>
      <c r="E315" s="32">
        <v>264528</v>
      </c>
      <c r="F315" s="32"/>
      <c r="G315" s="32">
        <v>409536</v>
      </c>
      <c r="H315" s="32">
        <v>161000</v>
      </c>
      <c r="I315" s="32">
        <v>804240</v>
      </c>
      <c r="J315" s="32">
        <v>443200</v>
      </c>
      <c r="K315" s="32"/>
      <c r="L315" s="32">
        <v>668200</v>
      </c>
      <c r="M315" s="32">
        <v>421200</v>
      </c>
      <c r="N315" s="32">
        <v>133000</v>
      </c>
      <c r="O315" s="32"/>
    </row>
    <row r="316" spans="1:15" x14ac:dyDescent="0.25">
      <c r="A316" s="159" t="s">
        <v>459</v>
      </c>
      <c r="B316" s="159" t="s">
        <v>836</v>
      </c>
      <c r="C316" s="159" t="s">
        <v>351</v>
      </c>
      <c r="D316" s="32"/>
      <c r="E316" s="32"/>
      <c r="F316" s="32"/>
      <c r="G316" s="32"/>
      <c r="H316" s="32">
        <v>161000</v>
      </c>
      <c r="I316" s="32"/>
      <c r="J316" s="32">
        <v>443200</v>
      </c>
      <c r="K316" s="32"/>
      <c r="L316" s="32">
        <v>668200</v>
      </c>
      <c r="M316" s="32">
        <v>421200</v>
      </c>
      <c r="N316" s="32">
        <v>133000</v>
      </c>
      <c r="O316" s="32"/>
    </row>
    <row r="317" spans="1:15" x14ac:dyDescent="0.25">
      <c r="A317" s="159" t="s">
        <v>459</v>
      </c>
      <c r="B317" s="159" t="s">
        <v>837</v>
      </c>
      <c r="C317" s="159" t="s">
        <v>351</v>
      </c>
      <c r="D317" s="32"/>
      <c r="E317" s="32"/>
      <c r="F317" s="32"/>
      <c r="G317" s="32"/>
      <c r="H317" s="32">
        <v>161000</v>
      </c>
      <c r="I317" s="32"/>
      <c r="J317" s="32">
        <v>443200</v>
      </c>
      <c r="K317" s="32"/>
      <c r="L317" s="32">
        <v>668200</v>
      </c>
      <c r="M317" s="32">
        <v>421200</v>
      </c>
      <c r="N317" s="32">
        <v>133000</v>
      </c>
      <c r="O317" s="32"/>
    </row>
    <row r="318" spans="1:15" x14ac:dyDescent="0.25">
      <c r="A318" s="159" t="s">
        <v>459</v>
      </c>
      <c r="B318" s="159" t="s">
        <v>475</v>
      </c>
      <c r="C318" s="159" t="s">
        <v>351</v>
      </c>
      <c r="D318" s="32"/>
      <c r="E318" s="32">
        <v>264528</v>
      </c>
      <c r="F318" s="32"/>
      <c r="G318" s="32">
        <v>409536</v>
      </c>
      <c r="H318" s="32"/>
      <c r="I318" s="32">
        <v>804240</v>
      </c>
      <c r="J318" s="32"/>
      <c r="K318" s="32"/>
      <c r="L318" s="32"/>
      <c r="M318" s="32"/>
      <c r="N318" s="32"/>
      <c r="O318" s="32"/>
    </row>
    <row r="319" spans="1:15" x14ac:dyDescent="0.25">
      <c r="A319" s="159" t="s">
        <v>459</v>
      </c>
      <c r="B319" s="159" t="s">
        <v>476</v>
      </c>
      <c r="C319" s="159" t="s">
        <v>351</v>
      </c>
      <c r="D319" s="32"/>
      <c r="E319" s="32">
        <v>264528</v>
      </c>
      <c r="F319" s="32"/>
      <c r="G319" s="32">
        <v>139968</v>
      </c>
      <c r="H319" s="32"/>
      <c r="I319" s="32">
        <v>442416</v>
      </c>
      <c r="J319" s="32"/>
      <c r="K319" s="32"/>
      <c r="L319" s="32"/>
      <c r="M319" s="32"/>
      <c r="N319" s="32"/>
      <c r="O319" s="32"/>
    </row>
    <row r="320" spans="1:15" x14ac:dyDescent="0.25">
      <c r="A320" s="159" t="s">
        <v>459</v>
      </c>
      <c r="B320" s="159" t="s">
        <v>477</v>
      </c>
      <c r="C320" s="159" t="s">
        <v>351</v>
      </c>
      <c r="D320" s="32"/>
      <c r="E320" s="32"/>
      <c r="F320" s="32"/>
      <c r="G320" s="32">
        <v>269568</v>
      </c>
      <c r="H320" s="32"/>
      <c r="I320" s="32">
        <v>361824</v>
      </c>
      <c r="J320" s="32"/>
      <c r="K320" s="32"/>
      <c r="L320" s="32"/>
      <c r="M320" s="32"/>
      <c r="N320" s="32"/>
      <c r="O320" s="32"/>
    </row>
    <row r="321" spans="1:15" x14ac:dyDescent="0.25">
      <c r="A321" s="159" t="s">
        <v>459</v>
      </c>
      <c r="B321" s="159" t="s">
        <v>478</v>
      </c>
      <c r="C321" s="159" t="s">
        <v>351</v>
      </c>
      <c r="D321" s="32">
        <v>1175040</v>
      </c>
      <c r="E321" s="32">
        <v>1618740</v>
      </c>
      <c r="F321" s="32">
        <v>1618740</v>
      </c>
      <c r="G321" s="32">
        <v>954720</v>
      </c>
      <c r="H321" s="32">
        <v>1085280</v>
      </c>
      <c r="I321" s="32">
        <v>532440</v>
      </c>
      <c r="J321" s="32">
        <v>438600</v>
      </c>
      <c r="K321" s="32">
        <v>1082220</v>
      </c>
      <c r="L321" s="32">
        <v>966960</v>
      </c>
      <c r="M321" s="32">
        <v>1598340</v>
      </c>
      <c r="N321" s="32">
        <v>440640</v>
      </c>
      <c r="O321" s="32"/>
    </row>
    <row r="322" spans="1:15" x14ac:dyDescent="0.25">
      <c r="A322" s="159" t="s">
        <v>459</v>
      </c>
      <c r="B322" s="159" t="s">
        <v>479</v>
      </c>
      <c r="C322" s="159" t="s">
        <v>351</v>
      </c>
      <c r="D322" s="32"/>
      <c r="E322" s="32">
        <v>1516740</v>
      </c>
      <c r="F322" s="32">
        <v>914940</v>
      </c>
      <c r="G322" s="32">
        <v>660960</v>
      </c>
      <c r="H322" s="32">
        <v>974100</v>
      </c>
      <c r="I322" s="32">
        <v>140760</v>
      </c>
      <c r="J322" s="32">
        <v>367200</v>
      </c>
      <c r="K322" s="32">
        <v>694620</v>
      </c>
      <c r="L322" s="32">
        <v>446760</v>
      </c>
      <c r="M322" s="32">
        <v>1598340</v>
      </c>
      <c r="N322" s="32">
        <v>71400</v>
      </c>
      <c r="O322" s="32"/>
    </row>
    <row r="323" spans="1:15" x14ac:dyDescent="0.25">
      <c r="A323" s="159" t="s">
        <v>459</v>
      </c>
      <c r="B323" s="159" t="s">
        <v>480</v>
      </c>
      <c r="C323" s="159" t="s">
        <v>351</v>
      </c>
      <c r="D323" s="32">
        <v>1175040</v>
      </c>
      <c r="E323" s="32">
        <v>102000</v>
      </c>
      <c r="F323" s="32">
        <v>703800</v>
      </c>
      <c r="G323" s="32">
        <v>293760</v>
      </c>
      <c r="H323" s="32">
        <v>111180</v>
      </c>
      <c r="I323" s="32">
        <v>391680</v>
      </c>
      <c r="J323" s="32">
        <v>71400</v>
      </c>
      <c r="K323" s="32">
        <v>387600</v>
      </c>
      <c r="L323" s="32">
        <v>520200</v>
      </c>
      <c r="M323" s="32"/>
      <c r="N323" s="32">
        <v>369240</v>
      </c>
      <c r="O323" s="32"/>
    </row>
    <row r="324" spans="1:15" x14ac:dyDescent="0.25">
      <c r="A324" s="159" t="s">
        <v>459</v>
      </c>
      <c r="B324" s="159" t="s">
        <v>481</v>
      </c>
      <c r="C324" s="159" t="s">
        <v>351</v>
      </c>
      <c r="D324" s="32">
        <v>737850</v>
      </c>
      <c r="E324" s="32">
        <v>750300</v>
      </c>
      <c r="F324" s="32">
        <v>383640</v>
      </c>
      <c r="G324" s="32">
        <v>167700</v>
      </c>
      <c r="H324" s="32">
        <v>511080</v>
      </c>
      <c r="I324" s="32">
        <v>140100</v>
      </c>
      <c r="J324" s="32">
        <v>378240</v>
      </c>
      <c r="K324" s="32"/>
      <c r="L324" s="32"/>
      <c r="M324" s="32"/>
      <c r="N324" s="32"/>
      <c r="O324" s="32"/>
    </row>
    <row r="325" spans="1:15" x14ac:dyDescent="0.25">
      <c r="A325" s="159" t="s">
        <v>459</v>
      </c>
      <c r="B325" s="159" t="s">
        <v>482</v>
      </c>
      <c r="C325" s="159" t="s">
        <v>351</v>
      </c>
      <c r="D325" s="32">
        <v>580050</v>
      </c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spans="1:15" x14ac:dyDescent="0.25">
      <c r="A326" s="159" t="s">
        <v>459</v>
      </c>
      <c r="B326" s="159" t="s">
        <v>483</v>
      </c>
      <c r="C326" s="159" t="s">
        <v>351</v>
      </c>
      <c r="D326" s="32">
        <v>580050</v>
      </c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</row>
    <row r="327" spans="1:15" x14ac:dyDescent="0.25">
      <c r="A327" s="159" t="s">
        <v>459</v>
      </c>
      <c r="B327" s="159" t="s">
        <v>484</v>
      </c>
      <c r="C327" s="159" t="s">
        <v>351</v>
      </c>
      <c r="D327" s="32">
        <v>157800</v>
      </c>
      <c r="E327" s="32">
        <v>750300</v>
      </c>
      <c r="F327" s="32">
        <v>383640</v>
      </c>
      <c r="G327" s="32">
        <v>167700</v>
      </c>
      <c r="H327" s="32">
        <v>511080</v>
      </c>
      <c r="I327" s="32">
        <v>140100</v>
      </c>
      <c r="J327" s="32">
        <v>378240</v>
      </c>
      <c r="K327" s="32"/>
      <c r="L327" s="32"/>
      <c r="M327" s="32"/>
      <c r="N327" s="32"/>
      <c r="O327" s="32"/>
    </row>
    <row r="328" spans="1:15" x14ac:dyDescent="0.25">
      <c r="A328" s="159" t="s">
        <v>459</v>
      </c>
      <c r="B328" s="159" t="s">
        <v>838</v>
      </c>
      <c r="C328" s="159" t="s">
        <v>351</v>
      </c>
      <c r="D328" s="32"/>
      <c r="E328" s="32"/>
      <c r="F328" s="32"/>
      <c r="G328" s="32"/>
      <c r="H328" s="32">
        <v>229200</v>
      </c>
      <c r="I328" s="32"/>
      <c r="J328" s="32"/>
      <c r="K328" s="32"/>
      <c r="L328" s="32"/>
      <c r="M328" s="32"/>
      <c r="N328" s="32"/>
      <c r="O328" s="32"/>
    </row>
    <row r="329" spans="1:15" x14ac:dyDescent="0.25">
      <c r="A329" s="159" t="s">
        <v>459</v>
      </c>
      <c r="B329" s="159" t="s">
        <v>952</v>
      </c>
      <c r="C329" s="159" t="s">
        <v>351</v>
      </c>
      <c r="D329" s="32"/>
      <c r="E329" s="32"/>
      <c r="F329" s="32"/>
      <c r="G329" s="32"/>
      <c r="H329" s="32"/>
      <c r="I329" s="32"/>
      <c r="J329" s="32">
        <v>189120</v>
      </c>
      <c r="K329" s="32"/>
      <c r="L329" s="32"/>
      <c r="M329" s="32"/>
      <c r="N329" s="32"/>
      <c r="O329" s="32"/>
    </row>
    <row r="330" spans="1:15" x14ac:dyDescent="0.25">
      <c r="A330" s="159" t="s">
        <v>459</v>
      </c>
      <c r="B330" s="159" t="s">
        <v>485</v>
      </c>
      <c r="C330" s="159" t="s">
        <v>351</v>
      </c>
      <c r="D330" s="32">
        <v>157800</v>
      </c>
      <c r="E330" s="32"/>
      <c r="F330" s="32"/>
      <c r="G330" s="32"/>
      <c r="H330" s="32"/>
      <c r="I330" s="32"/>
      <c r="J330" s="32">
        <v>189120</v>
      </c>
      <c r="K330" s="32"/>
      <c r="L330" s="32"/>
      <c r="M330" s="32"/>
      <c r="N330" s="32"/>
      <c r="O330" s="32"/>
    </row>
    <row r="331" spans="1:15" x14ac:dyDescent="0.25">
      <c r="A331" s="159" t="s">
        <v>459</v>
      </c>
      <c r="B331" s="159" t="s">
        <v>486</v>
      </c>
      <c r="C331" s="159" t="s">
        <v>351</v>
      </c>
      <c r="D331" s="32"/>
      <c r="E331" s="32">
        <v>380520</v>
      </c>
      <c r="F331" s="32">
        <v>189780</v>
      </c>
      <c r="G331" s="32">
        <v>167700</v>
      </c>
      <c r="H331" s="32"/>
      <c r="I331" s="32"/>
      <c r="J331" s="32"/>
      <c r="K331" s="32"/>
      <c r="L331" s="32"/>
      <c r="M331" s="32"/>
      <c r="N331" s="32"/>
      <c r="O331" s="32"/>
    </row>
    <row r="332" spans="1:15" x14ac:dyDescent="0.25">
      <c r="A332" s="159" t="s">
        <v>459</v>
      </c>
      <c r="B332" s="159" t="s">
        <v>936</v>
      </c>
      <c r="C332" s="159" t="s">
        <v>351</v>
      </c>
      <c r="D332" s="32"/>
      <c r="E332" s="32"/>
      <c r="F332" s="32"/>
      <c r="G332" s="32"/>
      <c r="H332" s="32"/>
      <c r="I332" s="32">
        <v>140100</v>
      </c>
      <c r="J332" s="32"/>
      <c r="K332" s="32"/>
      <c r="L332" s="32"/>
      <c r="M332" s="32"/>
      <c r="N332" s="32"/>
      <c r="O332" s="32"/>
    </row>
    <row r="333" spans="1:15" x14ac:dyDescent="0.25">
      <c r="A333" s="159" t="s">
        <v>459</v>
      </c>
      <c r="B333" s="159" t="s">
        <v>487</v>
      </c>
      <c r="C333" s="159" t="s">
        <v>351</v>
      </c>
      <c r="D333" s="32"/>
      <c r="E333" s="32">
        <v>369780</v>
      </c>
      <c r="F333" s="32">
        <v>193860</v>
      </c>
      <c r="G333" s="32"/>
      <c r="H333" s="32">
        <v>281880</v>
      </c>
      <c r="I333" s="32"/>
      <c r="J333" s="32"/>
      <c r="K333" s="32"/>
      <c r="L333" s="32"/>
      <c r="M333" s="32"/>
      <c r="N333" s="32"/>
      <c r="O333" s="32"/>
    </row>
    <row r="334" spans="1:15" x14ac:dyDescent="0.25">
      <c r="A334" s="159" t="s">
        <v>459</v>
      </c>
      <c r="B334" s="159" t="s">
        <v>488</v>
      </c>
      <c r="C334" s="159" t="s">
        <v>351</v>
      </c>
      <c r="D334" s="32">
        <v>494000</v>
      </c>
      <c r="E334" s="32">
        <v>301400</v>
      </c>
      <c r="F334" s="32">
        <v>744200</v>
      </c>
      <c r="G334" s="32">
        <v>481600</v>
      </c>
      <c r="H334" s="32">
        <v>720400</v>
      </c>
      <c r="I334" s="32">
        <v>374400</v>
      </c>
      <c r="J334" s="32">
        <v>440600</v>
      </c>
      <c r="K334" s="32"/>
      <c r="L334" s="32">
        <v>512800</v>
      </c>
      <c r="M334" s="32">
        <v>759400</v>
      </c>
      <c r="N334" s="32">
        <v>277200</v>
      </c>
      <c r="O334" s="32"/>
    </row>
    <row r="335" spans="1:15" x14ac:dyDescent="0.25">
      <c r="A335" s="159" t="s">
        <v>459</v>
      </c>
      <c r="B335" s="159" t="s">
        <v>581</v>
      </c>
      <c r="C335" s="159" t="s">
        <v>351</v>
      </c>
      <c r="D335" s="32"/>
      <c r="E335" s="32"/>
      <c r="F335" s="32">
        <v>272400</v>
      </c>
      <c r="G335" s="32">
        <v>27200</v>
      </c>
      <c r="H335" s="32">
        <v>166000</v>
      </c>
      <c r="I335" s="32"/>
      <c r="J335" s="32"/>
      <c r="K335" s="32"/>
      <c r="L335" s="32"/>
      <c r="M335" s="32"/>
      <c r="N335" s="32"/>
      <c r="O335" s="32"/>
    </row>
    <row r="336" spans="1:15" x14ac:dyDescent="0.25">
      <c r="A336" s="159" t="s">
        <v>459</v>
      </c>
      <c r="B336" s="159" t="s">
        <v>582</v>
      </c>
      <c r="C336" s="159" t="s">
        <v>351</v>
      </c>
      <c r="D336" s="32"/>
      <c r="E336" s="32"/>
      <c r="F336" s="32">
        <v>88000</v>
      </c>
      <c r="G336" s="32">
        <v>99200</v>
      </c>
      <c r="H336" s="32">
        <v>25200</v>
      </c>
      <c r="I336" s="32">
        <v>132800</v>
      </c>
      <c r="J336" s="32"/>
      <c r="K336" s="32"/>
      <c r="L336" s="32"/>
      <c r="M336" s="32">
        <v>380800</v>
      </c>
      <c r="N336" s="32">
        <v>33600</v>
      </c>
      <c r="O336" s="32"/>
    </row>
    <row r="337" spans="1:15" x14ac:dyDescent="0.25">
      <c r="A337" s="159" t="s">
        <v>459</v>
      </c>
      <c r="B337" s="159" t="s">
        <v>583</v>
      </c>
      <c r="C337" s="159" t="s">
        <v>351</v>
      </c>
      <c r="D337" s="32"/>
      <c r="E337" s="32"/>
      <c r="F337" s="32">
        <v>131600</v>
      </c>
      <c r="G337" s="32"/>
      <c r="H337" s="32">
        <v>226000</v>
      </c>
      <c r="I337" s="32">
        <v>72800</v>
      </c>
      <c r="J337" s="32"/>
      <c r="K337" s="32"/>
      <c r="L337" s="32">
        <v>54400</v>
      </c>
      <c r="M337" s="32">
        <v>288800</v>
      </c>
      <c r="N337" s="32">
        <v>143200</v>
      </c>
      <c r="O337" s="32"/>
    </row>
    <row r="338" spans="1:15" x14ac:dyDescent="0.25">
      <c r="A338" s="159" t="s">
        <v>459</v>
      </c>
      <c r="B338" s="159" t="s">
        <v>1088</v>
      </c>
      <c r="C338" s="159" t="s">
        <v>351</v>
      </c>
      <c r="D338" s="32"/>
      <c r="E338" s="32"/>
      <c r="F338" s="32"/>
      <c r="G338" s="32"/>
      <c r="H338" s="32"/>
      <c r="I338" s="32"/>
      <c r="J338" s="32"/>
      <c r="K338" s="32"/>
      <c r="L338" s="32">
        <v>116000</v>
      </c>
      <c r="M338" s="32"/>
      <c r="N338" s="32"/>
      <c r="O338" s="32"/>
    </row>
    <row r="339" spans="1:15" x14ac:dyDescent="0.25">
      <c r="A339" s="159" t="s">
        <v>459</v>
      </c>
      <c r="B339" s="159" t="s">
        <v>1089</v>
      </c>
      <c r="C339" s="159" t="s">
        <v>351</v>
      </c>
      <c r="D339" s="32"/>
      <c r="E339" s="32"/>
      <c r="F339" s="32"/>
      <c r="G339" s="32"/>
      <c r="H339" s="32"/>
      <c r="I339" s="32"/>
      <c r="J339" s="32"/>
      <c r="K339" s="32"/>
      <c r="L339" s="32">
        <v>144400</v>
      </c>
      <c r="M339" s="32"/>
      <c r="N339" s="32"/>
      <c r="O339" s="32"/>
    </row>
    <row r="340" spans="1:15" x14ac:dyDescent="0.25">
      <c r="A340" s="159" t="s">
        <v>459</v>
      </c>
      <c r="B340" s="159" t="s">
        <v>489</v>
      </c>
      <c r="C340" s="159" t="s">
        <v>351</v>
      </c>
      <c r="D340" s="32">
        <v>6000</v>
      </c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</row>
    <row r="341" spans="1:15" x14ac:dyDescent="0.25">
      <c r="A341" s="159" t="s">
        <v>459</v>
      </c>
      <c r="B341" s="159" t="s">
        <v>490</v>
      </c>
      <c r="C341" s="159" t="s">
        <v>351</v>
      </c>
      <c r="D341" s="32">
        <v>118800</v>
      </c>
      <c r="E341" s="32"/>
      <c r="F341" s="32"/>
      <c r="G341" s="32"/>
      <c r="H341" s="32"/>
      <c r="I341" s="32"/>
      <c r="J341" s="32"/>
      <c r="K341" s="32"/>
      <c r="L341" s="32"/>
      <c r="M341" s="32"/>
      <c r="N341" s="32">
        <v>100400</v>
      </c>
      <c r="O341" s="32"/>
    </row>
    <row r="342" spans="1:15" x14ac:dyDescent="0.25">
      <c r="A342" s="159" t="s">
        <v>459</v>
      </c>
      <c r="B342" s="159" t="s">
        <v>584</v>
      </c>
      <c r="C342" s="159" t="s">
        <v>351</v>
      </c>
      <c r="D342" s="32">
        <v>256000</v>
      </c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</row>
    <row r="343" spans="1:15" x14ac:dyDescent="0.25">
      <c r="A343" s="159" t="s">
        <v>459</v>
      </c>
      <c r="B343" s="159" t="s">
        <v>491</v>
      </c>
      <c r="C343" s="159" t="s">
        <v>351</v>
      </c>
      <c r="D343" s="32">
        <v>113200</v>
      </c>
      <c r="E343" s="32">
        <v>301400</v>
      </c>
      <c r="F343" s="32">
        <v>252200</v>
      </c>
      <c r="G343" s="32">
        <v>355200</v>
      </c>
      <c r="H343" s="32">
        <v>303200</v>
      </c>
      <c r="I343" s="32">
        <v>168800</v>
      </c>
      <c r="J343" s="32">
        <v>440600</v>
      </c>
      <c r="K343" s="32"/>
      <c r="L343" s="32">
        <v>198000</v>
      </c>
      <c r="M343" s="32">
        <v>89800</v>
      </c>
      <c r="N343" s="32"/>
      <c r="O343" s="32"/>
    </row>
    <row r="344" spans="1:15" x14ac:dyDescent="0.25">
      <c r="A344" s="159" t="s">
        <v>459</v>
      </c>
      <c r="B344" s="159" t="s">
        <v>221</v>
      </c>
      <c r="C344" s="159" t="s">
        <v>351</v>
      </c>
      <c r="D344" s="32">
        <v>4280800</v>
      </c>
      <c r="E344" s="32">
        <v>4160700</v>
      </c>
      <c r="F344" s="32">
        <v>2970400</v>
      </c>
      <c r="G344" s="32">
        <v>4006100</v>
      </c>
      <c r="H344" s="32">
        <v>3800100</v>
      </c>
      <c r="I344" s="32">
        <v>2669500</v>
      </c>
      <c r="J344" s="32">
        <v>3921300</v>
      </c>
      <c r="K344" s="32">
        <v>3069600</v>
      </c>
      <c r="L344" s="32">
        <v>4289900</v>
      </c>
      <c r="M344" s="32">
        <v>2633700</v>
      </c>
      <c r="N344" s="32">
        <v>490500</v>
      </c>
      <c r="O344" s="32"/>
    </row>
    <row r="345" spans="1:15" x14ac:dyDescent="0.25">
      <c r="A345" s="159" t="s">
        <v>459</v>
      </c>
      <c r="B345" s="159" t="s">
        <v>492</v>
      </c>
      <c r="C345" s="159" t="s">
        <v>351</v>
      </c>
      <c r="D345" s="32">
        <v>470800</v>
      </c>
      <c r="E345" s="32"/>
      <c r="F345" s="32">
        <v>355600</v>
      </c>
      <c r="G345" s="32">
        <v>658400</v>
      </c>
      <c r="H345" s="32"/>
      <c r="I345" s="32">
        <v>169200</v>
      </c>
      <c r="J345" s="32">
        <v>142000</v>
      </c>
      <c r="K345" s="32"/>
      <c r="L345" s="32">
        <v>1021600</v>
      </c>
      <c r="M345" s="32">
        <v>568000</v>
      </c>
      <c r="N345" s="32"/>
      <c r="O345" s="32"/>
    </row>
    <row r="346" spans="1:15" x14ac:dyDescent="0.25">
      <c r="A346" s="159" t="s">
        <v>459</v>
      </c>
      <c r="B346" s="159" t="s">
        <v>493</v>
      </c>
      <c r="C346" s="159" t="s">
        <v>351</v>
      </c>
      <c r="D346" s="32">
        <v>254000</v>
      </c>
      <c r="E346" s="32">
        <v>421200</v>
      </c>
      <c r="F346" s="32">
        <v>456800</v>
      </c>
      <c r="G346" s="32"/>
      <c r="H346" s="32"/>
      <c r="I346" s="32">
        <v>214000</v>
      </c>
      <c r="J346" s="32">
        <v>113200</v>
      </c>
      <c r="K346" s="32">
        <v>232800</v>
      </c>
      <c r="L346" s="32">
        <v>682400</v>
      </c>
      <c r="M346" s="32"/>
      <c r="N346" s="32"/>
      <c r="O346" s="32"/>
    </row>
    <row r="347" spans="1:15" x14ac:dyDescent="0.25">
      <c r="A347" s="159" t="s">
        <v>459</v>
      </c>
      <c r="B347" s="159" t="s">
        <v>494</v>
      </c>
      <c r="C347" s="159" t="s">
        <v>351</v>
      </c>
      <c r="D347" s="32"/>
      <c r="E347" s="32">
        <v>654000</v>
      </c>
      <c r="F347" s="32"/>
      <c r="G347" s="32"/>
      <c r="H347" s="32">
        <v>270800</v>
      </c>
      <c r="I347" s="32">
        <v>433200</v>
      </c>
      <c r="J347" s="32">
        <v>113200</v>
      </c>
      <c r="K347" s="32"/>
      <c r="L347" s="32">
        <v>181200</v>
      </c>
      <c r="M347" s="32">
        <v>123600</v>
      </c>
      <c r="N347" s="32">
        <v>134000</v>
      </c>
      <c r="O347" s="32"/>
    </row>
    <row r="348" spans="1:15" x14ac:dyDescent="0.25">
      <c r="A348" s="159" t="s">
        <v>459</v>
      </c>
      <c r="B348" s="159" t="s">
        <v>495</v>
      </c>
      <c r="C348" s="159" t="s">
        <v>351</v>
      </c>
      <c r="D348" s="32">
        <v>292800</v>
      </c>
      <c r="E348" s="32">
        <v>715200</v>
      </c>
      <c r="F348" s="32">
        <v>657200</v>
      </c>
      <c r="G348" s="32">
        <v>94400</v>
      </c>
      <c r="H348" s="32">
        <v>632400</v>
      </c>
      <c r="I348" s="32"/>
      <c r="J348" s="32">
        <v>553600</v>
      </c>
      <c r="K348" s="32">
        <v>476800</v>
      </c>
      <c r="L348" s="32">
        <v>468800</v>
      </c>
      <c r="M348" s="32"/>
      <c r="N348" s="32">
        <v>245200</v>
      </c>
      <c r="O348" s="32"/>
    </row>
    <row r="349" spans="1:15" x14ac:dyDescent="0.25">
      <c r="A349" s="159" t="s">
        <v>459</v>
      </c>
      <c r="B349" s="159" t="s">
        <v>496</v>
      </c>
      <c r="C349" s="159" t="s">
        <v>351</v>
      </c>
      <c r="D349" s="32">
        <v>317600</v>
      </c>
      <c r="E349" s="32">
        <v>552400</v>
      </c>
      <c r="F349" s="32">
        <v>184800</v>
      </c>
      <c r="G349" s="32">
        <v>735200</v>
      </c>
      <c r="H349" s="32">
        <v>372800</v>
      </c>
      <c r="I349" s="32">
        <v>229200</v>
      </c>
      <c r="J349" s="32">
        <v>458400</v>
      </c>
      <c r="K349" s="32">
        <v>606800</v>
      </c>
      <c r="L349" s="32"/>
      <c r="M349" s="32">
        <v>468800</v>
      </c>
      <c r="N349" s="32"/>
      <c r="O349" s="32"/>
    </row>
    <row r="350" spans="1:15" x14ac:dyDescent="0.25">
      <c r="A350" s="159" t="s">
        <v>459</v>
      </c>
      <c r="B350" s="159" t="s">
        <v>497</v>
      </c>
      <c r="C350" s="159" t="s">
        <v>351</v>
      </c>
      <c r="D350" s="32">
        <v>336800</v>
      </c>
      <c r="E350" s="32">
        <v>254000</v>
      </c>
      <c r="F350" s="32">
        <v>488000</v>
      </c>
      <c r="G350" s="32">
        <v>672800</v>
      </c>
      <c r="H350" s="32">
        <v>258800</v>
      </c>
      <c r="I350" s="32"/>
      <c r="J350" s="32">
        <v>345200</v>
      </c>
      <c r="K350" s="32">
        <v>1063200</v>
      </c>
      <c r="L350" s="32"/>
      <c r="M350" s="32">
        <v>309600</v>
      </c>
      <c r="N350" s="32"/>
      <c r="O350" s="32"/>
    </row>
    <row r="351" spans="1:15" x14ac:dyDescent="0.25">
      <c r="A351" s="159" t="s">
        <v>459</v>
      </c>
      <c r="B351" s="159" t="s">
        <v>498</v>
      </c>
      <c r="C351" s="159" t="s">
        <v>351</v>
      </c>
      <c r="D351" s="32">
        <v>252000</v>
      </c>
      <c r="E351" s="32">
        <v>286500</v>
      </c>
      <c r="F351" s="32">
        <v>150300</v>
      </c>
      <c r="G351" s="32">
        <v>201300</v>
      </c>
      <c r="H351" s="32">
        <v>89400</v>
      </c>
      <c r="I351" s="32"/>
      <c r="J351" s="32"/>
      <c r="K351" s="32">
        <v>13800</v>
      </c>
      <c r="L351" s="32"/>
      <c r="M351" s="32">
        <v>14400</v>
      </c>
      <c r="N351" s="32">
        <v>111300</v>
      </c>
      <c r="O351" s="32"/>
    </row>
    <row r="352" spans="1:15" x14ac:dyDescent="0.25">
      <c r="A352" s="159" t="s">
        <v>459</v>
      </c>
      <c r="B352" s="159" t="s">
        <v>499</v>
      </c>
      <c r="C352" s="159" t="s">
        <v>351</v>
      </c>
      <c r="D352" s="32">
        <v>912300</v>
      </c>
      <c r="E352" s="32">
        <v>686100</v>
      </c>
      <c r="F352" s="32">
        <v>477900</v>
      </c>
      <c r="G352" s="32">
        <v>781800</v>
      </c>
      <c r="H352" s="32">
        <v>1862100</v>
      </c>
      <c r="I352" s="32">
        <v>471600</v>
      </c>
      <c r="J352" s="32">
        <v>1439700</v>
      </c>
      <c r="K352" s="32">
        <v>475200</v>
      </c>
      <c r="L352" s="32">
        <v>1474200</v>
      </c>
      <c r="M352" s="32">
        <v>345000</v>
      </c>
      <c r="N352" s="32"/>
      <c r="O352" s="32"/>
    </row>
    <row r="353" spans="1:15" x14ac:dyDescent="0.25">
      <c r="A353" s="159" t="s">
        <v>459</v>
      </c>
      <c r="B353" s="159" t="s">
        <v>500</v>
      </c>
      <c r="C353" s="159" t="s">
        <v>351</v>
      </c>
      <c r="D353" s="32">
        <v>801900</v>
      </c>
      <c r="E353" s="32"/>
      <c r="F353" s="32">
        <v>199800</v>
      </c>
      <c r="G353" s="32">
        <v>448500</v>
      </c>
      <c r="H353" s="32"/>
      <c r="I353" s="32">
        <v>156000</v>
      </c>
      <c r="J353" s="32">
        <v>590400</v>
      </c>
      <c r="K353" s="32"/>
      <c r="L353" s="32">
        <v>260100</v>
      </c>
      <c r="M353" s="32">
        <v>143100</v>
      </c>
      <c r="N353" s="32"/>
      <c r="O353" s="32"/>
    </row>
    <row r="354" spans="1:15" x14ac:dyDescent="0.25">
      <c r="A354" s="159" t="s">
        <v>459</v>
      </c>
      <c r="B354" s="159" t="s">
        <v>501</v>
      </c>
      <c r="C354" s="159" t="s">
        <v>351</v>
      </c>
      <c r="D354" s="32">
        <v>642600</v>
      </c>
      <c r="E354" s="32">
        <v>591300</v>
      </c>
      <c r="F354" s="32"/>
      <c r="G354" s="32">
        <v>413700</v>
      </c>
      <c r="H354" s="32">
        <v>313800</v>
      </c>
      <c r="I354" s="32">
        <v>996300</v>
      </c>
      <c r="J354" s="32">
        <v>165600</v>
      </c>
      <c r="K354" s="32">
        <v>201000</v>
      </c>
      <c r="L354" s="32">
        <v>201600</v>
      </c>
      <c r="M354" s="32">
        <v>661200</v>
      </c>
      <c r="N354" s="32"/>
      <c r="O354" s="32"/>
    </row>
    <row r="355" spans="1:15" x14ac:dyDescent="0.25">
      <c r="A355" s="159" t="s">
        <v>459</v>
      </c>
      <c r="B355" s="159" t="s">
        <v>502</v>
      </c>
      <c r="C355" s="159" t="s">
        <v>351</v>
      </c>
      <c r="D355" s="32"/>
      <c r="E355" s="32">
        <v>340536</v>
      </c>
      <c r="F355" s="32"/>
      <c r="G355" s="32">
        <v>343344</v>
      </c>
      <c r="H355" s="32">
        <v>255072</v>
      </c>
      <c r="I355" s="32"/>
      <c r="J355" s="32">
        <v>60336</v>
      </c>
      <c r="K355" s="32">
        <v>211632</v>
      </c>
      <c r="L355" s="32">
        <v>365496</v>
      </c>
      <c r="M355" s="32">
        <v>288792</v>
      </c>
      <c r="N355" s="32"/>
      <c r="O355" s="32"/>
    </row>
    <row r="356" spans="1:15" x14ac:dyDescent="0.25">
      <c r="A356" s="159" t="s">
        <v>459</v>
      </c>
      <c r="B356" s="159" t="s">
        <v>503</v>
      </c>
      <c r="C356" s="159" t="s">
        <v>351</v>
      </c>
      <c r="D356" s="32"/>
      <c r="E356" s="32">
        <v>340536</v>
      </c>
      <c r="F356" s="32"/>
      <c r="G356" s="32">
        <v>343344</v>
      </c>
      <c r="H356" s="32">
        <v>255072</v>
      </c>
      <c r="I356" s="32"/>
      <c r="J356" s="32">
        <v>60336</v>
      </c>
      <c r="K356" s="32">
        <v>211632</v>
      </c>
      <c r="L356" s="32">
        <v>365496</v>
      </c>
      <c r="M356" s="32">
        <v>288792</v>
      </c>
      <c r="N356" s="32"/>
      <c r="O356" s="32"/>
    </row>
    <row r="357" spans="1:15" x14ac:dyDescent="0.25">
      <c r="A357" s="159" t="s">
        <v>459</v>
      </c>
      <c r="B357" s="159" t="s">
        <v>504</v>
      </c>
      <c r="C357" s="159" t="s">
        <v>351</v>
      </c>
      <c r="D357" s="32">
        <v>162200</v>
      </c>
      <c r="E357" s="32">
        <v>356280</v>
      </c>
      <c r="F357" s="32">
        <v>197240</v>
      </c>
      <c r="G357" s="32">
        <v>37800</v>
      </c>
      <c r="H357" s="32">
        <v>716592</v>
      </c>
      <c r="I357" s="32">
        <v>362536</v>
      </c>
      <c r="J357" s="32">
        <v>47040</v>
      </c>
      <c r="K357" s="32">
        <v>903048</v>
      </c>
      <c r="L357" s="32">
        <v>605888</v>
      </c>
      <c r="M357" s="32">
        <v>772464</v>
      </c>
      <c r="N357" s="32">
        <v>288720</v>
      </c>
      <c r="O357" s="32"/>
    </row>
    <row r="358" spans="1:15" x14ac:dyDescent="0.25">
      <c r="A358" s="159" t="s">
        <v>459</v>
      </c>
      <c r="B358" s="159" t="s">
        <v>839</v>
      </c>
      <c r="C358" s="159" t="s">
        <v>351</v>
      </c>
      <c r="D358" s="32">
        <v>162200</v>
      </c>
      <c r="E358" s="32">
        <v>356280</v>
      </c>
      <c r="F358" s="32">
        <v>197240</v>
      </c>
      <c r="G358" s="32">
        <v>37800</v>
      </c>
      <c r="H358" s="32">
        <v>276720</v>
      </c>
      <c r="I358" s="32">
        <v>327400</v>
      </c>
      <c r="J358" s="32">
        <v>47040</v>
      </c>
      <c r="K358" s="32">
        <v>495000</v>
      </c>
      <c r="L358" s="32">
        <v>47600</v>
      </c>
      <c r="M358" s="32">
        <v>168000</v>
      </c>
      <c r="N358" s="32">
        <v>44640</v>
      </c>
      <c r="O358" s="32"/>
    </row>
    <row r="359" spans="1:15" x14ac:dyDescent="0.25">
      <c r="A359" s="159" t="s">
        <v>459</v>
      </c>
      <c r="B359" s="159" t="s">
        <v>585</v>
      </c>
      <c r="C359" s="159" t="s">
        <v>351</v>
      </c>
      <c r="D359" s="32"/>
      <c r="E359" s="32">
        <v>102800</v>
      </c>
      <c r="F359" s="32">
        <v>78200</v>
      </c>
      <c r="G359" s="32">
        <v>37800</v>
      </c>
      <c r="H359" s="32"/>
      <c r="I359" s="32">
        <v>327400</v>
      </c>
      <c r="J359" s="32">
        <v>14400</v>
      </c>
      <c r="K359" s="32">
        <v>360600</v>
      </c>
      <c r="L359" s="32">
        <v>47600</v>
      </c>
      <c r="M359" s="32">
        <v>168000</v>
      </c>
      <c r="N359" s="32"/>
      <c r="O359" s="32"/>
    </row>
    <row r="360" spans="1:15" x14ac:dyDescent="0.25">
      <c r="A360" s="159" t="s">
        <v>459</v>
      </c>
      <c r="B360" s="159" t="s">
        <v>506</v>
      </c>
      <c r="C360" s="159" t="s">
        <v>351</v>
      </c>
      <c r="D360" s="32">
        <v>98600</v>
      </c>
      <c r="E360" s="32">
        <v>116200</v>
      </c>
      <c r="F360" s="32"/>
      <c r="G360" s="32"/>
      <c r="H360" s="32"/>
      <c r="I360" s="32"/>
      <c r="J360" s="32"/>
      <c r="K360" s="32"/>
      <c r="L360" s="32"/>
      <c r="M360" s="32"/>
      <c r="N360" s="32"/>
      <c r="O360" s="32"/>
    </row>
    <row r="361" spans="1:15" x14ac:dyDescent="0.25">
      <c r="A361" s="159" t="s">
        <v>459</v>
      </c>
      <c r="B361" s="159" t="s">
        <v>505</v>
      </c>
      <c r="C361" s="159" t="s">
        <v>351</v>
      </c>
      <c r="D361" s="32">
        <v>63600</v>
      </c>
      <c r="E361" s="32">
        <v>137280</v>
      </c>
      <c r="F361" s="32">
        <v>119040</v>
      </c>
      <c r="G361" s="32"/>
      <c r="H361" s="32">
        <v>276720</v>
      </c>
      <c r="I361" s="32"/>
      <c r="J361" s="32">
        <v>32640</v>
      </c>
      <c r="K361" s="32">
        <v>134400</v>
      </c>
      <c r="L361" s="32"/>
      <c r="M361" s="32"/>
      <c r="N361" s="32">
        <v>44640</v>
      </c>
      <c r="O361" s="32"/>
    </row>
    <row r="362" spans="1:15" x14ac:dyDescent="0.25">
      <c r="A362" s="159" t="s">
        <v>459</v>
      </c>
      <c r="B362" s="159" t="s">
        <v>840</v>
      </c>
      <c r="C362" s="159" t="s">
        <v>351</v>
      </c>
      <c r="D362" s="32"/>
      <c r="E362" s="32"/>
      <c r="F362" s="32"/>
      <c r="G362" s="32"/>
      <c r="H362" s="32">
        <v>439872</v>
      </c>
      <c r="I362" s="32">
        <v>35136</v>
      </c>
      <c r="J362" s="32"/>
      <c r="K362" s="32">
        <v>408048</v>
      </c>
      <c r="L362" s="32">
        <v>558288</v>
      </c>
      <c r="M362" s="32">
        <v>604464</v>
      </c>
      <c r="N362" s="32">
        <v>244080</v>
      </c>
      <c r="O362" s="32"/>
    </row>
    <row r="363" spans="1:15" x14ac:dyDescent="0.25">
      <c r="A363" s="159" t="s">
        <v>459</v>
      </c>
      <c r="B363" s="159" t="s">
        <v>841</v>
      </c>
      <c r="C363" s="159" t="s">
        <v>351</v>
      </c>
      <c r="D363" s="32"/>
      <c r="E363" s="32"/>
      <c r="F363" s="32"/>
      <c r="G363" s="32"/>
      <c r="H363" s="32">
        <v>195360</v>
      </c>
      <c r="I363" s="32">
        <v>35136</v>
      </c>
      <c r="J363" s="32"/>
      <c r="K363" s="32">
        <v>193680</v>
      </c>
      <c r="L363" s="32">
        <v>315312</v>
      </c>
      <c r="M363" s="32">
        <v>277056</v>
      </c>
      <c r="N363" s="32">
        <v>98976</v>
      </c>
      <c r="O363" s="32"/>
    </row>
    <row r="364" spans="1:15" x14ac:dyDescent="0.25">
      <c r="A364" s="159" t="s">
        <v>459</v>
      </c>
      <c r="B364" s="159" t="s">
        <v>842</v>
      </c>
      <c r="C364" s="159" t="s">
        <v>351</v>
      </c>
      <c r="D364" s="32"/>
      <c r="E364" s="32"/>
      <c r="F364" s="32"/>
      <c r="G364" s="32"/>
      <c r="H364" s="32">
        <v>244512</v>
      </c>
      <c r="I364" s="32"/>
      <c r="J364" s="32"/>
      <c r="K364" s="32">
        <v>214368</v>
      </c>
      <c r="L364" s="32">
        <v>242976</v>
      </c>
      <c r="M364" s="32">
        <v>327408</v>
      </c>
      <c r="N364" s="32">
        <v>145104</v>
      </c>
      <c r="O364" s="32"/>
    </row>
    <row r="365" spans="1:15" x14ac:dyDescent="0.25">
      <c r="A365" s="159" t="s">
        <v>459</v>
      </c>
      <c r="B365" s="159" t="s">
        <v>507</v>
      </c>
      <c r="C365" s="159" t="s">
        <v>351</v>
      </c>
      <c r="D365" s="32">
        <v>11340</v>
      </c>
      <c r="E365" s="32">
        <v>818130</v>
      </c>
      <c r="F365" s="32">
        <v>532560</v>
      </c>
      <c r="G365" s="32">
        <v>1631010</v>
      </c>
      <c r="H365" s="32">
        <v>573690</v>
      </c>
      <c r="I365" s="32">
        <v>828060</v>
      </c>
      <c r="J365" s="32"/>
      <c r="K365" s="32"/>
      <c r="L365" s="32"/>
      <c r="M365" s="32"/>
      <c r="N365" s="32"/>
      <c r="O365" s="32"/>
    </row>
    <row r="366" spans="1:15" x14ac:dyDescent="0.25">
      <c r="A366" s="159" t="s">
        <v>459</v>
      </c>
      <c r="B366" s="159" t="s">
        <v>508</v>
      </c>
      <c r="C366" s="159" t="s">
        <v>351</v>
      </c>
      <c r="D366" s="32">
        <v>11340</v>
      </c>
      <c r="E366" s="32">
        <v>818130</v>
      </c>
      <c r="F366" s="32">
        <v>532560</v>
      </c>
      <c r="G366" s="32">
        <v>1631010</v>
      </c>
      <c r="H366" s="32">
        <v>573690</v>
      </c>
      <c r="I366" s="32">
        <v>828060</v>
      </c>
      <c r="J366" s="32"/>
      <c r="K366" s="32"/>
      <c r="L366" s="32"/>
      <c r="M366" s="32"/>
      <c r="N366" s="32"/>
      <c r="O366" s="32"/>
    </row>
    <row r="367" spans="1:15" x14ac:dyDescent="0.25">
      <c r="A367" s="159" t="s">
        <v>459</v>
      </c>
      <c r="B367" s="159" t="s">
        <v>937</v>
      </c>
      <c r="C367" s="159" t="s">
        <v>351</v>
      </c>
      <c r="D367" s="32"/>
      <c r="E367" s="32"/>
      <c r="F367" s="32"/>
      <c r="G367" s="32"/>
      <c r="H367" s="32"/>
      <c r="I367" s="32">
        <v>130368</v>
      </c>
      <c r="J367" s="32">
        <v>6817536</v>
      </c>
      <c r="K367" s="32">
        <v>6707328</v>
      </c>
      <c r="L367" s="32">
        <v>5175936</v>
      </c>
      <c r="M367" s="32">
        <v>12480</v>
      </c>
      <c r="N367" s="32"/>
      <c r="O367" s="32"/>
    </row>
    <row r="368" spans="1:15" x14ac:dyDescent="0.25">
      <c r="A368" s="159" t="s">
        <v>459</v>
      </c>
      <c r="B368" s="159" t="s">
        <v>940</v>
      </c>
      <c r="C368" s="159" t="s">
        <v>351</v>
      </c>
      <c r="D368" s="32"/>
      <c r="E368" s="32"/>
      <c r="F368" s="32"/>
      <c r="G368" s="32"/>
      <c r="H368" s="32"/>
      <c r="I368" s="32"/>
      <c r="J368" s="32">
        <v>5128704</v>
      </c>
      <c r="K368" s="32">
        <v>5898336</v>
      </c>
      <c r="L368" s="32">
        <v>2833248</v>
      </c>
      <c r="M368" s="32">
        <v>12480</v>
      </c>
      <c r="N368" s="32"/>
      <c r="O368" s="32"/>
    </row>
    <row r="369" spans="1:15" x14ac:dyDescent="0.25">
      <c r="A369" s="159" t="s">
        <v>459</v>
      </c>
      <c r="B369" s="159" t="s">
        <v>953</v>
      </c>
      <c r="C369" s="159" t="s">
        <v>351</v>
      </c>
      <c r="D369" s="32"/>
      <c r="E369" s="32"/>
      <c r="F369" s="32"/>
      <c r="G369" s="32"/>
      <c r="H369" s="32"/>
      <c r="I369" s="32"/>
      <c r="J369" s="32">
        <v>933600</v>
      </c>
      <c r="K369" s="32">
        <v>682464</v>
      </c>
      <c r="L369" s="32">
        <v>1582368</v>
      </c>
      <c r="M369" s="32"/>
      <c r="N369" s="32"/>
      <c r="O369" s="32"/>
    </row>
    <row r="370" spans="1:15" x14ac:dyDescent="0.25">
      <c r="A370" s="159" t="s">
        <v>459</v>
      </c>
      <c r="B370" s="159" t="s">
        <v>938</v>
      </c>
      <c r="C370" s="159" t="s">
        <v>351</v>
      </c>
      <c r="D370" s="32"/>
      <c r="E370" s="32"/>
      <c r="F370" s="32"/>
      <c r="G370" s="32"/>
      <c r="H370" s="32"/>
      <c r="I370" s="32">
        <v>130368</v>
      </c>
      <c r="J370" s="32">
        <v>755232</v>
      </c>
      <c r="K370" s="32">
        <v>126528</v>
      </c>
      <c r="L370" s="32">
        <v>760320</v>
      </c>
      <c r="M370" s="32"/>
      <c r="N370" s="32"/>
      <c r="O370" s="32"/>
    </row>
    <row r="371" spans="1:15" x14ac:dyDescent="0.25">
      <c r="A371" s="159" t="s">
        <v>459</v>
      </c>
      <c r="B371" s="159" t="s">
        <v>509</v>
      </c>
      <c r="C371" s="159" t="s">
        <v>351</v>
      </c>
      <c r="D371" s="32">
        <v>139800</v>
      </c>
      <c r="E371" s="32"/>
      <c r="F371" s="32"/>
      <c r="G371" s="32">
        <v>144000</v>
      </c>
      <c r="H371" s="32"/>
      <c r="I371" s="32">
        <v>100800</v>
      </c>
      <c r="J371" s="32">
        <v>34200</v>
      </c>
      <c r="K371" s="32"/>
      <c r="L371" s="32"/>
      <c r="M371" s="32">
        <v>143200</v>
      </c>
      <c r="N371" s="32"/>
      <c r="O371" s="32"/>
    </row>
    <row r="372" spans="1:15" x14ac:dyDescent="0.25">
      <c r="A372" s="159" t="s">
        <v>459</v>
      </c>
      <c r="B372" s="159" t="s">
        <v>510</v>
      </c>
      <c r="C372" s="159" t="s">
        <v>351</v>
      </c>
      <c r="D372" s="32">
        <v>139800</v>
      </c>
      <c r="E372" s="32"/>
      <c r="F372" s="32"/>
      <c r="G372" s="32">
        <v>144000</v>
      </c>
      <c r="H372" s="32"/>
      <c r="I372" s="32">
        <v>100800</v>
      </c>
      <c r="J372" s="32">
        <v>34200</v>
      </c>
      <c r="K372" s="32"/>
      <c r="L372" s="32"/>
      <c r="M372" s="32">
        <v>143200</v>
      </c>
      <c r="N372" s="32"/>
      <c r="O372" s="32"/>
    </row>
    <row r="373" spans="1:15" x14ac:dyDescent="0.25">
      <c r="A373" s="159" t="s">
        <v>459</v>
      </c>
      <c r="B373" s="159" t="s">
        <v>346</v>
      </c>
      <c r="C373" s="159" t="s">
        <v>351</v>
      </c>
      <c r="D373" s="32">
        <v>166</v>
      </c>
      <c r="E373" s="32"/>
      <c r="F373" s="32">
        <v>329</v>
      </c>
      <c r="G373" s="32"/>
      <c r="H373" s="32">
        <v>510</v>
      </c>
      <c r="I373" s="32"/>
      <c r="J373" s="32"/>
      <c r="K373" s="32"/>
      <c r="L373" s="32">
        <v>71</v>
      </c>
      <c r="M373" s="32">
        <v>164</v>
      </c>
      <c r="N373" s="32"/>
      <c r="O373" s="32"/>
    </row>
    <row r="374" spans="1:15" x14ac:dyDescent="0.25">
      <c r="A374" s="159" t="s">
        <v>459</v>
      </c>
      <c r="B374" s="159" t="s">
        <v>410</v>
      </c>
      <c r="C374" s="159" t="s">
        <v>351</v>
      </c>
      <c r="D374" s="32">
        <v>166</v>
      </c>
      <c r="E374" s="32"/>
      <c r="F374" s="32">
        <v>329</v>
      </c>
      <c r="G374" s="32"/>
      <c r="H374" s="32">
        <v>510</v>
      </c>
      <c r="I374" s="32"/>
      <c r="J374" s="32"/>
      <c r="K374" s="32"/>
      <c r="L374" s="32">
        <v>71</v>
      </c>
      <c r="M374" s="32">
        <v>164</v>
      </c>
      <c r="N374" s="32"/>
      <c r="O374" s="32"/>
    </row>
    <row r="375" spans="1:15" x14ac:dyDescent="0.25">
      <c r="A375" s="159" t="s">
        <v>459</v>
      </c>
      <c r="B375" s="159" t="s">
        <v>289</v>
      </c>
      <c r="C375" s="159" t="s">
        <v>351</v>
      </c>
      <c r="D375" s="32">
        <v>10781052</v>
      </c>
      <c r="E375" s="32">
        <v>10863216</v>
      </c>
      <c r="F375" s="32">
        <v>8947320</v>
      </c>
      <c r="G375" s="32">
        <v>8032332</v>
      </c>
      <c r="H375" s="32">
        <v>8105664</v>
      </c>
      <c r="I375" s="32">
        <v>9320796</v>
      </c>
      <c r="J375" s="32">
        <v>15638628</v>
      </c>
      <c r="K375" s="32">
        <v>11399244</v>
      </c>
      <c r="L375" s="32">
        <v>9303816</v>
      </c>
      <c r="M375" s="32">
        <v>11337420</v>
      </c>
      <c r="N375" s="32">
        <v>6509916</v>
      </c>
      <c r="O375" s="32"/>
    </row>
    <row r="376" spans="1:15" x14ac:dyDescent="0.25">
      <c r="A376" s="159" t="s">
        <v>459</v>
      </c>
      <c r="B376" s="159" t="s">
        <v>417</v>
      </c>
      <c r="C376" s="159" t="s">
        <v>351</v>
      </c>
      <c r="D376" s="32">
        <v>9767592</v>
      </c>
      <c r="E376" s="32">
        <v>8753652</v>
      </c>
      <c r="F376" s="32">
        <v>5824512</v>
      </c>
      <c r="G376" s="32">
        <v>3960768</v>
      </c>
      <c r="H376" s="32">
        <v>6079080</v>
      </c>
      <c r="I376" s="32">
        <v>5390136</v>
      </c>
      <c r="J376" s="32">
        <v>10965084</v>
      </c>
      <c r="K376" s="32">
        <v>7983180</v>
      </c>
      <c r="L376" s="32">
        <v>6132384</v>
      </c>
      <c r="M376" s="32">
        <v>7319052</v>
      </c>
      <c r="N376" s="32">
        <v>5747868</v>
      </c>
      <c r="O376" s="32"/>
    </row>
    <row r="377" spans="1:15" x14ac:dyDescent="0.25">
      <c r="A377" s="159" t="s">
        <v>459</v>
      </c>
      <c r="B377" s="159" t="s">
        <v>511</v>
      </c>
      <c r="C377" s="159" t="s">
        <v>351</v>
      </c>
      <c r="D377" s="32">
        <v>1972992</v>
      </c>
      <c r="E377" s="32">
        <v>2190216</v>
      </c>
      <c r="F377" s="32">
        <v>1433040</v>
      </c>
      <c r="G377" s="32"/>
      <c r="H377" s="32">
        <v>1240344</v>
      </c>
      <c r="I377" s="32"/>
      <c r="J377" s="32">
        <v>2879352</v>
      </c>
      <c r="K377" s="32">
        <v>2581152</v>
      </c>
      <c r="L377" s="32">
        <v>851424</v>
      </c>
      <c r="M377" s="32">
        <v>1019760</v>
      </c>
      <c r="N377" s="32">
        <v>1084104</v>
      </c>
      <c r="O377" s="32"/>
    </row>
    <row r="378" spans="1:15" x14ac:dyDescent="0.25">
      <c r="A378" s="159" t="s">
        <v>459</v>
      </c>
      <c r="B378" s="159" t="s">
        <v>512</v>
      </c>
      <c r="C378" s="159" t="s">
        <v>351</v>
      </c>
      <c r="D378" s="32">
        <v>3514392</v>
      </c>
      <c r="E378" s="32">
        <v>1123584</v>
      </c>
      <c r="F378" s="32">
        <v>555072</v>
      </c>
      <c r="G378" s="32">
        <v>1331232</v>
      </c>
      <c r="H378" s="32">
        <v>583296</v>
      </c>
      <c r="I378" s="32">
        <v>2035488</v>
      </c>
      <c r="J378" s="32">
        <v>1921920</v>
      </c>
      <c r="K378" s="32">
        <v>1902600</v>
      </c>
      <c r="L378" s="32">
        <v>1114344</v>
      </c>
      <c r="M378" s="32">
        <v>433104</v>
      </c>
      <c r="N378" s="32">
        <v>1640184</v>
      </c>
      <c r="O378" s="32"/>
    </row>
    <row r="379" spans="1:15" x14ac:dyDescent="0.25">
      <c r="A379" s="159" t="s">
        <v>459</v>
      </c>
      <c r="B379" s="159" t="s">
        <v>513</v>
      </c>
      <c r="C379" s="159" t="s">
        <v>351</v>
      </c>
      <c r="D379" s="32">
        <v>1607340</v>
      </c>
      <c r="E379" s="32">
        <v>1804656</v>
      </c>
      <c r="F379" s="32">
        <v>489048</v>
      </c>
      <c r="G379" s="32">
        <v>582372</v>
      </c>
      <c r="H379" s="32">
        <v>1101324</v>
      </c>
      <c r="I379" s="32">
        <v>919884</v>
      </c>
      <c r="J379" s="32">
        <v>1421028</v>
      </c>
      <c r="K379" s="32">
        <v>1736364</v>
      </c>
      <c r="L379" s="32">
        <v>1755516</v>
      </c>
      <c r="M379" s="32">
        <v>1581888</v>
      </c>
      <c r="N379" s="32">
        <v>1111068</v>
      </c>
      <c r="O379" s="32"/>
    </row>
    <row r="380" spans="1:15" x14ac:dyDescent="0.25">
      <c r="A380" s="159" t="s">
        <v>459</v>
      </c>
      <c r="B380" s="159" t="s">
        <v>514</v>
      </c>
      <c r="C380" s="159" t="s">
        <v>351</v>
      </c>
      <c r="D380" s="32">
        <v>2200044</v>
      </c>
      <c r="E380" s="32">
        <v>3115644</v>
      </c>
      <c r="F380" s="32">
        <v>2794008</v>
      </c>
      <c r="G380" s="32">
        <v>2047164</v>
      </c>
      <c r="H380" s="32">
        <v>2195004</v>
      </c>
      <c r="I380" s="32">
        <v>2009196</v>
      </c>
      <c r="J380" s="32">
        <v>4442088</v>
      </c>
      <c r="K380" s="32">
        <v>1353072</v>
      </c>
      <c r="L380" s="32">
        <v>1802052</v>
      </c>
      <c r="M380" s="32">
        <v>3154116</v>
      </c>
      <c r="N380" s="32">
        <v>1912512</v>
      </c>
      <c r="O380" s="32"/>
    </row>
    <row r="381" spans="1:15" x14ac:dyDescent="0.25">
      <c r="A381" s="159" t="s">
        <v>459</v>
      </c>
      <c r="B381" s="159" t="s">
        <v>515</v>
      </c>
      <c r="C381" s="159" t="s">
        <v>351</v>
      </c>
      <c r="D381" s="32">
        <v>266112</v>
      </c>
      <c r="E381" s="32">
        <v>184800</v>
      </c>
      <c r="F381" s="32">
        <v>553344</v>
      </c>
      <c r="G381" s="32"/>
      <c r="H381" s="32">
        <v>214368</v>
      </c>
      <c r="I381" s="32">
        <v>214368</v>
      </c>
      <c r="J381" s="32">
        <v>170016</v>
      </c>
      <c r="K381" s="32">
        <v>409992</v>
      </c>
      <c r="L381" s="32">
        <v>386496</v>
      </c>
      <c r="M381" s="32">
        <v>757944</v>
      </c>
      <c r="N381" s="32"/>
      <c r="O381" s="32"/>
    </row>
    <row r="382" spans="1:15" x14ac:dyDescent="0.25">
      <c r="A382" s="159" t="s">
        <v>459</v>
      </c>
      <c r="B382" s="159" t="s">
        <v>516</v>
      </c>
      <c r="C382" s="159" t="s">
        <v>351</v>
      </c>
      <c r="D382" s="32">
        <v>206712</v>
      </c>
      <c r="E382" s="32">
        <v>334752</v>
      </c>
      <c r="F382" s="32"/>
      <c r="G382" s="32"/>
      <c r="H382" s="32">
        <v>744744</v>
      </c>
      <c r="I382" s="32">
        <v>211200</v>
      </c>
      <c r="J382" s="32">
        <v>130680</v>
      </c>
      <c r="K382" s="32"/>
      <c r="L382" s="32">
        <v>222552</v>
      </c>
      <c r="M382" s="32">
        <v>372240</v>
      </c>
      <c r="N382" s="32"/>
      <c r="O382" s="32"/>
    </row>
    <row r="383" spans="1:15" x14ac:dyDescent="0.25">
      <c r="A383" s="159" t="s">
        <v>459</v>
      </c>
      <c r="B383" s="159" t="s">
        <v>517</v>
      </c>
      <c r="C383" s="159" t="s">
        <v>351</v>
      </c>
      <c r="D383" s="32">
        <v>1013460</v>
      </c>
      <c r="E383" s="32">
        <v>2109564</v>
      </c>
      <c r="F383" s="32">
        <v>3122808</v>
      </c>
      <c r="G383" s="32">
        <v>4071564</v>
      </c>
      <c r="H383" s="32">
        <v>2026584</v>
      </c>
      <c r="I383" s="32">
        <v>3930660</v>
      </c>
      <c r="J383" s="32">
        <v>4673544</v>
      </c>
      <c r="K383" s="32">
        <v>3416064</v>
      </c>
      <c r="L383" s="32">
        <v>3171432</v>
      </c>
      <c r="M383" s="32">
        <v>4018368</v>
      </c>
      <c r="N383" s="32">
        <v>762048</v>
      </c>
      <c r="O383" s="32"/>
    </row>
    <row r="384" spans="1:15" x14ac:dyDescent="0.25">
      <c r="A384" s="159" t="s">
        <v>459</v>
      </c>
      <c r="B384" s="159" t="s">
        <v>518</v>
      </c>
      <c r="C384" s="159" t="s">
        <v>351</v>
      </c>
      <c r="D384" s="32"/>
      <c r="E384" s="32"/>
      <c r="F384" s="32"/>
      <c r="G384" s="32">
        <v>885696</v>
      </c>
      <c r="H384" s="32">
        <v>535920</v>
      </c>
      <c r="I384" s="32"/>
      <c r="J384" s="32">
        <v>473088</v>
      </c>
      <c r="K384" s="32">
        <v>930384</v>
      </c>
      <c r="L384" s="32">
        <v>820008</v>
      </c>
      <c r="M384" s="32">
        <v>451584</v>
      </c>
      <c r="N384" s="32">
        <v>341040</v>
      </c>
      <c r="O384" s="32"/>
    </row>
    <row r="385" spans="1:15" x14ac:dyDescent="0.25">
      <c r="A385" s="159" t="s">
        <v>459</v>
      </c>
      <c r="B385" s="159" t="s">
        <v>519</v>
      </c>
      <c r="C385" s="159" t="s">
        <v>351</v>
      </c>
      <c r="D385" s="32"/>
      <c r="E385" s="32"/>
      <c r="F385" s="32"/>
      <c r="G385" s="32">
        <v>1305360</v>
      </c>
      <c r="H385" s="32">
        <v>411768</v>
      </c>
      <c r="I385" s="32"/>
      <c r="J385" s="32">
        <v>1341144</v>
      </c>
      <c r="K385" s="32">
        <v>149520</v>
      </c>
      <c r="L385" s="32">
        <v>1007160</v>
      </c>
      <c r="M385" s="32">
        <v>1233288</v>
      </c>
      <c r="N385" s="32">
        <v>421008</v>
      </c>
      <c r="O385" s="32"/>
    </row>
    <row r="386" spans="1:15" x14ac:dyDescent="0.25">
      <c r="A386" s="159" t="s">
        <v>459</v>
      </c>
      <c r="B386" s="159" t="s">
        <v>520</v>
      </c>
      <c r="C386" s="159" t="s">
        <v>351</v>
      </c>
      <c r="D386" s="32">
        <v>608412</v>
      </c>
      <c r="E386" s="32"/>
      <c r="F386" s="32">
        <v>1255968</v>
      </c>
      <c r="G386" s="32">
        <v>524160</v>
      </c>
      <c r="H386" s="32"/>
      <c r="I386" s="32">
        <v>666708</v>
      </c>
      <c r="J386" s="32">
        <v>958188</v>
      </c>
      <c r="K386" s="32">
        <v>391860</v>
      </c>
      <c r="L386" s="32">
        <v>615216</v>
      </c>
      <c r="M386" s="32">
        <v>1040844</v>
      </c>
      <c r="N386" s="32"/>
      <c r="O386" s="32"/>
    </row>
    <row r="387" spans="1:15" x14ac:dyDescent="0.25">
      <c r="A387" s="159" t="s">
        <v>459</v>
      </c>
      <c r="B387" s="159" t="s">
        <v>521</v>
      </c>
      <c r="C387" s="159" t="s">
        <v>351</v>
      </c>
      <c r="D387" s="32">
        <v>405048</v>
      </c>
      <c r="E387" s="32">
        <v>1400196</v>
      </c>
      <c r="F387" s="32">
        <v>1461600</v>
      </c>
      <c r="G387" s="32">
        <v>831516</v>
      </c>
      <c r="H387" s="32">
        <v>1078896</v>
      </c>
      <c r="I387" s="32">
        <v>2444232</v>
      </c>
      <c r="J387" s="32">
        <v>1656396</v>
      </c>
      <c r="K387" s="32">
        <v>921564</v>
      </c>
      <c r="L387" s="32">
        <v>693672</v>
      </c>
      <c r="M387" s="32">
        <v>877380</v>
      </c>
      <c r="N387" s="32"/>
      <c r="O387" s="32"/>
    </row>
    <row r="388" spans="1:15" x14ac:dyDescent="0.25">
      <c r="A388" s="159" t="s">
        <v>459</v>
      </c>
      <c r="B388" s="159" t="s">
        <v>522</v>
      </c>
      <c r="C388" s="159" t="s">
        <v>351</v>
      </c>
      <c r="D388" s="32"/>
      <c r="E388" s="32"/>
      <c r="F388" s="32"/>
      <c r="G388" s="32">
        <v>362208</v>
      </c>
      <c r="H388" s="32"/>
      <c r="I388" s="32">
        <v>266112</v>
      </c>
      <c r="J388" s="32">
        <v>199584</v>
      </c>
      <c r="K388" s="32">
        <v>118272</v>
      </c>
      <c r="L388" s="32">
        <v>35376</v>
      </c>
      <c r="M388" s="32">
        <v>269544</v>
      </c>
      <c r="N388" s="32"/>
      <c r="O388" s="32"/>
    </row>
    <row r="389" spans="1:15" x14ac:dyDescent="0.25">
      <c r="A389" s="159" t="s">
        <v>459</v>
      </c>
      <c r="B389" s="159" t="s">
        <v>523</v>
      </c>
      <c r="C389" s="159" t="s">
        <v>351</v>
      </c>
      <c r="D389" s="32"/>
      <c r="E389" s="32">
        <v>709368</v>
      </c>
      <c r="F389" s="32">
        <v>405240</v>
      </c>
      <c r="G389" s="32">
        <v>162624</v>
      </c>
      <c r="H389" s="32"/>
      <c r="I389" s="32">
        <v>553608</v>
      </c>
      <c r="J389" s="32">
        <v>45144</v>
      </c>
      <c r="K389" s="32">
        <v>904464</v>
      </c>
      <c r="L389" s="32"/>
      <c r="M389" s="32">
        <v>145728</v>
      </c>
      <c r="N389" s="32"/>
      <c r="O389" s="32"/>
    </row>
    <row r="390" spans="1:15" x14ac:dyDescent="0.25">
      <c r="A390" s="159" t="s">
        <v>459</v>
      </c>
      <c r="B390" s="159" t="s">
        <v>524</v>
      </c>
      <c r="C390" s="159" t="s">
        <v>351</v>
      </c>
      <c r="D390" s="32"/>
      <c r="E390" s="32"/>
      <c r="F390" s="32">
        <v>933660</v>
      </c>
      <c r="G390" s="32">
        <v>994188</v>
      </c>
      <c r="H390" s="32"/>
      <c r="I390" s="32">
        <v>1107444</v>
      </c>
      <c r="J390" s="32">
        <v>323388</v>
      </c>
      <c r="K390" s="32"/>
      <c r="L390" s="32">
        <v>1786980</v>
      </c>
      <c r="M390" s="32"/>
      <c r="N390" s="32"/>
      <c r="O390" s="32"/>
    </row>
    <row r="391" spans="1:15" x14ac:dyDescent="0.25">
      <c r="A391" s="159" t="s">
        <v>459</v>
      </c>
      <c r="B391" s="159" t="s">
        <v>525</v>
      </c>
      <c r="C391" s="159" t="s">
        <v>351</v>
      </c>
      <c r="D391" s="32"/>
      <c r="E391" s="32"/>
      <c r="F391" s="32">
        <v>284076</v>
      </c>
      <c r="G391" s="32"/>
      <c r="H391" s="32"/>
      <c r="I391" s="32"/>
      <c r="J391" s="32">
        <v>130416</v>
      </c>
      <c r="K391" s="32"/>
      <c r="L391" s="32">
        <v>127452</v>
      </c>
      <c r="M391" s="32"/>
      <c r="N391" s="32"/>
      <c r="O391" s="32"/>
    </row>
    <row r="392" spans="1:15" x14ac:dyDescent="0.25">
      <c r="A392" s="159" t="s">
        <v>459</v>
      </c>
      <c r="B392" s="159" t="s">
        <v>526</v>
      </c>
      <c r="C392" s="159" t="s">
        <v>351</v>
      </c>
      <c r="D392" s="32"/>
      <c r="E392" s="32"/>
      <c r="F392" s="32">
        <v>432276</v>
      </c>
      <c r="G392" s="32">
        <v>820248</v>
      </c>
      <c r="H392" s="32"/>
      <c r="I392" s="32">
        <v>904176</v>
      </c>
      <c r="J392" s="32"/>
      <c r="K392" s="32"/>
      <c r="L392" s="32">
        <v>1197300</v>
      </c>
      <c r="M392" s="32"/>
      <c r="N392" s="32"/>
      <c r="O392" s="32"/>
    </row>
    <row r="393" spans="1:15" x14ac:dyDescent="0.25">
      <c r="A393" s="159" t="s">
        <v>459</v>
      </c>
      <c r="B393" s="159" t="s">
        <v>527</v>
      </c>
      <c r="C393" s="159" t="s">
        <v>351</v>
      </c>
      <c r="D393" s="32"/>
      <c r="E393" s="32"/>
      <c r="F393" s="32">
        <v>217308</v>
      </c>
      <c r="G393" s="32">
        <v>173940</v>
      </c>
      <c r="H393" s="32"/>
      <c r="I393" s="32">
        <v>203268</v>
      </c>
      <c r="J393" s="32">
        <v>192972</v>
      </c>
      <c r="K393" s="32"/>
      <c r="L393" s="32">
        <v>462228</v>
      </c>
      <c r="M393" s="32"/>
      <c r="N393" s="32"/>
      <c r="O393" s="32"/>
    </row>
    <row r="394" spans="1:15" x14ac:dyDescent="0.25">
      <c r="A394" s="159" t="s">
        <v>459</v>
      </c>
      <c r="B394" s="159" t="s">
        <v>528</v>
      </c>
      <c r="C394" s="159" t="s">
        <v>351</v>
      </c>
      <c r="D394" s="32">
        <v>10928000</v>
      </c>
      <c r="E394" s="32">
        <v>11560000</v>
      </c>
      <c r="F394" s="32">
        <v>9769600</v>
      </c>
      <c r="G394" s="32">
        <v>9160400</v>
      </c>
      <c r="H394" s="32">
        <v>14550000</v>
      </c>
      <c r="I394" s="32">
        <v>2787600</v>
      </c>
      <c r="J394" s="32">
        <v>9619200</v>
      </c>
      <c r="K394" s="32">
        <v>12878400</v>
      </c>
      <c r="L394" s="32">
        <v>13829600</v>
      </c>
      <c r="M394" s="32">
        <v>10825200</v>
      </c>
      <c r="N394" s="32">
        <v>6024000</v>
      </c>
      <c r="O394" s="32"/>
    </row>
    <row r="395" spans="1:15" x14ac:dyDescent="0.25">
      <c r="A395" s="159" t="s">
        <v>459</v>
      </c>
      <c r="B395" s="159" t="s">
        <v>529</v>
      </c>
      <c r="C395" s="159" t="s">
        <v>351</v>
      </c>
      <c r="D395" s="32">
        <v>5240400</v>
      </c>
      <c r="E395" s="32">
        <v>4164800</v>
      </c>
      <c r="F395" s="32">
        <v>4782800</v>
      </c>
      <c r="G395" s="32">
        <v>4440000</v>
      </c>
      <c r="H395" s="32">
        <v>8045600</v>
      </c>
      <c r="I395" s="32">
        <v>2388400</v>
      </c>
      <c r="J395" s="32">
        <v>5126000</v>
      </c>
      <c r="K395" s="32">
        <v>6203200</v>
      </c>
      <c r="L395" s="32">
        <v>5934800</v>
      </c>
      <c r="M395" s="32">
        <v>6337600</v>
      </c>
      <c r="N395" s="32">
        <v>3516400</v>
      </c>
      <c r="O395" s="32"/>
    </row>
    <row r="396" spans="1:15" x14ac:dyDescent="0.25">
      <c r="A396" s="159" t="s">
        <v>459</v>
      </c>
      <c r="B396" s="159" t="s">
        <v>530</v>
      </c>
      <c r="C396" s="159" t="s">
        <v>351</v>
      </c>
      <c r="D396" s="32">
        <v>5687600</v>
      </c>
      <c r="E396" s="32">
        <v>7395200</v>
      </c>
      <c r="F396" s="32">
        <v>4986800</v>
      </c>
      <c r="G396" s="32">
        <v>4720400</v>
      </c>
      <c r="H396" s="32">
        <v>6504400</v>
      </c>
      <c r="I396" s="32">
        <v>399200</v>
      </c>
      <c r="J396" s="32">
        <v>4493200</v>
      </c>
      <c r="K396" s="32">
        <v>6675200</v>
      </c>
      <c r="L396" s="32">
        <v>7894800</v>
      </c>
      <c r="M396" s="32">
        <v>4487600</v>
      </c>
      <c r="N396" s="32">
        <v>2507600</v>
      </c>
      <c r="O396" s="32"/>
    </row>
    <row r="397" spans="1:15" x14ac:dyDescent="0.25">
      <c r="A397" s="159" t="s">
        <v>459</v>
      </c>
      <c r="B397" s="159" t="s">
        <v>531</v>
      </c>
      <c r="C397" s="159" t="s">
        <v>351</v>
      </c>
      <c r="D397" s="32">
        <v>8450</v>
      </c>
      <c r="E397" s="32">
        <v>5500</v>
      </c>
      <c r="F397" s="32">
        <v>4150</v>
      </c>
      <c r="G397" s="32">
        <v>8400</v>
      </c>
      <c r="H397" s="32">
        <v>6600</v>
      </c>
      <c r="I397" s="32"/>
      <c r="J397" s="32">
        <v>9825</v>
      </c>
      <c r="K397" s="32"/>
      <c r="L397" s="32">
        <v>35550</v>
      </c>
      <c r="M397" s="32">
        <v>65175</v>
      </c>
      <c r="N397" s="32">
        <v>59325</v>
      </c>
      <c r="O397" s="32"/>
    </row>
    <row r="398" spans="1:15" x14ac:dyDescent="0.25">
      <c r="A398" s="159" t="s">
        <v>459</v>
      </c>
      <c r="B398" s="159" t="s">
        <v>1090</v>
      </c>
      <c r="C398" s="159" t="s">
        <v>351</v>
      </c>
      <c r="D398" s="32"/>
      <c r="E398" s="32"/>
      <c r="F398" s="32"/>
      <c r="G398" s="32"/>
      <c r="H398" s="32"/>
      <c r="I398" s="32"/>
      <c r="J398" s="32"/>
      <c r="K398" s="32"/>
      <c r="L398" s="32">
        <v>20025</v>
      </c>
      <c r="M398" s="32">
        <v>22875</v>
      </c>
      <c r="N398" s="32">
        <v>51825</v>
      </c>
      <c r="O398" s="32"/>
    </row>
    <row r="399" spans="1:15" x14ac:dyDescent="0.25">
      <c r="A399" s="159" t="s">
        <v>459</v>
      </c>
      <c r="B399" s="159" t="s">
        <v>1091</v>
      </c>
      <c r="C399" s="159" t="s">
        <v>351</v>
      </c>
      <c r="D399" s="32"/>
      <c r="E399" s="32"/>
      <c r="F399" s="32"/>
      <c r="G399" s="32"/>
      <c r="H399" s="32"/>
      <c r="I399" s="32"/>
      <c r="J399" s="32"/>
      <c r="K399" s="32"/>
      <c r="L399" s="32">
        <v>2925</v>
      </c>
      <c r="M399" s="32">
        <v>2925</v>
      </c>
      <c r="N399" s="32">
        <v>7500</v>
      </c>
      <c r="O399" s="32"/>
    </row>
    <row r="400" spans="1:15" x14ac:dyDescent="0.25">
      <c r="A400" s="159" t="s">
        <v>459</v>
      </c>
      <c r="B400" s="159" t="s">
        <v>532</v>
      </c>
      <c r="C400" s="159" t="s">
        <v>351</v>
      </c>
      <c r="D400" s="32"/>
      <c r="E400" s="32"/>
      <c r="F400" s="32"/>
      <c r="G400" s="32">
        <v>8400</v>
      </c>
      <c r="H400" s="32">
        <v>6600</v>
      </c>
      <c r="I400" s="32"/>
      <c r="J400" s="32">
        <v>9825</v>
      </c>
      <c r="K400" s="32"/>
      <c r="L400" s="32">
        <v>12600</v>
      </c>
      <c r="M400" s="32">
        <v>36525</v>
      </c>
      <c r="N400" s="32"/>
      <c r="O400" s="32"/>
    </row>
    <row r="401" spans="1:15" x14ac:dyDescent="0.25">
      <c r="A401" s="159" t="s">
        <v>459</v>
      </c>
      <c r="B401" s="159" t="s">
        <v>533</v>
      </c>
      <c r="C401" s="159" t="s">
        <v>351</v>
      </c>
      <c r="D401" s="32">
        <v>8450</v>
      </c>
      <c r="E401" s="32">
        <v>5500</v>
      </c>
      <c r="F401" s="32">
        <v>4150</v>
      </c>
      <c r="G401" s="32"/>
      <c r="H401" s="32"/>
      <c r="I401" s="32"/>
      <c r="J401" s="32"/>
      <c r="K401" s="32"/>
      <c r="L401" s="32"/>
      <c r="M401" s="32">
        <v>2850</v>
      </c>
      <c r="N401" s="32"/>
      <c r="O401" s="32"/>
    </row>
    <row r="402" spans="1:15" x14ac:dyDescent="0.25">
      <c r="A402" s="33"/>
      <c r="B402" s="33"/>
    </row>
    <row r="403" spans="1:15" x14ac:dyDescent="0.25">
      <c r="A403" s="33" t="s">
        <v>546</v>
      </c>
      <c r="B403" s="33"/>
    </row>
    <row r="404" spans="1:15" x14ac:dyDescent="0.25">
      <c r="A404" t="s">
        <v>547</v>
      </c>
      <c r="B404" t="s">
        <v>139</v>
      </c>
    </row>
    <row r="405" spans="1:15" x14ac:dyDescent="0.25">
      <c r="A405" t="s">
        <v>548</v>
      </c>
      <c r="B405" t="s">
        <v>549</v>
      </c>
    </row>
    <row r="406" spans="1:15" x14ac:dyDescent="0.25">
      <c r="A406" t="s">
        <v>550</v>
      </c>
      <c r="B406" t="s">
        <v>551</v>
      </c>
    </row>
  </sheetData>
  <sheetProtection algorithmName="SHA-512" hashValue="HR49USCyDlQaQfNIOnbHnzGjsXI0IlhF55qt07yBrrG8Eox4TrP/In8iqaUgi4FqQMXPqM7WrowlazVxiv2krA==" saltValue="lMuh7mMF2KnwYL4fhb7RQ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C050F7AC-85BF-44BC-8721-333FA8056998}">
          <xm:f>Prophix!A1:O401</xm:f>
        </x15:webExtension>
      </x15:webExtens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00A2-AA19-48BE-8CAA-2D26DC75AB79}">
  <dimension ref="A1:Z2696"/>
  <sheetViews>
    <sheetView zoomScaleNormal="100" workbookViewId="0">
      <selection activeCell="E9" sqref="E9"/>
    </sheetView>
  </sheetViews>
  <sheetFormatPr defaultColWidth="12.85546875" defaultRowHeight="15" x14ac:dyDescent="0.25"/>
  <cols>
    <col min="1" max="1" width="11.28515625" style="91" bestFit="1" customWidth="1"/>
    <col min="2" max="2" width="7.85546875" bestFit="1" customWidth="1"/>
    <col min="3" max="3" width="13.5703125" bestFit="1" customWidth="1"/>
    <col min="4" max="4" width="14.5703125" bestFit="1" customWidth="1"/>
    <col min="5" max="5" width="40.140625" customWidth="1"/>
    <col min="6" max="6" width="10.5703125" hidden="1" customWidth="1"/>
    <col min="7" max="7" width="7.85546875" hidden="1" customWidth="1"/>
    <col min="8" max="8" width="10.5703125" bestFit="1" customWidth="1"/>
    <col min="9" max="9" width="9.7109375" bestFit="1" customWidth="1"/>
    <col min="10" max="10" width="16.5703125" bestFit="1" customWidth="1"/>
    <col min="11" max="11" width="9.140625"/>
    <col min="12" max="12" width="9.42578125" bestFit="1" customWidth="1"/>
    <col min="13" max="13" width="11.28515625" customWidth="1"/>
    <col min="14" max="14" width="48.42578125" bestFit="1" customWidth="1"/>
    <col min="15" max="15" width="9.7109375" bestFit="1" customWidth="1"/>
    <col min="16" max="16" width="16.85546875" bestFit="1" customWidth="1"/>
    <col min="17" max="17" width="10.140625" bestFit="1" customWidth="1"/>
    <col min="18" max="22" width="8.42578125" bestFit="1" customWidth="1"/>
    <col min="23" max="23" width="48.42578125" bestFit="1" customWidth="1"/>
    <col min="24" max="24" width="7.140625" bestFit="1" customWidth="1"/>
    <col min="25" max="25" width="14.85546875" bestFit="1" customWidth="1"/>
    <col min="26" max="28" width="8.42578125" bestFit="1" customWidth="1"/>
    <col min="29" max="46" width="9.42578125" bestFit="1" customWidth="1"/>
    <col min="47" max="47" width="8.42578125" bestFit="1" customWidth="1"/>
    <col min="48" max="55" width="9.42578125" bestFit="1" customWidth="1"/>
    <col min="56" max="74" width="10.42578125" bestFit="1" customWidth="1"/>
    <col min="75" max="434" width="12" bestFit="1" customWidth="1"/>
  </cols>
  <sheetData>
    <row r="1" spans="1:26" ht="30" x14ac:dyDescent="0.25">
      <c r="A1" s="73" t="s">
        <v>609</v>
      </c>
      <c r="B1" s="74" t="s">
        <v>610</v>
      </c>
      <c r="C1" s="75" t="s">
        <v>611</v>
      </c>
      <c r="D1" s="75" t="s">
        <v>612</v>
      </c>
      <c r="E1" s="75" t="s">
        <v>613</v>
      </c>
      <c r="F1" s="76" t="s">
        <v>614</v>
      </c>
      <c r="G1" s="77" t="s">
        <v>615</v>
      </c>
      <c r="H1" s="77" t="s">
        <v>616</v>
      </c>
      <c r="I1" s="75" t="s">
        <v>617</v>
      </c>
      <c r="J1" s="75" t="s">
        <v>618</v>
      </c>
      <c r="K1" t="s">
        <v>645</v>
      </c>
      <c r="L1" t="s">
        <v>1120</v>
      </c>
      <c r="N1" s="85" t="s">
        <v>618</v>
      </c>
      <c r="O1" t="s">
        <v>1122</v>
      </c>
      <c r="W1" s="85" t="s">
        <v>618</v>
      </c>
      <c r="X1" t="s">
        <v>2589</v>
      </c>
    </row>
    <row r="2" spans="1:26" x14ac:dyDescent="0.25">
      <c r="A2" s="78">
        <v>46024</v>
      </c>
      <c r="B2" s="79" t="s">
        <v>2606</v>
      </c>
      <c r="C2" s="80" t="s">
        <v>2321</v>
      </c>
      <c r="D2" s="81" t="s">
        <v>1401</v>
      </c>
      <c r="E2" s="26" t="s">
        <v>2061</v>
      </c>
      <c r="F2" s="82">
        <v>4166</v>
      </c>
      <c r="G2" s="83" t="s">
        <v>619</v>
      </c>
      <c r="H2" s="84">
        <v>4166</v>
      </c>
      <c r="I2" s="80" t="s">
        <v>2607</v>
      </c>
      <c r="J2" s="136"/>
      <c r="L2">
        <v>156744</v>
      </c>
      <c r="M2" s="87">
        <f>+L2-H2</f>
        <v>152578</v>
      </c>
    </row>
    <row r="3" spans="1:26" x14ac:dyDescent="0.25">
      <c r="A3" s="78">
        <v>46024</v>
      </c>
      <c r="B3" s="79" t="s">
        <v>2608</v>
      </c>
      <c r="C3" s="80" t="s">
        <v>2322</v>
      </c>
      <c r="D3" s="81">
        <v>7046</v>
      </c>
      <c r="E3" s="26" t="s">
        <v>1110</v>
      </c>
      <c r="F3" s="82">
        <v>105000</v>
      </c>
      <c r="G3" s="83" t="s">
        <v>622</v>
      </c>
      <c r="H3" s="84">
        <v>105000</v>
      </c>
      <c r="I3" s="80" t="s">
        <v>2609</v>
      </c>
      <c r="J3" s="80"/>
      <c r="L3">
        <v>99960</v>
      </c>
      <c r="M3" s="87">
        <f t="shared" ref="M3:M63" si="0">+L3-H3</f>
        <v>-5040</v>
      </c>
      <c r="N3" s="85" t="s">
        <v>646</v>
      </c>
      <c r="P3" s="85" t="s">
        <v>643</v>
      </c>
      <c r="W3" s="85" t="s">
        <v>644</v>
      </c>
      <c r="X3" s="85" t="s">
        <v>610</v>
      </c>
      <c r="Y3" t="s">
        <v>1121</v>
      </c>
    </row>
    <row r="4" spans="1:26" x14ac:dyDescent="0.25">
      <c r="A4" s="78">
        <v>46024</v>
      </c>
      <c r="B4" s="79" t="s">
        <v>2610</v>
      </c>
      <c r="C4" s="80" t="s">
        <v>2323</v>
      </c>
      <c r="D4" s="81">
        <v>520900</v>
      </c>
      <c r="E4" s="26" t="s">
        <v>1408</v>
      </c>
      <c r="F4" s="82">
        <v>4000</v>
      </c>
      <c r="G4" s="83" t="s">
        <v>619</v>
      </c>
      <c r="H4" s="84">
        <v>4000</v>
      </c>
      <c r="I4" s="80" t="s">
        <v>2607</v>
      </c>
      <c r="J4" s="80"/>
      <c r="L4">
        <v>49681</v>
      </c>
      <c r="M4" s="87">
        <f t="shared" si="0"/>
        <v>45681</v>
      </c>
      <c r="P4" t="s">
        <v>132</v>
      </c>
      <c r="Q4" t="s">
        <v>133</v>
      </c>
      <c r="W4" s="86" t="s">
        <v>27</v>
      </c>
      <c r="X4" s="86" t="s">
        <v>77</v>
      </c>
      <c r="Y4" s="71"/>
      <c r="Z4" t="str">
        <f>+W4&amp;X4</f>
        <v xml:space="preserve">            (85120) FLB SPAGHETTI W/MEAT SAUCEW2</v>
      </c>
    </row>
    <row r="5" spans="1:26" x14ac:dyDescent="0.25">
      <c r="A5" s="78">
        <v>46027</v>
      </c>
      <c r="B5" s="79" t="s">
        <v>2611</v>
      </c>
      <c r="C5" s="80" t="s">
        <v>2612</v>
      </c>
      <c r="D5" s="81">
        <v>72002</v>
      </c>
      <c r="E5" s="26" t="s">
        <v>2613</v>
      </c>
      <c r="F5" s="82">
        <v>500</v>
      </c>
      <c r="G5" s="83" t="s">
        <v>619</v>
      </c>
      <c r="H5" s="84">
        <v>500</v>
      </c>
      <c r="I5" s="80" t="s">
        <v>2607</v>
      </c>
      <c r="J5" s="80"/>
      <c r="K5" s="161"/>
      <c r="L5">
        <v>132576</v>
      </c>
      <c r="M5" s="87">
        <f t="shared" si="0"/>
        <v>132076</v>
      </c>
      <c r="R5" t="str">
        <f>+N5&amp;O5</f>
        <v/>
      </c>
      <c r="W5" s="86" t="s">
        <v>28</v>
      </c>
      <c r="X5" s="86" t="s">
        <v>77</v>
      </c>
      <c r="Y5" s="71"/>
      <c r="Z5" t="str">
        <f t="shared" ref="Z5:Z21" si="1">+W5&amp;X5</f>
        <v xml:space="preserve">            (85125) FLB PASTA &amp; VEGW2</v>
      </c>
    </row>
    <row r="6" spans="1:26" x14ac:dyDescent="0.25">
      <c r="A6" s="78">
        <v>46027</v>
      </c>
      <c r="B6" s="79" t="s">
        <v>2614</v>
      </c>
      <c r="C6" s="80" t="s">
        <v>2615</v>
      </c>
      <c r="D6" s="81">
        <v>900106</v>
      </c>
      <c r="E6" s="26" t="s">
        <v>2616</v>
      </c>
      <c r="F6" s="82">
        <v>350</v>
      </c>
      <c r="G6" s="83" t="s">
        <v>619</v>
      </c>
      <c r="H6" s="84">
        <v>350</v>
      </c>
      <c r="I6" s="80" t="s">
        <v>2607</v>
      </c>
      <c r="J6" s="80"/>
      <c r="L6">
        <v>81738</v>
      </c>
      <c r="M6" s="87">
        <f t="shared" si="0"/>
        <v>81388</v>
      </c>
      <c r="N6" s="85" t="s">
        <v>644</v>
      </c>
      <c r="O6" s="85" t="s">
        <v>610</v>
      </c>
      <c r="R6" t="str">
        <f t="shared" ref="R6:R55" si="2">+N6&amp;O6</f>
        <v>Row LabelsLine</v>
      </c>
      <c r="W6" s="86" t="s">
        <v>29</v>
      </c>
      <c r="X6" s="86" t="s">
        <v>77</v>
      </c>
      <c r="Y6" s="71"/>
      <c r="Z6" t="str">
        <f t="shared" si="1"/>
        <v xml:space="preserve">            (85127) FLB SOUTHW CHIX W/RICE &amp; BEANSW2</v>
      </c>
    </row>
    <row r="7" spans="1:26" x14ac:dyDescent="0.25">
      <c r="A7" s="78">
        <v>46027</v>
      </c>
      <c r="B7" s="79" t="s">
        <v>2617</v>
      </c>
      <c r="C7" s="80" t="s">
        <v>2618</v>
      </c>
      <c r="D7" s="81">
        <v>5150010450</v>
      </c>
      <c r="E7" s="26" t="s">
        <v>2619</v>
      </c>
      <c r="F7" s="82">
        <v>2256</v>
      </c>
      <c r="G7" s="83" t="s">
        <v>619</v>
      </c>
      <c r="H7" s="84">
        <v>2256</v>
      </c>
      <c r="I7" s="80" t="s">
        <v>2607</v>
      </c>
      <c r="J7" s="80"/>
      <c r="L7">
        <v>180</v>
      </c>
      <c r="M7" s="87">
        <f t="shared" si="0"/>
        <v>-2076</v>
      </c>
      <c r="N7" s="86" t="s">
        <v>27</v>
      </c>
      <c r="O7" s="86" t="s">
        <v>77</v>
      </c>
      <c r="P7" s="87"/>
      <c r="Q7" s="87">
        <v>540000</v>
      </c>
      <c r="R7" t="str">
        <f t="shared" si="2"/>
        <v xml:space="preserve">            (85120) FLB SPAGHETTI W/MEAT SAUCEW2</v>
      </c>
      <c r="W7" s="86" t="s">
        <v>17</v>
      </c>
      <c r="X7" s="86" t="s">
        <v>77</v>
      </c>
      <c r="Y7" s="71">
        <v>138240</v>
      </c>
      <c r="Z7" t="str">
        <f t="shared" si="1"/>
        <v xml:space="preserve">            (85129) FLB/DT WHITE CHICKENW2</v>
      </c>
    </row>
    <row r="8" spans="1:26" x14ac:dyDescent="0.25">
      <c r="A8" s="78">
        <v>46027</v>
      </c>
      <c r="B8" s="79" t="s">
        <v>2608</v>
      </c>
      <c r="C8" s="80" t="s">
        <v>1412</v>
      </c>
      <c r="D8" s="81">
        <v>7010</v>
      </c>
      <c r="E8" s="26" t="s">
        <v>621</v>
      </c>
      <c r="F8" s="82">
        <v>105000</v>
      </c>
      <c r="G8" s="83" t="s">
        <v>622</v>
      </c>
      <c r="H8" s="84">
        <v>105000</v>
      </c>
      <c r="I8" s="80" t="s">
        <v>2609</v>
      </c>
      <c r="J8" s="80"/>
      <c r="L8">
        <v>120</v>
      </c>
      <c r="M8" s="87">
        <f t="shared" si="0"/>
        <v>-104880</v>
      </c>
      <c r="N8" s="86" t="s">
        <v>28</v>
      </c>
      <c r="O8" s="86" t="s">
        <v>77</v>
      </c>
      <c r="P8" s="87"/>
      <c r="Q8" s="87">
        <v>180000</v>
      </c>
      <c r="R8" t="str">
        <f t="shared" si="2"/>
        <v xml:space="preserve">            (85125) FLB PASTA &amp; VEGW2</v>
      </c>
      <c r="W8" s="86" t="s">
        <v>22</v>
      </c>
      <c r="X8" s="86" t="s">
        <v>77</v>
      </c>
      <c r="Y8" s="71">
        <v>189024</v>
      </c>
      <c r="Z8" t="str">
        <f t="shared" si="1"/>
        <v xml:space="preserve">            (85138) FLB BUFFALO STYLE CHICKENW2</v>
      </c>
    </row>
    <row r="9" spans="1:26" x14ac:dyDescent="0.25">
      <c r="A9" s="78">
        <v>46027</v>
      </c>
      <c r="B9" s="79" t="s">
        <v>2608</v>
      </c>
      <c r="C9" s="80" t="s">
        <v>2324</v>
      </c>
      <c r="D9" s="81" t="s">
        <v>103</v>
      </c>
      <c r="E9" s="26" t="s">
        <v>2077</v>
      </c>
      <c r="F9" s="82">
        <v>6250</v>
      </c>
      <c r="G9" s="83" t="s">
        <v>619</v>
      </c>
      <c r="H9" s="84">
        <v>6250</v>
      </c>
      <c r="I9" s="80" t="s">
        <v>2607</v>
      </c>
      <c r="J9" s="80"/>
      <c r="L9">
        <v>180</v>
      </c>
      <c r="M9" s="87">
        <f t="shared" si="0"/>
        <v>-6070</v>
      </c>
      <c r="N9" s="86" t="s">
        <v>29</v>
      </c>
      <c r="O9" s="86" t="s">
        <v>77</v>
      </c>
      <c r="P9" s="87"/>
      <c r="Q9" s="87">
        <v>360000</v>
      </c>
      <c r="R9" t="str">
        <f t="shared" si="2"/>
        <v xml:space="preserve">            (85127) FLB SOUTHW CHIX W/RICE &amp; BEANSW2</v>
      </c>
      <c r="W9" s="86" t="s">
        <v>30</v>
      </c>
      <c r="X9" s="86" t="s">
        <v>77</v>
      </c>
      <c r="Y9" s="71"/>
      <c r="Z9" t="str">
        <f t="shared" si="1"/>
        <v xml:space="preserve">            (85205) FLB WHITE CHICKEN CHILIW2</v>
      </c>
    </row>
    <row r="10" spans="1:26" x14ac:dyDescent="0.25">
      <c r="A10" s="78">
        <v>46027</v>
      </c>
      <c r="B10" s="79" t="s">
        <v>2606</v>
      </c>
      <c r="C10" s="80" t="s">
        <v>2325</v>
      </c>
      <c r="D10" s="81" t="s">
        <v>100</v>
      </c>
      <c r="E10" s="26" t="s">
        <v>1402</v>
      </c>
      <c r="F10" s="82">
        <v>8333</v>
      </c>
      <c r="G10" s="83" t="s">
        <v>619</v>
      </c>
      <c r="H10" s="84">
        <v>8333</v>
      </c>
      <c r="I10" s="80" t="s">
        <v>2607</v>
      </c>
      <c r="J10" s="80"/>
      <c r="L10">
        <v>180</v>
      </c>
      <c r="M10" s="87">
        <f t="shared" si="0"/>
        <v>-8153</v>
      </c>
      <c r="N10" s="86" t="s">
        <v>17</v>
      </c>
      <c r="O10" s="86" t="s">
        <v>77</v>
      </c>
      <c r="P10" s="87">
        <v>600012</v>
      </c>
      <c r="Q10" s="87"/>
      <c r="R10" t="str">
        <f t="shared" si="2"/>
        <v xml:space="preserve">            (85129) FLB/DT WHITE CHICKENW2</v>
      </c>
      <c r="W10" s="86" t="s">
        <v>23</v>
      </c>
      <c r="X10" s="86" t="s">
        <v>77</v>
      </c>
      <c r="Y10" s="71">
        <v>348960</v>
      </c>
      <c r="Z10" t="str">
        <f t="shared" si="1"/>
        <v xml:space="preserve">            (85206) FLB CHICKEN SALADW2</v>
      </c>
    </row>
    <row r="11" spans="1:26" x14ac:dyDescent="0.25">
      <c r="A11" s="78">
        <v>46027</v>
      </c>
      <c r="B11" s="79" t="s">
        <v>2608</v>
      </c>
      <c r="C11" s="80" t="s">
        <v>1411</v>
      </c>
      <c r="D11" s="81">
        <v>79502</v>
      </c>
      <c r="E11" s="26" t="s">
        <v>885</v>
      </c>
      <c r="F11" s="82">
        <v>105000</v>
      </c>
      <c r="G11" s="83" t="s">
        <v>622</v>
      </c>
      <c r="H11" s="84">
        <v>105000</v>
      </c>
      <c r="I11" s="80" t="s">
        <v>2609</v>
      </c>
      <c r="J11" s="80"/>
      <c r="L11">
        <v>120</v>
      </c>
      <c r="M11" s="87">
        <f t="shared" si="0"/>
        <v>-104880</v>
      </c>
      <c r="N11" s="86" t="s">
        <v>21</v>
      </c>
      <c r="O11" s="86" t="s">
        <v>74</v>
      </c>
      <c r="P11" s="87">
        <v>40008</v>
      </c>
      <c r="Q11" s="87"/>
      <c r="R11" t="str">
        <f t="shared" si="2"/>
        <v xml:space="preserve">            (85134) FLB CHICKENW3</v>
      </c>
      <c r="W11" s="86" t="s">
        <v>24</v>
      </c>
      <c r="X11" s="86" t="s">
        <v>77</v>
      </c>
      <c r="Y11" s="71"/>
      <c r="Z11" t="str">
        <f t="shared" si="1"/>
        <v xml:space="preserve">            (85207) FLB BBQ  WHITE CHICKENW2</v>
      </c>
    </row>
    <row r="12" spans="1:26" x14ac:dyDescent="0.25">
      <c r="A12" s="78">
        <v>46027</v>
      </c>
      <c r="B12" s="79" t="s">
        <v>2606</v>
      </c>
      <c r="C12" s="80" t="s">
        <v>2055</v>
      </c>
      <c r="D12" s="81" t="s">
        <v>112</v>
      </c>
      <c r="E12" s="26" t="s">
        <v>2620</v>
      </c>
      <c r="F12" s="82">
        <v>6250</v>
      </c>
      <c r="G12" s="83" t="s">
        <v>619</v>
      </c>
      <c r="H12" s="84">
        <v>6250</v>
      </c>
      <c r="I12" s="80" t="s">
        <v>2607</v>
      </c>
      <c r="J12" s="80"/>
      <c r="L12">
        <v>180</v>
      </c>
      <c r="M12" s="87">
        <f t="shared" si="0"/>
        <v>-6070</v>
      </c>
      <c r="N12" s="86" t="s">
        <v>22</v>
      </c>
      <c r="O12" s="86" t="s">
        <v>77</v>
      </c>
      <c r="P12" s="87"/>
      <c r="Q12" s="87">
        <v>180000</v>
      </c>
      <c r="R12" t="str">
        <f t="shared" si="2"/>
        <v xml:space="preserve">            (85138) FLB BUFFALO STYLE CHICKENW2</v>
      </c>
      <c r="W12" s="86" t="s">
        <v>25</v>
      </c>
      <c r="X12" s="86" t="s">
        <v>77</v>
      </c>
      <c r="Y12" s="71">
        <v>132576</v>
      </c>
      <c r="Z12" t="str">
        <f t="shared" si="1"/>
        <v xml:space="preserve">            (85208) FLB BBQ SAUCE W/BEEFW2</v>
      </c>
    </row>
    <row r="13" spans="1:26" x14ac:dyDescent="0.25">
      <c r="A13" s="78">
        <v>46027</v>
      </c>
      <c r="B13" s="79" t="s">
        <v>2606</v>
      </c>
      <c r="C13" s="80" t="s">
        <v>2080</v>
      </c>
      <c r="D13" s="81" t="s">
        <v>100</v>
      </c>
      <c r="E13" s="26" t="s">
        <v>1402</v>
      </c>
      <c r="F13" s="82">
        <v>8333</v>
      </c>
      <c r="G13" s="83" t="s">
        <v>619</v>
      </c>
      <c r="H13" s="84">
        <v>8333</v>
      </c>
      <c r="I13" s="80" t="s">
        <v>2607</v>
      </c>
      <c r="J13" s="80"/>
      <c r="L13">
        <v>120</v>
      </c>
      <c r="M13" s="87">
        <f t="shared" si="0"/>
        <v>-8213</v>
      </c>
      <c r="N13" s="86" t="s">
        <v>45</v>
      </c>
      <c r="O13" s="86" t="s">
        <v>77</v>
      </c>
      <c r="P13" s="87"/>
      <c r="Q13" s="87">
        <v>150000</v>
      </c>
      <c r="R13" t="str">
        <f t="shared" si="2"/>
        <v xml:space="preserve">            (85201) CREAM OF MUSHROOM SOUPW2</v>
      </c>
      <c r="W13" s="86" t="s">
        <v>36</v>
      </c>
      <c r="X13" s="86" t="s">
        <v>77</v>
      </c>
      <c r="Y13" s="71"/>
      <c r="Z13" t="str">
        <f t="shared" si="1"/>
        <v xml:space="preserve">            (85216) FLB PIZZA MACW2</v>
      </c>
    </row>
    <row r="14" spans="1:26" x14ac:dyDescent="0.25">
      <c r="A14" s="78">
        <v>46027</v>
      </c>
      <c r="B14" s="79" t="s">
        <v>2606</v>
      </c>
      <c r="C14" s="80" t="s">
        <v>2081</v>
      </c>
      <c r="D14" s="81" t="s">
        <v>100</v>
      </c>
      <c r="E14" s="26" t="s">
        <v>1402</v>
      </c>
      <c r="F14" s="82">
        <v>8333</v>
      </c>
      <c r="G14" s="83" t="s">
        <v>619</v>
      </c>
      <c r="H14" s="84">
        <v>8333</v>
      </c>
      <c r="I14" s="80" t="s">
        <v>2607</v>
      </c>
      <c r="J14" s="80"/>
      <c r="L14">
        <v>180</v>
      </c>
      <c r="M14" s="87">
        <f t="shared" si="0"/>
        <v>-8153</v>
      </c>
      <c r="N14" s="86" t="s">
        <v>47</v>
      </c>
      <c r="O14" s="86" t="s">
        <v>77</v>
      </c>
      <c r="P14" s="87"/>
      <c r="Q14" s="87">
        <v>300000</v>
      </c>
      <c r="R14" t="str">
        <f t="shared" si="2"/>
        <v xml:space="preserve">            (85203) CHICKEN NOODLE SOUPW2</v>
      </c>
      <c r="W14" s="86" t="s">
        <v>846</v>
      </c>
      <c r="X14" s="86" t="s">
        <v>77</v>
      </c>
      <c r="Y14" s="71">
        <v>176640</v>
      </c>
      <c r="Z14" t="str">
        <f t="shared" si="1"/>
        <v xml:space="preserve">            (85218) FLB POLLO ASADOW2</v>
      </c>
    </row>
    <row r="15" spans="1:26" x14ac:dyDescent="0.25">
      <c r="A15" s="78">
        <v>46027</v>
      </c>
      <c r="B15" s="79" t="s">
        <v>2621</v>
      </c>
      <c r="C15" s="80" t="s">
        <v>2622</v>
      </c>
      <c r="D15" s="81">
        <v>529300</v>
      </c>
      <c r="E15" s="26" t="s">
        <v>2623</v>
      </c>
      <c r="F15" s="82">
        <v>10416</v>
      </c>
      <c r="G15" s="83" t="s">
        <v>619</v>
      </c>
      <c r="H15" s="84">
        <v>10416</v>
      </c>
      <c r="I15" s="80" t="s">
        <v>2607</v>
      </c>
      <c r="J15" s="80"/>
      <c r="L15">
        <v>120</v>
      </c>
      <c r="M15" s="87">
        <f t="shared" si="0"/>
        <v>-10296</v>
      </c>
      <c r="N15" s="86" t="s">
        <v>39</v>
      </c>
      <c r="O15" s="86" t="s">
        <v>74</v>
      </c>
      <c r="P15" s="87">
        <v>17100</v>
      </c>
      <c r="Q15" s="87"/>
      <c r="R15" t="str">
        <f t="shared" si="2"/>
        <v xml:space="preserve">            (85204) FLB CHICKENW3</v>
      </c>
      <c r="W15" s="86" t="s">
        <v>55</v>
      </c>
      <c r="X15" s="86" t="s">
        <v>93</v>
      </c>
      <c r="Y15" s="71">
        <v>61020</v>
      </c>
      <c r="Z15" t="str">
        <f t="shared" si="1"/>
        <v>Hain CelestialS6/S7</v>
      </c>
    </row>
    <row r="16" spans="1:26" x14ac:dyDescent="0.25">
      <c r="A16" s="78">
        <v>46027</v>
      </c>
      <c r="B16" s="79" t="s">
        <v>2624</v>
      </c>
      <c r="C16" s="80" t="s">
        <v>2625</v>
      </c>
      <c r="D16" s="81" t="s">
        <v>2626</v>
      </c>
      <c r="E16" s="26" t="s">
        <v>2627</v>
      </c>
      <c r="F16" s="82">
        <v>3505</v>
      </c>
      <c r="G16" s="83" t="s">
        <v>619</v>
      </c>
      <c r="H16" s="84">
        <v>3505</v>
      </c>
      <c r="I16" s="80" t="s">
        <v>2607</v>
      </c>
      <c r="J16" s="80"/>
      <c r="L16">
        <v>120</v>
      </c>
      <c r="M16" s="87">
        <f t="shared" si="0"/>
        <v>-3385</v>
      </c>
      <c r="N16" s="86" t="s">
        <v>30</v>
      </c>
      <c r="O16" s="86" t="s">
        <v>77</v>
      </c>
      <c r="P16" s="87"/>
      <c r="Q16" s="87">
        <v>180000</v>
      </c>
      <c r="R16" t="str">
        <f t="shared" si="2"/>
        <v xml:space="preserve">            (85205) FLB WHITE CHICKEN CHILIW2</v>
      </c>
      <c r="W16" s="86" t="s">
        <v>2</v>
      </c>
      <c r="X16" s="86" t="s">
        <v>620</v>
      </c>
      <c r="Y16" s="71">
        <v>271470</v>
      </c>
      <c r="Z16" t="str">
        <f t="shared" si="1"/>
        <v>MRE BaseY3NS</v>
      </c>
    </row>
    <row r="17" spans="1:26" x14ac:dyDescent="0.25">
      <c r="A17" s="78">
        <v>46027</v>
      </c>
      <c r="B17" s="79" t="s">
        <v>2628</v>
      </c>
      <c r="C17" s="80" t="s">
        <v>2629</v>
      </c>
      <c r="D17" s="81">
        <v>9011235</v>
      </c>
      <c r="E17" s="26" t="s">
        <v>2630</v>
      </c>
      <c r="F17" s="82">
        <v>700</v>
      </c>
      <c r="G17" s="83" t="s">
        <v>619</v>
      </c>
      <c r="H17" s="84">
        <v>700</v>
      </c>
      <c r="I17" s="80" t="s">
        <v>2607</v>
      </c>
      <c r="J17" s="80"/>
      <c r="L17">
        <v>120</v>
      </c>
      <c r="M17" s="87">
        <f t="shared" si="0"/>
        <v>-580</v>
      </c>
      <c r="N17" s="86" t="s">
        <v>24</v>
      </c>
      <c r="O17" s="86" t="s">
        <v>77</v>
      </c>
      <c r="P17" s="87"/>
      <c r="Q17" s="87">
        <v>174960</v>
      </c>
      <c r="R17" t="str">
        <f t="shared" si="2"/>
        <v xml:space="preserve">            (85207) FLB BBQ  WHITE CHICKENW2</v>
      </c>
      <c r="X17" s="86" t="s">
        <v>79</v>
      </c>
      <c r="Y17" s="71"/>
      <c r="Z17" t="str">
        <f t="shared" si="1"/>
        <v>Y4N</v>
      </c>
    </row>
    <row r="18" spans="1:26" x14ac:dyDescent="0.25">
      <c r="A18" s="78">
        <v>46027</v>
      </c>
      <c r="B18" s="79" t="s">
        <v>2606</v>
      </c>
      <c r="C18" s="80" t="s">
        <v>2082</v>
      </c>
      <c r="D18" s="81" t="s">
        <v>102</v>
      </c>
      <c r="E18" s="26" t="s">
        <v>2631</v>
      </c>
      <c r="F18" s="82">
        <v>6250</v>
      </c>
      <c r="G18" s="83" t="s">
        <v>619</v>
      </c>
      <c r="H18" s="84">
        <v>6250</v>
      </c>
      <c r="I18" s="80" t="s">
        <v>2607</v>
      </c>
      <c r="J18" s="80"/>
      <c r="L18">
        <v>42759</v>
      </c>
      <c r="M18" s="87">
        <f t="shared" si="0"/>
        <v>36509</v>
      </c>
      <c r="N18" s="86" t="s">
        <v>41</v>
      </c>
      <c r="O18" s="86" t="s">
        <v>74</v>
      </c>
      <c r="P18" s="87">
        <v>49992</v>
      </c>
      <c r="Q18" s="87"/>
      <c r="R18" t="str">
        <f t="shared" si="2"/>
        <v xml:space="preserve">            (85210) FLB CHILI W/BEANSW3</v>
      </c>
      <c r="W18" s="86" t="s">
        <v>60</v>
      </c>
      <c r="X18" s="86" t="s">
        <v>78</v>
      </c>
      <c r="Y18" s="71">
        <v>357054</v>
      </c>
      <c r="Z18" t="str">
        <f t="shared" si="1"/>
        <v>My Own MealsY4S/Y5</v>
      </c>
    </row>
    <row r="19" spans="1:26" x14ac:dyDescent="0.25">
      <c r="A19" s="78">
        <v>46028</v>
      </c>
      <c r="B19" s="79" t="s">
        <v>715</v>
      </c>
      <c r="C19" s="80" t="s">
        <v>2632</v>
      </c>
      <c r="D19" s="81">
        <v>7193</v>
      </c>
      <c r="E19" s="26" t="s">
        <v>811</v>
      </c>
      <c r="F19" s="82">
        <v>55000</v>
      </c>
      <c r="G19" s="83" t="s">
        <v>622</v>
      </c>
      <c r="H19" s="84">
        <v>55000</v>
      </c>
      <c r="I19" s="80" t="s">
        <v>2633</v>
      </c>
      <c r="J19" s="80"/>
      <c r="L19">
        <v>61020</v>
      </c>
      <c r="M19" s="87">
        <f t="shared" si="0"/>
        <v>6020</v>
      </c>
      <c r="N19" s="86" t="s">
        <v>36</v>
      </c>
      <c r="O19" s="86" t="s">
        <v>77</v>
      </c>
      <c r="P19" s="87"/>
      <c r="Q19" s="87">
        <v>180000</v>
      </c>
      <c r="R19" t="str">
        <f t="shared" si="2"/>
        <v xml:space="preserve">            (85216) FLB PIZZA MACW2</v>
      </c>
      <c r="W19" s="86" t="s">
        <v>5</v>
      </c>
      <c r="X19" s="86" t="s">
        <v>73</v>
      </c>
      <c r="Y19" s="71"/>
      <c r="Z19" t="str">
        <f t="shared" si="1"/>
        <v>Poly TraysPT3</v>
      </c>
    </row>
    <row r="20" spans="1:26" x14ac:dyDescent="0.25">
      <c r="A20" s="78">
        <v>46028</v>
      </c>
      <c r="B20" s="79" t="s">
        <v>2614</v>
      </c>
      <c r="C20" s="80" t="s">
        <v>2634</v>
      </c>
      <c r="D20" s="81">
        <v>623281</v>
      </c>
      <c r="E20" s="26" t="s">
        <v>2635</v>
      </c>
      <c r="F20" s="82">
        <v>788</v>
      </c>
      <c r="G20" s="83" t="s">
        <v>619</v>
      </c>
      <c r="H20" s="84">
        <v>788</v>
      </c>
      <c r="I20" s="80" t="s">
        <v>2607</v>
      </c>
      <c r="J20" s="80"/>
      <c r="L20">
        <v>175392</v>
      </c>
      <c r="M20" s="87">
        <f t="shared" si="0"/>
        <v>174604</v>
      </c>
      <c r="N20" s="86" t="s">
        <v>42</v>
      </c>
      <c r="O20" s="86" t="s">
        <v>74</v>
      </c>
      <c r="P20" s="87">
        <v>33600</v>
      </c>
      <c r="Q20" s="87"/>
      <c r="R20" t="str">
        <f t="shared" si="2"/>
        <v xml:space="preserve">            (85217) FLB BEEF STEWW3</v>
      </c>
      <c r="W20" s="86" t="s">
        <v>290</v>
      </c>
      <c r="X20" s="86" t="s">
        <v>604</v>
      </c>
      <c r="Y20" s="71">
        <v>221250</v>
      </c>
      <c r="Z20" t="str">
        <f t="shared" si="1"/>
        <v>Red GoldJ1</v>
      </c>
    </row>
    <row r="21" spans="1:26" x14ac:dyDescent="0.25">
      <c r="A21" s="78">
        <v>46028</v>
      </c>
      <c r="B21" s="79" t="s">
        <v>2610</v>
      </c>
      <c r="C21" s="80" t="s">
        <v>2220</v>
      </c>
      <c r="D21" s="81">
        <v>519200</v>
      </c>
      <c r="E21" s="26" t="s">
        <v>2636</v>
      </c>
      <c r="F21" s="82">
        <v>16667</v>
      </c>
      <c r="G21" s="83" t="s">
        <v>619</v>
      </c>
      <c r="H21" s="84">
        <v>16667</v>
      </c>
      <c r="I21" s="80" t="s">
        <v>2607</v>
      </c>
      <c r="J21" s="80"/>
      <c r="K21" s="162"/>
      <c r="L21">
        <v>93882</v>
      </c>
      <c r="M21" s="87">
        <f t="shared" si="0"/>
        <v>77215</v>
      </c>
      <c r="N21" s="86" t="s">
        <v>1082</v>
      </c>
      <c r="O21" s="86" t="s">
        <v>74</v>
      </c>
      <c r="P21" s="87">
        <v>49992</v>
      </c>
      <c r="Q21" s="87"/>
      <c r="R21" t="str">
        <f t="shared" si="2"/>
        <v xml:space="preserve">            (85220) FLB CHILI W/BEANSW3</v>
      </c>
      <c r="W21" s="86" t="s">
        <v>3</v>
      </c>
      <c r="X21" s="86" t="s">
        <v>620</v>
      </c>
      <c r="Y21" s="71">
        <v>108031</v>
      </c>
      <c r="Z21" t="str">
        <f t="shared" si="1"/>
        <v>RNC FruitY3NS</v>
      </c>
    </row>
    <row r="22" spans="1:26" x14ac:dyDescent="0.25">
      <c r="A22" s="78">
        <v>46028</v>
      </c>
      <c r="B22" s="79" t="s">
        <v>2610</v>
      </c>
      <c r="C22" s="80" t="s">
        <v>2233</v>
      </c>
      <c r="D22" s="81">
        <v>520900</v>
      </c>
      <c r="E22" s="26" t="s">
        <v>1408</v>
      </c>
      <c r="F22" s="82">
        <v>100</v>
      </c>
      <c r="G22" s="83" t="s">
        <v>619</v>
      </c>
      <c r="H22" s="84">
        <v>100</v>
      </c>
      <c r="I22" s="80" t="s">
        <v>2607</v>
      </c>
      <c r="J22" s="80"/>
      <c r="M22" s="87">
        <f t="shared" si="0"/>
        <v>-100</v>
      </c>
      <c r="N22" s="86" t="s">
        <v>843</v>
      </c>
      <c r="O22" s="86" t="s">
        <v>78</v>
      </c>
      <c r="P22" s="87"/>
      <c r="Q22" s="87">
        <v>52800.000000000007</v>
      </c>
      <c r="R22" t="str">
        <f t="shared" si="2"/>
        <v>FLB OatmealY4S/Y5</v>
      </c>
      <c r="W22" s="86" t="s">
        <v>1007</v>
      </c>
      <c r="X22" s="86" t="s">
        <v>78</v>
      </c>
      <c r="Y22" s="71"/>
    </row>
    <row r="23" spans="1:26" x14ac:dyDescent="0.25">
      <c r="A23" s="78">
        <v>46028</v>
      </c>
      <c r="B23" s="79" t="s">
        <v>685</v>
      </c>
      <c r="C23" s="80" t="s">
        <v>2637</v>
      </c>
      <c r="D23" s="81">
        <v>7374</v>
      </c>
      <c r="E23" s="26" t="s">
        <v>785</v>
      </c>
      <c r="F23" s="82">
        <v>25000</v>
      </c>
      <c r="G23" s="83" t="s">
        <v>622</v>
      </c>
      <c r="H23" s="84">
        <v>25000</v>
      </c>
      <c r="I23" s="80" t="s">
        <v>2633</v>
      </c>
      <c r="J23" s="80"/>
      <c r="L23">
        <v>79656</v>
      </c>
      <c r="M23" s="87">
        <f t="shared" si="0"/>
        <v>54656</v>
      </c>
      <c r="N23" s="86" t="s">
        <v>55</v>
      </c>
      <c r="O23" s="86" t="s">
        <v>93</v>
      </c>
      <c r="P23" s="87">
        <v>240012</v>
      </c>
      <c r="Q23" s="87">
        <v>227208</v>
      </c>
      <c r="R23" t="str">
        <f t="shared" si="2"/>
        <v>Hain CelestialS6/S7</v>
      </c>
      <c r="W23" s="86" t="s">
        <v>1008</v>
      </c>
      <c r="X23" s="86" t="s">
        <v>78</v>
      </c>
      <c r="Y23" s="71">
        <v>175326</v>
      </c>
    </row>
    <row r="24" spans="1:26" x14ac:dyDescent="0.25">
      <c r="A24" s="78">
        <v>46028</v>
      </c>
      <c r="B24" s="79" t="s">
        <v>2621</v>
      </c>
      <c r="C24" s="80" t="s">
        <v>2638</v>
      </c>
      <c r="D24" s="81" t="s">
        <v>2639</v>
      </c>
      <c r="E24" s="26" t="s">
        <v>2640</v>
      </c>
      <c r="F24" s="82">
        <v>7505</v>
      </c>
      <c r="G24" s="83" t="s">
        <v>619</v>
      </c>
      <c r="H24" s="84">
        <v>7505</v>
      </c>
      <c r="I24" s="80" t="s">
        <v>2607</v>
      </c>
      <c r="J24" s="80"/>
      <c r="L24">
        <v>20450</v>
      </c>
      <c r="M24" s="87">
        <f t="shared" si="0"/>
        <v>12945</v>
      </c>
      <c r="N24" s="86" t="s">
        <v>2</v>
      </c>
      <c r="O24" s="86" t="s">
        <v>620</v>
      </c>
      <c r="P24" s="87">
        <v>815000</v>
      </c>
      <c r="Q24" s="87">
        <v>1297000</v>
      </c>
      <c r="R24" t="str">
        <f t="shared" si="2"/>
        <v>MRE BaseY3NS</v>
      </c>
      <c r="W24" s="86" t="s">
        <v>56</v>
      </c>
      <c r="X24" s="86" t="s">
        <v>93</v>
      </c>
      <c r="Y24" s="71">
        <v>691932</v>
      </c>
    </row>
    <row r="25" spans="1:26" x14ac:dyDescent="0.25">
      <c r="A25" s="78">
        <v>46028</v>
      </c>
      <c r="B25" s="79" t="s">
        <v>2617</v>
      </c>
      <c r="C25" s="80" t="s">
        <v>2641</v>
      </c>
      <c r="D25" s="81">
        <v>5150010450</v>
      </c>
      <c r="E25" s="26" t="s">
        <v>2619</v>
      </c>
      <c r="F25" s="82">
        <v>2256</v>
      </c>
      <c r="G25" s="83" t="s">
        <v>619</v>
      </c>
      <c r="H25" s="84">
        <v>2256</v>
      </c>
      <c r="I25" s="80" t="s">
        <v>2607</v>
      </c>
      <c r="J25" s="80"/>
      <c r="L25">
        <v>60</v>
      </c>
      <c r="M25" s="87">
        <f t="shared" si="0"/>
        <v>-2196</v>
      </c>
      <c r="N25" s="86" t="s">
        <v>2</v>
      </c>
      <c r="O25" s="86" t="s">
        <v>79</v>
      </c>
      <c r="P25" s="87">
        <v>600</v>
      </c>
      <c r="Q25" s="87"/>
      <c r="R25" t="str">
        <f t="shared" si="2"/>
        <v>MRE BaseY4N</v>
      </c>
      <c r="W25" s="86" t="s">
        <v>64</v>
      </c>
      <c r="X25" s="86" t="s">
        <v>77</v>
      </c>
      <c r="Y25" s="71"/>
    </row>
    <row r="26" spans="1:26" x14ac:dyDescent="0.25">
      <c r="A26" s="78">
        <v>46028</v>
      </c>
      <c r="B26" s="79" t="s">
        <v>2624</v>
      </c>
      <c r="C26" s="80" t="s">
        <v>2642</v>
      </c>
      <c r="D26" s="81" t="s">
        <v>2643</v>
      </c>
      <c r="E26" s="26" t="s">
        <v>2644</v>
      </c>
      <c r="F26" s="82">
        <v>1000</v>
      </c>
      <c r="G26" s="83" t="s">
        <v>619</v>
      </c>
      <c r="H26" s="84">
        <v>1000</v>
      </c>
      <c r="I26" s="80" t="s">
        <v>2607</v>
      </c>
      <c r="J26" s="80"/>
      <c r="L26">
        <v>120</v>
      </c>
      <c r="M26" s="87">
        <f t="shared" si="0"/>
        <v>-880</v>
      </c>
      <c r="N26" s="86" t="s">
        <v>1123</v>
      </c>
      <c r="O26" s="86" t="s">
        <v>608</v>
      </c>
      <c r="P26" s="87">
        <v>499.99999999999994</v>
      </c>
      <c r="Q26" s="87"/>
      <c r="R26" t="str">
        <f t="shared" si="2"/>
        <v>MRE PlaceableV3</v>
      </c>
      <c r="W26" s="86" t="s">
        <v>65</v>
      </c>
      <c r="X26" s="86" t="s">
        <v>77</v>
      </c>
      <c r="Y26" s="71">
        <v>156744</v>
      </c>
    </row>
    <row r="27" spans="1:26" x14ac:dyDescent="0.25">
      <c r="A27" s="78">
        <v>46028</v>
      </c>
      <c r="B27" s="79" t="s">
        <v>712</v>
      </c>
      <c r="C27" s="80" t="s">
        <v>1457</v>
      </c>
      <c r="D27" s="81" t="s">
        <v>1128</v>
      </c>
      <c r="E27" s="26" t="s">
        <v>781</v>
      </c>
      <c r="F27" s="82">
        <v>40000</v>
      </c>
      <c r="G27" s="83" t="s">
        <v>622</v>
      </c>
      <c r="H27" s="84">
        <v>40000</v>
      </c>
      <c r="I27" s="80" t="s">
        <v>2607</v>
      </c>
      <c r="J27" s="80"/>
      <c r="L27">
        <v>180</v>
      </c>
      <c r="M27" s="87">
        <f t="shared" si="0"/>
        <v>-39820</v>
      </c>
      <c r="N27" s="86" t="s">
        <v>5</v>
      </c>
      <c r="O27" s="86" t="s">
        <v>73</v>
      </c>
      <c r="P27" s="87">
        <v>26500</v>
      </c>
      <c r="Q27" s="87">
        <v>18900</v>
      </c>
      <c r="R27" t="str">
        <f t="shared" si="2"/>
        <v>Poly TraysPT3</v>
      </c>
      <c r="W27" s="86" t="s">
        <v>81</v>
      </c>
      <c r="X27" s="86" t="s">
        <v>81</v>
      </c>
      <c r="Y27" s="71">
        <v>3000</v>
      </c>
    </row>
    <row r="28" spans="1:26" x14ac:dyDescent="0.25">
      <c r="A28" s="78">
        <v>46028</v>
      </c>
      <c r="B28" s="79" t="s">
        <v>682</v>
      </c>
      <c r="C28" s="80" t="s">
        <v>2645</v>
      </c>
      <c r="D28" s="81" t="s">
        <v>806</v>
      </c>
      <c r="E28" s="26" t="s">
        <v>807</v>
      </c>
      <c r="F28" s="82">
        <v>28000</v>
      </c>
      <c r="G28" s="83" t="s">
        <v>622</v>
      </c>
      <c r="H28" s="84">
        <v>28000</v>
      </c>
      <c r="I28" s="80" t="s">
        <v>2633</v>
      </c>
      <c r="J28" s="80"/>
      <c r="L28">
        <v>180</v>
      </c>
      <c r="M28" s="87">
        <f t="shared" si="0"/>
        <v>-27820</v>
      </c>
      <c r="N28" s="86" t="s">
        <v>347</v>
      </c>
      <c r="O28" s="86" t="s">
        <v>77</v>
      </c>
      <c r="P28" s="87">
        <v>21600</v>
      </c>
      <c r="Q28" s="87"/>
      <c r="R28" t="str">
        <f t="shared" si="2"/>
        <v>RDW2</v>
      </c>
      <c r="W28" s="86" t="s">
        <v>12</v>
      </c>
      <c r="X28" s="86" t="s">
        <v>78</v>
      </c>
      <c r="Y28" s="71">
        <v>99960</v>
      </c>
    </row>
    <row r="29" spans="1:26" x14ac:dyDescent="0.25">
      <c r="A29" s="78">
        <v>46028</v>
      </c>
      <c r="B29" s="79" t="s">
        <v>688</v>
      </c>
      <c r="C29" s="80" t="s">
        <v>2646</v>
      </c>
      <c r="D29" s="81">
        <v>7746</v>
      </c>
      <c r="E29" s="26" t="s">
        <v>692</v>
      </c>
      <c r="F29" s="82">
        <v>68000</v>
      </c>
      <c r="G29" s="83" t="s">
        <v>622</v>
      </c>
      <c r="H29" s="84">
        <v>68000</v>
      </c>
      <c r="I29" s="80" t="s">
        <v>2633</v>
      </c>
      <c r="J29" s="80"/>
      <c r="L29">
        <v>120</v>
      </c>
      <c r="M29" s="87">
        <f t="shared" si="0"/>
        <v>-67880</v>
      </c>
      <c r="N29" s="86" t="s">
        <v>347</v>
      </c>
      <c r="O29" s="86" t="s">
        <v>74</v>
      </c>
      <c r="P29" s="87">
        <v>30000</v>
      </c>
      <c r="Q29" s="87"/>
      <c r="R29" t="str">
        <f t="shared" si="2"/>
        <v>RDW3</v>
      </c>
      <c r="W29" s="86" t="s">
        <v>13</v>
      </c>
      <c r="X29" s="86" t="s">
        <v>78</v>
      </c>
      <c r="Y29" s="71">
        <v>88584</v>
      </c>
    </row>
    <row r="30" spans="1:26" x14ac:dyDescent="0.25">
      <c r="A30" s="78">
        <v>46028</v>
      </c>
      <c r="B30" s="79">
        <v>7002</v>
      </c>
      <c r="C30" s="80" t="s">
        <v>2647</v>
      </c>
      <c r="D30" s="81">
        <v>931101</v>
      </c>
      <c r="E30" s="26" t="s">
        <v>2648</v>
      </c>
      <c r="F30" s="82">
        <v>1630</v>
      </c>
      <c r="G30" s="83" t="s">
        <v>619</v>
      </c>
      <c r="H30" s="84">
        <v>1630</v>
      </c>
      <c r="I30" s="80" t="s">
        <v>2607</v>
      </c>
      <c r="J30" s="80"/>
      <c r="L30">
        <v>120</v>
      </c>
      <c r="M30" s="87">
        <f t="shared" si="0"/>
        <v>-1510</v>
      </c>
      <c r="N30" s="86" t="s">
        <v>290</v>
      </c>
      <c r="O30" s="86" t="s">
        <v>604</v>
      </c>
      <c r="P30" s="87">
        <v>3750000</v>
      </c>
      <c r="Q30" s="87">
        <v>3125000</v>
      </c>
      <c r="R30" t="str">
        <f t="shared" si="2"/>
        <v>Red GoldJ1</v>
      </c>
      <c r="W30" s="86" t="s">
        <v>41</v>
      </c>
      <c r="X30" s="86" t="s">
        <v>74</v>
      </c>
      <c r="Y30" s="71"/>
    </row>
    <row r="31" spans="1:26" x14ac:dyDescent="0.25">
      <c r="A31" s="78">
        <v>46028</v>
      </c>
      <c r="B31" s="79" t="s">
        <v>2624</v>
      </c>
      <c r="C31" s="80" t="s">
        <v>2649</v>
      </c>
      <c r="D31" s="81" t="s">
        <v>2650</v>
      </c>
      <c r="E31" s="26" t="s">
        <v>2651</v>
      </c>
      <c r="F31" s="82">
        <v>1000</v>
      </c>
      <c r="G31" s="83" t="s">
        <v>619</v>
      </c>
      <c r="H31" s="84">
        <v>1000</v>
      </c>
      <c r="I31" s="80" t="s">
        <v>2607</v>
      </c>
      <c r="J31" s="80"/>
      <c r="L31">
        <v>180</v>
      </c>
      <c r="M31" s="87">
        <f t="shared" si="0"/>
        <v>-820</v>
      </c>
      <c r="N31" s="86" t="s">
        <v>3</v>
      </c>
      <c r="O31" s="86" t="s">
        <v>620</v>
      </c>
      <c r="P31" s="87">
        <v>210000</v>
      </c>
      <c r="Q31" s="87">
        <v>840000</v>
      </c>
      <c r="R31" t="str">
        <f t="shared" si="2"/>
        <v>RNC FruitY3NS</v>
      </c>
      <c r="W31" s="86" t="s">
        <v>62</v>
      </c>
      <c r="X31" s="86" t="s">
        <v>77</v>
      </c>
      <c r="Y31" s="71"/>
    </row>
    <row r="32" spans="1:26" x14ac:dyDescent="0.25">
      <c r="A32" s="78">
        <v>46029</v>
      </c>
      <c r="B32" s="79" t="s">
        <v>2652</v>
      </c>
      <c r="C32" s="80" t="s">
        <v>2292</v>
      </c>
      <c r="D32" s="81" t="s">
        <v>990</v>
      </c>
      <c r="E32" s="26" t="s">
        <v>991</v>
      </c>
      <c r="F32" s="82">
        <v>48</v>
      </c>
      <c r="G32" s="83" t="s">
        <v>622</v>
      </c>
      <c r="H32" s="84">
        <v>48</v>
      </c>
      <c r="I32" s="80" t="s">
        <v>2607</v>
      </c>
      <c r="J32" s="80"/>
      <c r="L32">
        <v>180</v>
      </c>
      <c r="M32" s="87">
        <f t="shared" si="0"/>
        <v>132</v>
      </c>
      <c r="N32" s="86" t="s">
        <v>1007</v>
      </c>
      <c r="O32" s="86" t="s">
        <v>78</v>
      </c>
      <c r="P32" s="87"/>
      <c r="Q32" s="87">
        <v>45000</v>
      </c>
      <c r="R32" t="str">
        <f t="shared" si="2"/>
        <v>Scott Pet CatY4S/Y5</v>
      </c>
      <c r="W32" s="86" t="s">
        <v>66</v>
      </c>
      <c r="X32" s="86" t="s">
        <v>78</v>
      </c>
      <c r="Y32" s="71"/>
    </row>
    <row r="33" spans="1:25" x14ac:dyDescent="0.25">
      <c r="A33" s="78">
        <v>46029</v>
      </c>
      <c r="B33" s="79" t="s">
        <v>2652</v>
      </c>
      <c r="C33" s="80" t="s">
        <v>2244</v>
      </c>
      <c r="D33" s="81" t="s">
        <v>958</v>
      </c>
      <c r="E33" s="26" t="s">
        <v>959</v>
      </c>
      <c r="F33" s="82">
        <v>70</v>
      </c>
      <c r="G33" s="83" t="s">
        <v>622</v>
      </c>
      <c r="H33" s="84">
        <v>70</v>
      </c>
      <c r="I33" s="80" t="s">
        <v>2607</v>
      </c>
      <c r="J33" s="80"/>
      <c r="L33">
        <v>120</v>
      </c>
      <c r="M33" s="87">
        <f t="shared" si="0"/>
        <v>50</v>
      </c>
      <c r="N33" s="86" t="s">
        <v>56</v>
      </c>
      <c r="O33" s="86" t="s">
        <v>93</v>
      </c>
      <c r="P33" s="87">
        <v>977600</v>
      </c>
      <c r="Q33" s="87">
        <v>1470000</v>
      </c>
      <c r="R33" t="str">
        <f t="shared" si="2"/>
        <v>SerenityS6/S7</v>
      </c>
      <c r="W33" s="86" t="s">
        <v>47</v>
      </c>
      <c r="X33" s="86" t="s">
        <v>77</v>
      </c>
      <c r="Y33" s="71"/>
    </row>
    <row r="34" spans="1:25" x14ac:dyDescent="0.25">
      <c r="A34" s="78">
        <v>46029</v>
      </c>
      <c r="B34" s="79" t="s">
        <v>2652</v>
      </c>
      <c r="C34" s="80" t="s">
        <v>2268</v>
      </c>
      <c r="D34" s="81" t="s">
        <v>972</v>
      </c>
      <c r="E34" s="26" t="s">
        <v>973</v>
      </c>
      <c r="F34" s="82">
        <v>27</v>
      </c>
      <c r="G34" s="83" t="s">
        <v>622</v>
      </c>
      <c r="H34" s="84">
        <v>27</v>
      </c>
      <c r="I34" s="80" t="s">
        <v>2607</v>
      </c>
      <c r="J34" s="80"/>
      <c r="L34">
        <v>120</v>
      </c>
      <c r="M34" s="87">
        <f t="shared" si="0"/>
        <v>93</v>
      </c>
      <c r="N34" s="86" t="s">
        <v>822</v>
      </c>
      <c r="O34" s="86" t="s">
        <v>78</v>
      </c>
      <c r="P34" s="87"/>
      <c r="Q34" s="87">
        <v>240030</v>
      </c>
      <c r="R34" t="str">
        <f t="shared" si="2"/>
        <v>SimmonsY4S/Y5</v>
      </c>
      <c r="W34" s="86" t="s">
        <v>45</v>
      </c>
      <c r="X34" s="86" t="s">
        <v>77</v>
      </c>
      <c r="Y34" s="71"/>
    </row>
    <row r="35" spans="1:25" x14ac:dyDescent="0.25">
      <c r="A35" s="78">
        <v>46029</v>
      </c>
      <c r="B35" s="79" t="s">
        <v>2652</v>
      </c>
      <c r="C35" s="80" t="s">
        <v>2283</v>
      </c>
      <c r="D35" s="81" t="s">
        <v>984</v>
      </c>
      <c r="E35" s="26" t="s">
        <v>985</v>
      </c>
      <c r="F35" s="82">
        <v>42</v>
      </c>
      <c r="G35" s="83" t="s">
        <v>622</v>
      </c>
      <c r="H35" s="84">
        <v>42</v>
      </c>
      <c r="I35" s="80" t="s">
        <v>2607</v>
      </c>
      <c r="J35" s="80"/>
      <c r="L35">
        <v>58984</v>
      </c>
      <c r="M35" s="87">
        <f t="shared" si="0"/>
        <v>58942</v>
      </c>
      <c r="N35" s="86" t="s">
        <v>62</v>
      </c>
      <c r="O35" s="86" t="s">
        <v>77</v>
      </c>
      <c r="P35" s="87"/>
      <c r="Q35" s="87">
        <v>999900</v>
      </c>
      <c r="R35" t="str">
        <f t="shared" si="2"/>
        <v>SpammyW2</v>
      </c>
      <c r="W35" s="86" t="s">
        <v>42</v>
      </c>
      <c r="X35" s="86" t="s">
        <v>74</v>
      </c>
      <c r="Y35" s="71"/>
    </row>
    <row r="36" spans="1:25" x14ac:dyDescent="0.25">
      <c r="A36" s="78">
        <v>46029</v>
      </c>
      <c r="B36" s="79" t="s">
        <v>2652</v>
      </c>
      <c r="C36" s="80" t="s">
        <v>2260</v>
      </c>
      <c r="D36" s="81" t="s">
        <v>966</v>
      </c>
      <c r="E36" s="26" t="s">
        <v>967</v>
      </c>
      <c r="F36" s="82">
        <v>28</v>
      </c>
      <c r="G36" s="83" t="s">
        <v>622</v>
      </c>
      <c r="H36" s="84">
        <v>28</v>
      </c>
      <c r="I36" s="80" t="s">
        <v>2607</v>
      </c>
      <c r="J36" s="80"/>
      <c r="L36">
        <v>59676</v>
      </c>
      <c r="M36" s="87">
        <f t="shared" si="0"/>
        <v>59648</v>
      </c>
      <c r="N36" s="86" t="s">
        <v>64</v>
      </c>
      <c r="O36" s="86" t="s">
        <v>77</v>
      </c>
      <c r="P36" s="87">
        <v>400008</v>
      </c>
      <c r="Q36" s="87">
        <v>400008</v>
      </c>
      <c r="R36" t="str">
        <f t="shared" si="2"/>
        <v>Starkist CreationsW2</v>
      </c>
      <c r="W36" s="86" t="s">
        <v>1082</v>
      </c>
      <c r="X36" s="86" t="s">
        <v>74</v>
      </c>
      <c r="Y36" s="71"/>
    </row>
    <row r="37" spans="1:25" x14ac:dyDescent="0.25">
      <c r="A37" s="78">
        <v>46029</v>
      </c>
      <c r="B37" s="79" t="s">
        <v>2652</v>
      </c>
      <c r="C37" s="80" t="s">
        <v>2276</v>
      </c>
      <c r="D37" s="81" t="s">
        <v>978</v>
      </c>
      <c r="E37" s="26" t="s">
        <v>979</v>
      </c>
      <c r="F37" s="82">
        <v>48</v>
      </c>
      <c r="G37" s="83" t="s">
        <v>622</v>
      </c>
      <c r="H37" s="84">
        <v>48</v>
      </c>
      <c r="I37" s="80" t="s">
        <v>2607</v>
      </c>
      <c r="J37" s="80"/>
      <c r="L37">
        <v>173568</v>
      </c>
      <c r="M37" s="87">
        <f t="shared" si="0"/>
        <v>173520</v>
      </c>
      <c r="N37" s="86" t="s">
        <v>65</v>
      </c>
      <c r="O37" s="86" t="s">
        <v>77</v>
      </c>
      <c r="P37" s="87">
        <v>1031040</v>
      </c>
      <c r="Q37" s="87">
        <v>175008</v>
      </c>
      <c r="R37" t="str">
        <f t="shared" si="2"/>
        <v>Starkist WHITEW2</v>
      </c>
      <c r="W37" s="86" t="s">
        <v>21</v>
      </c>
      <c r="X37" s="86" t="s">
        <v>74</v>
      </c>
      <c r="Y37" s="71"/>
    </row>
    <row r="38" spans="1:25" x14ac:dyDescent="0.25">
      <c r="A38" s="78">
        <v>46029</v>
      </c>
      <c r="B38" s="79" t="s">
        <v>2652</v>
      </c>
      <c r="C38" s="80" t="s">
        <v>2258</v>
      </c>
      <c r="D38" s="81" t="s">
        <v>1078</v>
      </c>
      <c r="E38" s="26" t="s">
        <v>1079</v>
      </c>
      <c r="F38" s="82">
        <v>72</v>
      </c>
      <c r="G38" s="83" t="s">
        <v>622</v>
      </c>
      <c r="H38" s="84">
        <v>72</v>
      </c>
      <c r="I38" s="80" t="s">
        <v>2607</v>
      </c>
      <c r="J38" s="80"/>
      <c r="L38">
        <v>90318</v>
      </c>
      <c r="M38" s="87">
        <f t="shared" si="0"/>
        <v>90246</v>
      </c>
      <c r="N38" s="86" t="s">
        <v>1005</v>
      </c>
      <c r="O38" s="86" t="s">
        <v>79</v>
      </c>
      <c r="P38" s="87"/>
      <c r="Q38" s="87">
        <v>738000</v>
      </c>
      <c r="R38" t="str">
        <f t="shared" si="2"/>
        <v>Starkist WHITE 5.0 OZY4N</v>
      </c>
      <c r="W38" s="86" t="s">
        <v>822</v>
      </c>
      <c r="X38" s="86" t="s">
        <v>78</v>
      </c>
      <c r="Y38" s="71"/>
    </row>
    <row r="39" spans="1:25" x14ac:dyDescent="0.25">
      <c r="A39" s="78">
        <v>46029</v>
      </c>
      <c r="B39" s="79" t="s">
        <v>2652</v>
      </c>
      <c r="C39" s="80" t="s">
        <v>2263</v>
      </c>
      <c r="D39" s="81" t="s">
        <v>968</v>
      </c>
      <c r="E39" s="26" t="s">
        <v>969</v>
      </c>
      <c r="F39" s="82">
        <v>36</v>
      </c>
      <c r="G39" s="83" t="s">
        <v>622</v>
      </c>
      <c r="H39" s="84">
        <v>36</v>
      </c>
      <c r="I39" s="80" t="s">
        <v>2607</v>
      </c>
      <c r="J39" s="80"/>
      <c r="L39">
        <v>70920</v>
      </c>
      <c r="M39" s="87">
        <f t="shared" si="0"/>
        <v>70884</v>
      </c>
      <c r="N39" s="86" t="s">
        <v>81</v>
      </c>
      <c r="O39" s="86" t="s">
        <v>81</v>
      </c>
      <c r="P39" s="87">
        <v>3869</v>
      </c>
      <c r="Q39" s="87">
        <v>65</v>
      </c>
      <c r="R39" t="str">
        <f t="shared" si="2"/>
        <v>UGRAUGRA</v>
      </c>
      <c r="W39" s="86" t="s">
        <v>347</v>
      </c>
      <c r="X39" s="86" t="s">
        <v>77</v>
      </c>
      <c r="Y39" s="71"/>
    </row>
    <row r="40" spans="1:25" x14ac:dyDescent="0.25">
      <c r="A40" s="78">
        <v>46029</v>
      </c>
      <c r="B40" s="79" t="s">
        <v>2652</v>
      </c>
      <c r="C40" s="80" t="s">
        <v>2267</v>
      </c>
      <c r="D40" s="81">
        <v>2237</v>
      </c>
      <c r="E40" s="26" t="s">
        <v>891</v>
      </c>
      <c r="F40" s="82">
        <v>60</v>
      </c>
      <c r="G40" s="83" t="s">
        <v>622</v>
      </c>
      <c r="H40" s="84">
        <v>60</v>
      </c>
      <c r="I40" s="80" t="s">
        <v>2607</v>
      </c>
      <c r="J40" s="80"/>
      <c r="L40">
        <v>41076</v>
      </c>
      <c r="M40" s="87">
        <f t="shared" si="0"/>
        <v>41016</v>
      </c>
      <c r="N40" s="86" t="s">
        <v>66</v>
      </c>
      <c r="O40" s="86" t="s">
        <v>78</v>
      </c>
      <c r="P40" s="87"/>
      <c r="Q40" s="87">
        <v>164400</v>
      </c>
      <c r="R40" t="str">
        <f t="shared" si="2"/>
        <v>Union SupplyY4S/Y5</v>
      </c>
      <c r="X40" s="86" t="s">
        <v>74</v>
      </c>
      <c r="Y40" s="71"/>
    </row>
    <row r="41" spans="1:25" x14ac:dyDescent="0.25">
      <c r="A41" s="78">
        <v>46029</v>
      </c>
      <c r="B41" s="79" t="s">
        <v>2652</v>
      </c>
      <c r="C41" s="80" t="s">
        <v>2248</v>
      </c>
      <c r="D41" s="81" t="s">
        <v>960</v>
      </c>
      <c r="E41" s="26" t="s">
        <v>961</v>
      </c>
      <c r="F41" s="82">
        <v>70</v>
      </c>
      <c r="G41" s="83" t="s">
        <v>622</v>
      </c>
      <c r="H41" s="84">
        <v>70</v>
      </c>
      <c r="I41" s="80" t="s">
        <v>2607</v>
      </c>
      <c r="J41" s="80"/>
      <c r="L41">
        <v>20450</v>
      </c>
      <c r="M41" s="87">
        <f t="shared" si="0"/>
        <v>20380</v>
      </c>
      <c r="N41" s="86" t="s">
        <v>12</v>
      </c>
      <c r="O41" s="86" t="s">
        <v>78</v>
      </c>
      <c r="P41" s="87">
        <v>614160</v>
      </c>
      <c r="Q41" s="87"/>
      <c r="R41" t="str">
        <f t="shared" si="2"/>
        <v>USDA Beef StewY4S/Y5</v>
      </c>
      <c r="W41" s="86" t="s">
        <v>39</v>
      </c>
      <c r="X41" s="86" t="s">
        <v>74</v>
      </c>
      <c r="Y41" s="71"/>
    </row>
    <row r="42" spans="1:25" x14ac:dyDescent="0.25">
      <c r="A42" s="78">
        <v>46029</v>
      </c>
      <c r="B42" s="79" t="s">
        <v>2652</v>
      </c>
      <c r="C42" s="80" t="s">
        <v>2254</v>
      </c>
      <c r="D42" s="81">
        <v>2211</v>
      </c>
      <c r="E42" s="26" t="s">
        <v>881</v>
      </c>
      <c r="F42" s="82">
        <v>60</v>
      </c>
      <c r="G42" s="83" t="s">
        <v>622</v>
      </c>
      <c r="H42" s="84">
        <v>60</v>
      </c>
      <c r="I42" s="80" t="s">
        <v>2607</v>
      </c>
      <c r="J42" s="80"/>
      <c r="L42">
        <v>91116</v>
      </c>
      <c r="M42" s="87">
        <f t="shared" si="0"/>
        <v>91056</v>
      </c>
      <c r="N42" s="86" t="s">
        <v>13</v>
      </c>
      <c r="O42" s="86" t="s">
        <v>78</v>
      </c>
      <c r="P42" s="87">
        <v>179220</v>
      </c>
      <c r="Q42" s="87"/>
      <c r="R42" t="str">
        <f t="shared" si="2"/>
        <v>USDA Chili with BeansY4S/Y5</v>
      </c>
      <c r="W42" s="86" t="s">
        <v>1123</v>
      </c>
      <c r="X42" s="86" t="s">
        <v>608</v>
      </c>
      <c r="Y42" s="71"/>
    </row>
    <row r="43" spans="1:25" x14ac:dyDescent="0.25">
      <c r="A43" s="78">
        <v>46029</v>
      </c>
      <c r="B43" s="79" t="s">
        <v>2652</v>
      </c>
      <c r="C43" s="80" t="s">
        <v>2326</v>
      </c>
      <c r="D43" s="81">
        <v>2249</v>
      </c>
      <c r="E43" s="26" t="s">
        <v>1015</v>
      </c>
      <c r="F43" s="82">
        <v>144</v>
      </c>
      <c r="G43" s="83" t="s">
        <v>622</v>
      </c>
      <c r="H43" s="84">
        <v>144</v>
      </c>
      <c r="I43" s="80" t="s">
        <v>2607</v>
      </c>
      <c r="J43" s="80"/>
      <c r="L43">
        <v>49071</v>
      </c>
      <c r="M43" s="87">
        <f t="shared" si="0"/>
        <v>48927</v>
      </c>
      <c r="N43" s="86" t="s">
        <v>647</v>
      </c>
      <c r="P43" s="87">
        <v>9090813</v>
      </c>
      <c r="Q43" s="87">
        <v>12038279</v>
      </c>
      <c r="R43" t="str">
        <f t="shared" si="2"/>
        <v>Grand Total</v>
      </c>
      <c r="W43" s="86" t="s">
        <v>843</v>
      </c>
      <c r="X43" s="86" t="s">
        <v>78</v>
      </c>
      <c r="Y43" s="71"/>
    </row>
    <row r="44" spans="1:25" x14ac:dyDescent="0.25">
      <c r="A44" s="78">
        <v>46029</v>
      </c>
      <c r="B44" s="79" t="s">
        <v>2652</v>
      </c>
      <c r="C44" s="80" t="s">
        <v>2257</v>
      </c>
      <c r="D44" s="81">
        <v>2213</v>
      </c>
      <c r="E44" s="26" t="s">
        <v>889</v>
      </c>
      <c r="F44" s="82">
        <v>60</v>
      </c>
      <c r="G44" s="83" t="s">
        <v>622</v>
      </c>
      <c r="H44" s="84">
        <v>60</v>
      </c>
      <c r="I44" s="80" t="s">
        <v>2607</v>
      </c>
      <c r="J44" s="80"/>
      <c r="L44">
        <v>189024</v>
      </c>
      <c r="M44" s="87">
        <f t="shared" si="0"/>
        <v>188964</v>
      </c>
      <c r="R44" t="str">
        <f t="shared" si="2"/>
        <v/>
      </c>
      <c r="W44" s="86" t="s">
        <v>1005</v>
      </c>
      <c r="X44" s="86" t="s">
        <v>79</v>
      </c>
      <c r="Y44" s="71"/>
    </row>
    <row r="45" spans="1:25" x14ac:dyDescent="0.25">
      <c r="A45" s="78">
        <v>46029</v>
      </c>
      <c r="B45" s="79" t="s">
        <v>2652</v>
      </c>
      <c r="C45" s="80" t="s">
        <v>2281</v>
      </c>
      <c r="D45" s="81" t="s">
        <v>982</v>
      </c>
      <c r="E45" s="26" t="s">
        <v>983</v>
      </c>
      <c r="F45" s="82">
        <v>36</v>
      </c>
      <c r="G45" s="83" t="s">
        <v>622</v>
      </c>
      <c r="H45" s="84">
        <v>36</v>
      </c>
      <c r="I45" s="80" t="s">
        <v>2607</v>
      </c>
      <c r="J45" s="80"/>
      <c r="L45">
        <v>67584</v>
      </c>
      <c r="M45" s="87">
        <f t="shared" si="0"/>
        <v>67548</v>
      </c>
      <c r="R45" t="str">
        <f t="shared" si="2"/>
        <v/>
      </c>
      <c r="W45" s="86" t="s">
        <v>647</v>
      </c>
      <c r="Y45" s="71">
        <v>3219811</v>
      </c>
    </row>
    <row r="46" spans="1:25" x14ac:dyDescent="0.25">
      <c r="A46" s="78">
        <v>46029</v>
      </c>
      <c r="B46" s="79" t="s">
        <v>2652</v>
      </c>
      <c r="C46" s="80" t="s">
        <v>2295</v>
      </c>
      <c r="D46" s="81">
        <v>2257</v>
      </c>
      <c r="E46" s="26" t="s">
        <v>2296</v>
      </c>
      <c r="F46" s="82">
        <v>36</v>
      </c>
      <c r="G46" s="83" t="s">
        <v>622</v>
      </c>
      <c r="H46" s="84">
        <v>36</v>
      </c>
      <c r="I46" s="80" t="s">
        <v>2607</v>
      </c>
      <c r="J46" s="80"/>
      <c r="L46">
        <v>41532</v>
      </c>
      <c r="M46" s="87">
        <f t="shared" si="0"/>
        <v>41496</v>
      </c>
      <c r="R46" t="str">
        <f t="shared" si="2"/>
        <v/>
      </c>
    </row>
    <row r="47" spans="1:25" x14ac:dyDescent="0.25">
      <c r="A47" s="78">
        <v>46029</v>
      </c>
      <c r="B47" s="79" t="s">
        <v>2652</v>
      </c>
      <c r="C47" s="80" t="s">
        <v>2252</v>
      </c>
      <c r="D47" s="81" t="s">
        <v>962</v>
      </c>
      <c r="E47" s="26" t="s">
        <v>963</v>
      </c>
      <c r="F47" s="82">
        <v>42</v>
      </c>
      <c r="G47" s="83" t="s">
        <v>622</v>
      </c>
      <c r="H47" s="84">
        <v>42</v>
      </c>
      <c r="I47" s="80" t="s">
        <v>2607</v>
      </c>
      <c r="J47" s="80"/>
      <c r="L47">
        <v>34050</v>
      </c>
      <c r="M47" s="87">
        <f t="shared" si="0"/>
        <v>34008</v>
      </c>
      <c r="R47" t="str">
        <f t="shared" si="2"/>
        <v/>
      </c>
    </row>
    <row r="48" spans="1:25" x14ac:dyDescent="0.25">
      <c r="A48" s="78">
        <v>46029</v>
      </c>
      <c r="B48" s="79" t="s">
        <v>2652</v>
      </c>
      <c r="C48" s="80" t="s">
        <v>2274</v>
      </c>
      <c r="D48" s="81" t="s">
        <v>976</v>
      </c>
      <c r="E48" s="26" t="s">
        <v>977</v>
      </c>
      <c r="F48" s="82">
        <v>32</v>
      </c>
      <c r="G48" s="83" t="s">
        <v>622</v>
      </c>
      <c r="H48" s="84">
        <v>32</v>
      </c>
      <c r="I48" s="80" t="s">
        <v>2607</v>
      </c>
      <c r="J48" s="80"/>
      <c r="L48">
        <v>29848</v>
      </c>
      <c r="M48" s="87">
        <f t="shared" si="0"/>
        <v>29816</v>
      </c>
      <c r="R48" t="str">
        <f t="shared" si="2"/>
        <v/>
      </c>
    </row>
    <row r="49" spans="1:18" x14ac:dyDescent="0.25">
      <c r="A49" s="78">
        <v>46029</v>
      </c>
      <c r="B49" s="79" t="s">
        <v>2652</v>
      </c>
      <c r="C49" s="80" t="s">
        <v>2288</v>
      </c>
      <c r="D49" s="81">
        <v>2253</v>
      </c>
      <c r="E49" s="26" t="s">
        <v>1016</v>
      </c>
      <c r="F49" s="82">
        <v>60</v>
      </c>
      <c r="G49" s="83" t="s">
        <v>622</v>
      </c>
      <c r="H49" s="84">
        <v>60</v>
      </c>
      <c r="I49" s="80" t="s">
        <v>2607</v>
      </c>
      <c r="J49" s="80"/>
      <c r="L49">
        <v>85860</v>
      </c>
      <c r="M49" s="87">
        <f t="shared" si="0"/>
        <v>85800</v>
      </c>
      <c r="R49" t="str">
        <f t="shared" si="2"/>
        <v/>
      </c>
    </row>
    <row r="50" spans="1:18" x14ac:dyDescent="0.25">
      <c r="A50" s="78">
        <v>46029</v>
      </c>
      <c r="B50" s="79" t="s">
        <v>2652</v>
      </c>
      <c r="C50" s="80" t="s">
        <v>2240</v>
      </c>
      <c r="D50" s="81">
        <v>2203</v>
      </c>
      <c r="E50" s="26" t="s">
        <v>886</v>
      </c>
      <c r="F50" s="82">
        <v>60</v>
      </c>
      <c r="G50" s="83" t="s">
        <v>622</v>
      </c>
      <c r="H50" s="84">
        <v>60</v>
      </c>
      <c r="I50" s="80" t="s">
        <v>2607</v>
      </c>
      <c r="J50" s="80"/>
      <c r="L50">
        <v>37264</v>
      </c>
      <c r="M50" s="87">
        <f t="shared" si="0"/>
        <v>37204</v>
      </c>
      <c r="R50" t="str">
        <f t="shared" si="2"/>
        <v/>
      </c>
    </row>
    <row r="51" spans="1:18" x14ac:dyDescent="0.25">
      <c r="A51" s="78">
        <v>46029</v>
      </c>
      <c r="B51" s="79" t="s">
        <v>2652</v>
      </c>
      <c r="C51" s="80" t="s">
        <v>2285</v>
      </c>
      <c r="D51" s="81">
        <v>2251</v>
      </c>
      <c r="E51" s="26" t="s">
        <v>2286</v>
      </c>
      <c r="F51" s="82">
        <v>47</v>
      </c>
      <c r="G51" s="83" t="s">
        <v>622</v>
      </c>
      <c r="H51" s="84">
        <v>47</v>
      </c>
      <c r="I51" s="80" t="s">
        <v>2607</v>
      </c>
      <c r="J51" s="80"/>
      <c r="L51">
        <v>89466</v>
      </c>
      <c r="M51" s="87">
        <f t="shared" si="0"/>
        <v>89419</v>
      </c>
      <c r="R51" t="str">
        <f t="shared" si="2"/>
        <v/>
      </c>
    </row>
    <row r="52" spans="1:18" x14ac:dyDescent="0.25">
      <c r="A52" s="78">
        <v>46029</v>
      </c>
      <c r="B52" s="79" t="s">
        <v>2617</v>
      </c>
      <c r="C52" s="80" t="s">
        <v>2653</v>
      </c>
      <c r="D52" s="81">
        <v>5150010450</v>
      </c>
      <c r="E52" s="26" t="s">
        <v>2619</v>
      </c>
      <c r="F52" s="82">
        <v>2256</v>
      </c>
      <c r="G52" s="83" t="s">
        <v>619</v>
      </c>
      <c r="H52" s="84">
        <v>2256</v>
      </c>
      <c r="I52" s="80" t="s">
        <v>2607</v>
      </c>
      <c r="J52" s="80"/>
      <c r="L52">
        <v>176640</v>
      </c>
      <c r="M52" s="87">
        <f t="shared" si="0"/>
        <v>174384</v>
      </c>
      <c r="R52" t="str">
        <f t="shared" si="2"/>
        <v/>
      </c>
    </row>
    <row r="53" spans="1:18" x14ac:dyDescent="0.25">
      <c r="A53" s="78">
        <v>46029</v>
      </c>
      <c r="B53" s="79" t="s">
        <v>2614</v>
      </c>
      <c r="C53" s="80" t="s">
        <v>2654</v>
      </c>
      <c r="D53" s="81">
        <v>900114</v>
      </c>
      <c r="E53" s="26" t="s">
        <v>2655</v>
      </c>
      <c r="F53" s="82">
        <v>720</v>
      </c>
      <c r="G53" s="83" t="s">
        <v>619</v>
      </c>
      <c r="H53" s="84">
        <v>720</v>
      </c>
      <c r="I53" s="80" t="s">
        <v>2607</v>
      </c>
      <c r="J53" s="80"/>
      <c r="L53">
        <v>66384</v>
      </c>
      <c r="M53" s="87">
        <f t="shared" si="0"/>
        <v>65664</v>
      </c>
      <c r="R53" t="str">
        <f t="shared" si="2"/>
        <v/>
      </c>
    </row>
    <row r="54" spans="1:18" x14ac:dyDescent="0.25">
      <c r="A54" s="78">
        <v>46029</v>
      </c>
      <c r="B54" s="79" t="s">
        <v>2611</v>
      </c>
      <c r="C54" s="80" t="s">
        <v>2656</v>
      </c>
      <c r="D54" s="81">
        <v>9011232</v>
      </c>
      <c r="E54" s="26" t="s">
        <v>2657</v>
      </c>
      <c r="F54" s="82">
        <v>1250</v>
      </c>
      <c r="G54" s="83" t="s">
        <v>619</v>
      </c>
      <c r="H54" s="84">
        <v>1250</v>
      </c>
      <c r="I54" s="80" t="s">
        <v>2607</v>
      </c>
      <c r="J54" s="80"/>
      <c r="L54">
        <v>14232</v>
      </c>
      <c r="M54" s="87">
        <f t="shared" si="0"/>
        <v>12982</v>
      </c>
      <c r="R54" t="str">
        <f t="shared" si="2"/>
        <v/>
      </c>
    </row>
    <row r="55" spans="1:18" x14ac:dyDescent="0.25">
      <c r="A55" s="78">
        <v>46029</v>
      </c>
      <c r="B55" s="79" t="s">
        <v>2658</v>
      </c>
      <c r="C55" s="80" t="s">
        <v>2176</v>
      </c>
      <c r="D55" s="81" t="s">
        <v>639</v>
      </c>
      <c r="E55" s="26" t="s">
        <v>640</v>
      </c>
      <c r="F55" s="82">
        <v>2500</v>
      </c>
      <c r="G55" s="83" t="s">
        <v>619</v>
      </c>
      <c r="H55" s="84">
        <v>2500</v>
      </c>
      <c r="I55" s="80" t="s">
        <v>2607</v>
      </c>
      <c r="J55" s="80"/>
      <c r="L55">
        <v>56112</v>
      </c>
      <c r="M55" s="87">
        <f t="shared" si="0"/>
        <v>53612</v>
      </c>
      <c r="R55" t="str">
        <f t="shared" si="2"/>
        <v/>
      </c>
    </row>
    <row r="56" spans="1:18" x14ac:dyDescent="0.25">
      <c r="A56" s="78">
        <v>46029</v>
      </c>
      <c r="B56" s="79" t="s">
        <v>2652</v>
      </c>
      <c r="C56" s="80" t="s">
        <v>2273</v>
      </c>
      <c r="D56" s="81">
        <v>2241</v>
      </c>
      <c r="E56" s="26" t="s">
        <v>893</v>
      </c>
      <c r="F56" s="82">
        <v>60</v>
      </c>
      <c r="G56" s="83" t="s">
        <v>622</v>
      </c>
      <c r="H56" s="84">
        <v>60</v>
      </c>
      <c r="I56" s="80" t="s">
        <v>2607</v>
      </c>
      <c r="J56" s="80"/>
      <c r="L56">
        <v>20450</v>
      </c>
      <c r="M56" s="87">
        <f t="shared" si="0"/>
        <v>20390</v>
      </c>
    </row>
    <row r="57" spans="1:18" x14ac:dyDescent="0.25">
      <c r="A57" s="78">
        <v>46029</v>
      </c>
      <c r="B57" s="79" t="s">
        <v>2652</v>
      </c>
      <c r="C57" s="80" t="s">
        <v>2265</v>
      </c>
      <c r="D57" s="81" t="s">
        <v>970</v>
      </c>
      <c r="E57" s="26" t="s">
        <v>971</v>
      </c>
      <c r="F57" s="82">
        <v>21</v>
      </c>
      <c r="G57" s="83" t="s">
        <v>622</v>
      </c>
      <c r="H57" s="84">
        <v>21</v>
      </c>
      <c r="I57" s="80" t="s">
        <v>2607</v>
      </c>
      <c r="J57" s="80"/>
      <c r="L57">
        <v>53544</v>
      </c>
      <c r="M57" s="87">
        <f t="shared" si="0"/>
        <v>53523</v>
      </c>
    </row>
    <row r="58" spans="1:18" x14ac:dyDescent="0.25">
      <c r="A58" s="78">
        <v>46029</v>
      </c>
      <c r="B58" s="79" t="s">
        <v>2652</v>
      </c>
      <c r="C58" s="80" t="s">
        <v>2236</v>
      </c>
      <c r="D58" s="81">
        <v>2201</v>
      </c>
      <c r="E58" s="26" t="s">
        <v>879</v>
      </c>
      <c r="F58" s="82">
        <v>60</v>
      </c>
      <c r="G58" s="83" t="s">
        <v>622</v>
      </c>
      <c r="H58" s="84">
        <v>60</v>
      </c>
      <c r="I58" s="80" t="s">
        <v>2607</v>
      </c>
      <c r="J58" s="80"/>
      <c r="L58">
        <v>138240</v>
      </c>
      <c r="M58" s="87">
        <f t="shared" si="0"/>
        <v>138180</v>
      </c>
    </row>
    <row r="59" spans="1:18" x14ac:dyDescent="0.25">
      <c r="A59" s="78">
        <v>46029</v>
      </c>
      <c r="B59" s="79" t="s">
        <v>2652</v>
      </c>
      <c r="C59" s="80" t="s">
        <v>2247</v>
      </c>
      <c r="D59" s="81">
        <v>2207</v>
      </c>
      <c r="E59" s="26" t="s">
        <v>887</v>
      </c>
      <c r="F59" s="82">
        <v>60</v>
      </c>
      <c r="G59" s="83" t="s">
        <v>622</v>
      </c>
      <c r="H59" s="84">
        <v>60</v>
      </c>
      <c r="I59" s="80" t="s">
        <v>2607</v>
      </c>
      <c r="J59" s="80"/>
      <c r="L59">
        <v>221250</v>
      </c>
      <c r="M59" s="87">
        <f t="shared" si="0"/>
        <v>221190</v>
      </c>
    </row>
    <row r="60" spans="1:18" x14ac:dyDescent="0.25">
      <c r="A60" s="78">
        <v>46029</v>
      </c>
      <c r="B60" s="79" t="s">
        <v>2652</v>
      </c>
      <c r="C60" s="80" t="s">
        <v>2271</v>
      </c>
      <c r="D60" s="81" t="s">
        <v>974</v>
      </c>
      <c r="E60" s="26" t="s">
        <v>975</v>
      </c>
      <c r="F60" s="82">
        <v>34</v>
      </c>
      <c r="G60" s="83" t="s">
        <v>622</v>
      </c>
      <c r="H60" s="84">
        <v>34</v>
      </c>
      <c r="I60" s="80" t="s">
        <v>2607</v>
      </c>
      <c r="J60" s="80"/>
      <c r="L60">
        <v>75600</v>
      </c>
      <c r="M60" s="87">
        <f t="shared" si="0"/>
        <v>75566</v>
      </c>
    </row>
    <row r="61" spans="1:18" x14ac:dyDescent="0.25">
      <c r="A61" s="78">
        <v>46029</v>
      </c>
      <c r="B61" s="79" t="s">
        <v>2652</v>
      </c>
      <c r="C61" s="80" t="s">
        <v>2237</v>
      </c>
      <c r="D61" s="81" t="s">
        <v>954</v>
      </c>
      <c r="E61" s="26" t="s">
        <v>955</v>
      </c>
      <c r="F61" s="82">
        <v>70</v>
      </c>
      <c r="G61" s="83" t="s">
        <v>622</v>
      </c>
      <c r="H61" s="84">
        <v>70</v>
      </c>
      <c r="I61" s="80" t="s">
        <v>2607</v>
      </c>
      <c r="J61" s="80"/>
      <c r="L61">
        <v>23760</v>
      </c>
      <c r="M61" s="87">
        <f t="shared" si="0"/>
        <v>23690</v>
      </c>
    </row>
    <row r="62" spans="1:18" x14ac:dyDescent="0.25">
      <c r="A62" s="78">
        <v>46029</v>
      </c>
      <c r="B62" s="79">
        <v>7002</v>
      </c>
      <c r="C62" s="80" t="s">
        <v>2659</v>
      </c>
      <c r="D62" s="81">
        <v>931102</v>
      </c>
      <c r="E62" s="26" t="s">
        <v>2660</v>
      </c>
      <c r="F62" s="82">
        <v>1828</v>
      </c>
      <c r="G62" s="83" t="s">
        <v>619</v>
      </c>
      <c r="H62" s="84">
        <v>1828</v>
      </c>
      <c r="I62" s="80" t="s">
        <v>2607</v>
      </c>
      <c r="J62" s="80"/>
      <c r="L62">
        <v>88584</v>
      </c>
      <c r="M62" s="87">
        <f t="shared" si="0"/>
        <v>86756</v>
      </c>
    </row>
    <row r="63" spans="1:18" x14ac:dyDescent="0.25">
      <c r="A63" s="78">
        <v>46029</v>
      </c>
      <c r="B63" s="79" t="s">
        <v>688</v>
      </c>
      <c r="C63" s="80" t="s">
        <v>2661</v>
      </c>
      <c r="D63" s="81">
        <v>7746</v>
      </c>
      <c r="E63" s="26" t="s">
        <v>692</v>
      </c>
      <c r="F63" s="82">
        <v>68000</v>
      </c>
      <c r="G63" s="83" t="s">
        <v>622</v>
      </c>
      <c r="H63" s="84">
        <v>68000</v>
      </c>
      <c r="I63" s="80" t="s">
        <v>2633</v>
      </c>
      <c r="J63" s="80"/>
      <c r="L63">
        <v>58350</v>
      </c>
      <c r="M63" s="87">
        <f t="shared" si="0"/>
        <v>-9650</v>
      </c>
    </row>
    <row r="64" spans="1:18" x14ac:dyDescent="0.25">
      <c r="A64" s="78">
        <v>46029</v>
      </c>
      <c r="B64" s="79" t="s">
        <v>682</v>
      </c>
      <c r="C64" s="80" t="s">
        <v>2662</v>
      </c>
      <c r="D64" s="81">
        <v>7297</v>
      </c>
      <c r="E64" s="26" t="s">
        <v>684</v>
      </c>
      <c r="F64" s="82">
        <v>30000</v>
      </c>
      <c r="G64" s="83" t="s">
        <v>622</v>
      </c>
      <c r="H64" s="84">
        <v>30000</v>
      </c>
      <c r="I64" s="80" t="s">
        <v>2633</v>
      </c>
      <c r="J64" s="80"/>
      <c r="M64" s="87"/>
    </row>
    <row r="65" spans="1:13" x14ac:dyDescent="0.25">
      <c r="A65" s="78">
        <v>46029</v>
      </c>
      <c r="B65" s="79" t="s">
        <v>679</v>
      </c>
      <c r="C65" s="80" t="s">
        <v>1501</v>
      </c>
      <c r="D65" s="81">
        <v>7213</v>
      </c>
      <c r="E65" s="26" t="s">
        <v>719</v>
      </c>
      <c r="F65" s="82">
        <v>85000</v>
      </c>
      <c r="G65" s="83" t="s">
        <v>622</v>
      </c>
      <c r="H65" s="84">
        <v>85000</v>
      </c>
      <c r="I65" s="80" t="s">
        <v>2633</v>
      </c>
      <c r="J65" s="80"/>
      <c r="M65" s="87"/>
    </row>
    <row r="66" spans="1:13" x14ac:dyDescent="0.25">
      <c r="A66" s="78">
        <v>46029</v>
      </c>
      <c r="B66" s="79" t="s">
        <v>712</v>
      </c>
      <c r="C66" s="80" t="s">
        <v>1458</v>
      </c>
      <c r="D66" s="81" t="s">
        <v>1128</v>
      </c>
      <c r="E66" s="26" t="s">
        <v>781</v>
      </c>
      <c r="F66" s="82">
        <v>40000</v>
      </c>
      <c r="G66" s="83" t="s">
        <v>622</v>
      </c>
      <c r="H66" s="84">
        <v>40000</v>
      </c>
      <c r="I66" s="80" t="s">
        <v>2607</v>
      </c>
      <c r="J66" s="80"/>
      <c r="M66" s="87"/>
    </row>
    <row r="67" spans="1:13" x14ac:dyDescent="0.25">
      <c r="A67" s="78">
        <v>46029</v>
      </c>
      <c r="B67" s="79" t="s">
        <v>2624</v>
      </c>
      <c r="C67" s="80" t="s">
        <v>2663</v>
      </c>
      <c r="D67" s="81" t="s">
        <v>2626</v>
      </c>
      <c r="E67" s="26" t="s">
        <v>2627</v>
      </c>
      <c r="F67" s="82">
        <v>3505</v>
      </c>
      <c r="G67" s="83" t="s">
        <v>619</v>
      </c>
      <c r="H67" s="84">
        <v>3505</v>
      </c>
      <c r="I67" s="80" t="s">
        <v>2607</v>
      </c>
      <c r="J67" s="80"/>
      <c r="M67" s="87"/>
    </row>
    <row r="68" spans="1:13" x14ac:dyDescent="0.25">
      <c r="A68" s="78">
        <v>46029</v>
      </c>
      <c r="B68" s="79" t="s">
        <v>715</v>
      </c>
      <c r="C68" s="80" t="s">
        <v>2664</v>
      </c>
      <c r="D68" s="81">
        <v>7185</v>
      </c>
      <c r="E68" s="26" t="s">
        <v>717</v>
      </c>
      <c r="F68" s="82">
        <v>55000</v>
      </c>
      <c r="G68" s="83" t="s">
        <v>622</v>
      </c>
      <c r="H68" s="84">
        <v>55000</v>
      </c>
      <c r="I68" s="80" t="s">
        <v>2633</v>
      </c>
      <c r="J68" s="80"/>
      <c r="M68" s="87"/>
    </row>
    <row r="69" spans="1:13" x14ac:dyDescent="0.25">
      <c r="A69" s="78">
        <v>46029</v>
      </c>
      <c r="B69" s="79" t="s">
        <v>2665</v>
      </c>
      <c r="C69" s="80" t="s">
        <v>2193</v>
      </c>
      <c r="D69" s="81" t="s">
        <v>916</v>
      </c>
      <c r="E69" s="26" t="s">
        <v>2666</v>
      </c>
      <c r="F69" s="82">
        <v>6500</v>
      </c>
      <c r="G69" s="83" t="s">
        <v>619</v>
      </c>
      <c r="H69" s="84">
        <v>6500</v>
      </c>
      <c r="I69" s="80" t="s">
        <v>2607</v>
      </c>
      <c r="J69" s="80"/>
      <c r="M69" s="87"/>
    </row>
    <row r="70" spans="1:13" x14ac:dyDescent="0.25">
      <c r="A70" s="78">
        <v>46029</v>
      </c>
      <c r="B70" s="79" t="s">
        <v>2665</v>
      </c>
      <c r="C70" s="80" t="s">
        <v>2192</v>
      </c>
      <c r="D70" s="81" t="s">
        <v>916</v>
      </c>
      <c r="E70" s="26" t="s">
        <v>2666</v>
      </c>
      <c r="F70" s="82">
        <v>6500</v>
      </c>
      <c r="G70" s="83" t="s">
        <v>619</v>
      </c>
      <c r="H70" s="84">
        <v>6500</v>
      </c>
      <c r="I70" s="80" t="s">
        <v>2607</v>
      </c>
      <c r="J70" s="80"/>
      <c r="M70" s="87"/>
    </row>
    <row r="71" spans="1:13" x14ac:dyDescent="0.25">
      <c r="A71" s="78">
        <v>46029</v>
      </c>
      <c r="B71" s="79" t="s">
        <v>685</v>
      </c>
      <c r="C71" s="80" t="s">
        <v>2667</v>
      </c>
      <c r="D71" s="81">
        <v>7374</v>
      </c>
      <c r="E71" s="26" t="s">
        <v>785</v>
      </c>
      <c r="F71" s="82">
        <v>25000</v>
      </c>
      <c r="G71" s="83" t="s">
        <v>622</v>
      </c>
      <c r="H71" s="84">
        <v>25000</v>
      </c>
      <c r="I71" s="80" t="s">
        <v>2633</v>
      </c>
      <c r="J71" s="80"/>
      <c r="M71" s="87"/>
    </row>
    <row r="72" spans="1:13" x14ac:dyDescent="0.25">
      <c r="A72" s="78">
        <v>46029</v>
      </c>
      <c r="B72" s="79" t="s">
        <v>2608</v>
      </c>
      <c r="C72" s="80" t="s">
        <v>2126</v>
      </c>
      <c r="D72" s="81">
        <v>7154</v>
      </c>
      <c r="E72" s="26" t="s">
        <v>631</v>
      </c>
      <c r="F72" s="82">
        <v>95000</v>
      </c>
      <c r="G72" s="83" t="s">
        <v>622</v>
      </c>
      <c r="H72" s="84">
        <v>95000</v>
      </c>
      <c r="I72" s="80" t="s">
        <v>2609</v>
      </c>
      <c r="M72" s="87"/>
    </row>
    <row r="73" spans="1:13" x14ac:dyDescent="0.25">
      <c r="A73" s="78">
        <v>46029</v>
      </c>
      <c r="B73" s="79" t="s">
        <v>2610</v>
      </c>
      <c r="C73" s="80" t="s">
        <v>2221</v>
      </c>
      <c r="D73" s="81">
        <v>520860</v>
      </c>
      <c r="E73" s="26" t="s">
        <v>1388</v>
      </c>
      <c r="F73" s="82">
        <v>14584</v>
      </c>
      <c r="G73" s="83" t="s">
        <v>619</v>
      </c>
      <c r="H73" s="84">
        <v>14584</v>
      </c>
      <c r="I73" s="80" t="s">
        <v>2607</v>
      </c>
      <c r="J73" s="80"/>
      <c r="M73" s="87"/>
    </row>
    <row r="74" spans="1:13" x14ac:dyDescent="0.25">
      <c r="A74" s="78">
        <v>46029</v>
      </c>
      <c r="B74" s="79" t="s">
        <v>2621</v>
      </c>
      <c r="C74" s="80" t="s">
        <v>2668</v>
      </c>
      <c r="D74" s="81" t="s">
        <v>2669</v>
      </c>
      <c r="E74" s="26" t="s">
        <v>2670</v>
      </c>
      <c r="F74" s="82">
        <v>7105</v>
      </c>
      <c r="G74" s="83" t="s">
        <v>619</v>
      </c>
      <c r="H74" s="84">
        <v>7105</v>
      </c>
      <c r="I74" s="80" t="s">
        <v>2607</v>
      </c>
      <c r="J74" s="80"/>
      <c r="M74" s="87"/>
    </row>
    <row r="75" spans="1:13" x14ac:dyDescent="0.25">
      <c r="A75" s="78">
        <v>46029</v>
      </c>
      <c r="B75" s="79" t="s">
        <v>81</v>
      </c>
      <c r="C75" s="80" t="s">
        <v>2671</v>
      </c>
      <c r="D75" s="81">
        <v>2246</v>
      </c>
      <c r="E75" s="26" t="s">
        <v>764</v>
      </c>
      <c r="F75" s="82">
        <v>172</v>
      </c>
      <c r="G75" s="83" t="s">
        <v>622</v>
      </c>
      <c r="H75" s="84">
        <v>172</v>
      </c>
      <c r="I75" s="80" t="s">
        <v>2607</v>
      </c>
      <c r="J75" s="80"/>
      <c r="M75" s="87"/>
    </row>
    <row r="76" spans="1:13" x14ac:dyDescent="0.25">
      <c r="A76" s="78">
        <v>46029</v>
      </c>
      <c r="B76" s="79" t="s">
        <v>81</v>
      </c>
      <c r="C76" s="80" t="s">
        <v>2672</v>
      </c>
      <c r="D76" s="81">
        <v>2240</v>
      </c>
      <c r="E76" s="26" t="s">
        <v>762</v>
      </c>
      <c r="F76" s="82">
        <v>208</v>
      </c>
      <c r="G76" s="83" t="s">
        <v>622</v>
      </c>
      <c r="H76" s="84">
        <v>208</v>
      </c>
      <c r="I76" s="80" t="s">
        <v>2607</v>
      </c>
      <c r="J76" s="80"/>
      <c r="M76" s="87"/>
    </row>
    <row r="77" spans="1:13" x14ac:dyDescent="0.25">
      <c r="A77" s="78">
        <v>46029</v>
      </c>
      <c r="B77" s="79" t="s">
        <v>2652</v>
      </c>
      <c r="C77" s="80" t="s">
        <v>2255</v>
      </c>
      <c r="D77" s="81" t="s">
        <v>964</v>
      </c>
      <c r="E77" s="26" t="s">
        <v>965</v>
      </c>
      <c r="F77" s="82">
        <v>70</v>
      </c>
      <c r="G77" s="83" t="s">
        <v>622</v>
      </c>
      <c r="H77" s="84">
        <v>70</v>
      </c>
      <c r="I77" s="80" t="s">
        <v>2607</v>
      </c>
      <c r="M77" s="87"/>
    </row>
    <row r="78" spans="1:13" x14ac:dyDescent="0.25">
      <c r="A78" s="78">
        <v>46029</v>
      </c>
      <c r="B78" s="79" t="s">
        <v>2652</v>
      </c>
      <c r="C78" s="80" t="s">
        <v>2251</v>
      </c>
      <c r="D78" s="81">
        <v>2209</v>
      </c>
      <c r="E78" s="26" t="s">
        <v>888</v>
      </c>
      <c r="F78" s="82">
        <v>60</v>
      </c>
      <c r="G78" s="83" t="s">
        <v>622</v>
      </c>
      <c r="H78" s="84">
        <v>60</v>
      </c>
      <c r="I78" s="80" t="s">
        <v>2607</v>
      </c>
      <c r="J78" s="80"/>
      <c r="M78" s="87"/>
    </row>
    <row r="79" spans="1:13" x14ac:dyDescent="0.25">
      <c r="A79" s="78">
        <v>46029</v>
      </c>
      <c r="B79" s="180" t="s">
        <v>2652</v>
      </c>
      <c r="C79" s="80" t="s">
        <v>2243</v>
      </c>
      <c r="D79" s="81">
        <v>2205</v>
      </c>
      <c r="E79" s="26" t="s">
        <v>880</v>
      </c>
      <c r="F79" s="82">
        <v>60</v>
      </c>
      <c r="G79" s="83" t="s">
        <v>622</v>
      </c>
      <c r="H79" s="84">
        <v>60</v>
      </c>
      <c r="I79" s="80" t="s">
        <v>2607</v>
      </c>
      <c r="J79" s="80"/>
      <c r="M79" s="87"/>
    </row>
    <row r="80" spans="1:13" x14ac:dyDescent="0.25">
      <c r="A80" s="78">
        <v>46029</v>
      </c>
      <c r="B80" s="79" t="s">
        <v>81</v>
      </c>
      <c r="C80" s="80" t="s">
        <v>2673</v>
      </c>
      <c r="D80" s="81">
        <v>2230</v>
      </c>
      <c r="E80" s="26" t="s">
        <v>749</v>
      </c>
      <c r="F80" s="82">
        <v>192</v>
      </c>
      <c r="G80" s="83" t="s">
        <v>622</v>
      </c>
      <c r="H80" s="84">
        <v>192</v>
      </c>
      <c r="I80" s="80" t="s">
        <v>2607</v>
      </c>
      <c r="J80" s="80"/>
      <c r="M80" s="87"/>
    </row>
    <row r="81" spans="1:13" x14ac:dyDescent="0.25">
      <c r="A81" s="78">
        <v>46029</v>
      </c>
      <c r="B81" s="79" t="s">
        <v>81</v>
      </c>
      <c r="C81" s="80" t="s">
        <v>2674</v>
      </c>
      <c r="D81" s="81">
        <v>2236</v>
      </c>
      <c r="E81" s="26" t="s">
        <v>791</v>
      </c>
      <c r="F81" s="82">
        <v>172</v>
      </c>
      <c r="G81" s="83" t="s">
        <v>622</v>
      </c>
      <c r="H81" s="84">
        <v>172</v>
      </c>
      <c r="I81" s="80" t="s">
        <v>2607</v>
      </c>
      <c r="J81" s="80"/>
      <c r="M81" s="87"/>
    </row>
    <row r="82" spans="1:13" x14ac:dyDescent="0.25">
      <c r="A82" s="78">
        <v>46029</v>
      </c>
      <c r="B82" s="79" t="s">
        <v>81</v>
      </c>
      <c r="C82" s="80" t="s">
        <v>2675</v>
      </c>
      <c r="D82" s="81">
        <v>2238</v>
      </c>
      <c r="E82" s="26" t="s">
        <v>760</v>
      </c>
      <c r="F82" s="82">
        <v>172</v>
      </c>
      <c r="G82" s="83" t="s">
        <v>622</v>
      </c>
      <c r="H82" s="84">
        <v>172</v>
      </c>
      <c r="I82" s="80" t="s">
        <v>2607</v>
      </c>
      <c r="J82" s="80"/>
      <c r="M82" s="87"/>
    </row>
    <row r="83" spans="1:13" x14ac:dyDescent="0.25">
      <c r="A83" s="78">
        <v>46029</v>
      </c>
      <c r="B83" s="79" t="s">
        <v>81</v>
      </c>
      <c r="C83" s="80" t="s">
        <v>2676</v>
      </c>
      <c r="D83" s="81">
        <v>2232</v>
      </c>
      <c r="E83" s="26" t="s">
        <v>778</v>
      </c>
      <c r="F83" s="82">
        <v>172</v>
      </c>
      <c r="G83" s="83" t="s">
        <v>622</v>
      </c>
      <c r="H83" s="84">
        <v>172</v>
      </c>
      <c r="I83" s="80" t="s">
        <v>2607</v>
      </c>
      <c r="J83" s="80"/>
      <c r="M83" s="87"/>
    </row>
    <row r="84" spans="1:13" x14ac:dyDescent="0.25">
      <c r="A84" s="78">
        <v>46029</v>
      </c>
      <c r="B84" s="79" t="s">
        <v>81</v>
      </c>
      <c r="C84" s="80" t="s">
        <v>2677</v>
      </c>
      <c r="D84" s="81">
        <v>2250</v>
      </c>
      <c r="E84" s="26" t="s">
        <v>797</v>
      </c>
      <c r="F84" s="82">
        <v>168</v>
      </c>
      <c r="G84" s="83" t="s">
        <v>622</v>
      </c>
      <c r="H84" s="84">
        <v>168</v>
      </c>
      <c r="I84" s="80" t="s">
        <v>2607</v>
      </c>
      <c r="J84" s="80"/>
      <c r="M84" s="87"/>
    </row>
    <row r="85" spans="1:13" x14ac:dyDescent="0.25">
      <c r="A85" s="78">
        <v>46029</v>
      </c>
      <c r="B85" s="180" t="s">
        <v>81</v>
      </c>
      <c r="C85" s="80" t="s">
        <v>2678</v>
      </c>
      <c r="D85" s="81">
        <v>2234</v>
      </c>
      <c r="E85" s="26" t="s">
        <v>789</v>
      </c>
      <c r="F85" s="82">
        <v>172</v>
      </c>
      <c r="G85" s="83" t="s">
        <v>622</v>
      </c>
      <c r="H85" s="84">
        <v>172</v>
      </c>
      <c r="I85" s="80" t="s">
        <v>2607</v>
      </c>
      <c r="J85" s="80"/>
      <c r="M85" s="87"/>
    </row>
    <row r="86" spans="1:13" x14ac:dyDescent="0.25">
      <c r="A86" s="78">
        <v>46029</v>
      </c>
      <c r="B86" s="79" t="s">
        <v>81</v>
      </c>
      <c r="C86" s="80" t="s">
        <v>2679</v>
      </c>
      <c r="D86" s="81">
        <v>2242</v>
      </c>
      <c r="E86" s="26" t="s">
        <v>793</v>
      </c>
      <c r="F86" s="82">
        <v>172</v>
      </c>
      <c r="G86" s="83" t="s">
        <v>622</v>
      </c>
      <c r="H86" s="84">
        <v>172</v>
      </c>
      <c r="I86" s="80" t="s">
        <v>2607</v>
      </c>
      <c r="J86" s="80"/>
      <c r="M86" s="87"/>
    </row>
    <row r="87" spans="1:13" x14ac:dyDescent="0.25">
      <c r="A87" s="78">
        <v>46029</v>
      </c>
      <c r="B87" s="79" t="s">
        <v>2652</v>
      </c>
      <c r="C87" s="80" t="s">
        <v>2297</v>
      </c>
      <c r="D87" s="81" t="s">
        <v>992</v>
      </c>
      <c r="E87" s="26" t="s">
        <v>993</v>
      </c>
      <c r="F87" s="82">
        <v>42</v>
      </c>
      <c r="G87" s="83" t="s">
        <v>622</v>
      </c>
      <c r="H87" s="84">
        <v>42</v>
      </c>
      <c r="I87" s="80" t="s">
        <v>2607</v>
      </c>
      <c r="J87" s="80"/>
      <c r="M87" s="87"/>
    </row>
    <row r="88" spans="1:13" x14ac:dyDescent="0.25">
      <c r="A88" s="78">
        <v>46030</v>
      </c>
      <c r="B88" s="79" t="s">
        <v>2652</v>
      </c>
      <c r="C88" s="80" t="s">
        <v>2337</v>
      </c>
      <c r="D88" s="81">
        <v>2251</v>
      </c>
      <c r="E88" s="26" t="s">
        <v>2286</v>
      </c>
      <c r="F88" s="82">
        <v>168</v>
      </c>
      <c r="G88" s="83" t="s">
        <v>622</v>
      </c>
      <c r="H88" s="84">
        <v>168</v>
      </c>
      <c r="I88" s="80" t="s">
        <v>2607</v>
      </c>
      <c r="J88" s="80"/>
      <c r="M88" s="87"/>
    </row>
    <row r="89" spans="1:13" x14ac:dyDescent="0.25">
      <c r="A89" s="78">
        <v>46030</v>
      </c>
      <c r="B89" s="79" t="s">
        <v>2652</v>
      </c>
      <c r="C89" s="80" t="s">
        <v>2332</v>
      </c>
      <c r="D89" s="81">
        <v>2235</v>
      </c>
      <c r="E89" s="26" t="s">
        <v>1013</v>
      </c>
      <c r="F89" s="82">
        <v>84</v>
      </c>
      <c r="G89" s="83" t="s">
        <v>622</v>
      </c>
      <c r="H89" s="84">
        <v>84</v>
      </c>
      <c r="I89" s="80" t="s">
        <v>2607</v>
      </c>
      <c r="J89" s="80"/>
      <c r="M89" s="87"/>
    </row>
    <row r="90" spans="1:13" x14ac:dyDescent="0.25">
      <c r="A90" s="78">
        <v>46030</v>
      </c>
      <c r="B90" s="79" t="s">
        <v>2652</v>
      </c>
      <c r="C90" s="80" t="s">
        <v>2336</v>
      </c>
      <c r="D90" s="81">
        <v>2247</v>
      </c>
      <c r="E90" s="26" t="s">
        <v>1014</v>
      </c>
      <c r="F90" s="82">
        <v>168</v>
      </c>
      <c r="G90" s="83" t="s">
        <v>622</v>
      </c>
      <c r="H90" s="84">
        <v>168</v>
      </c>
      <c r="I90" s="80" t="s">
        <v>2607</v>
      </c>
      <c r="J90" s="80"/>
      <c r="M90" s="87"/>
    </row>
    <row r="91" spans="1:13" x14ac:dyDescent="0.25">
      <c r="A91" s="78">
        <v>46030</v>
      </c>
      <c r="B91" s="79" t="s">
        <v>2652</v>
      </c>
      <c r="C91" s="80" t="s">
        <v>2333</v>
      </c>
      <c r="D91" s="81">
        <v>2239</v>
      </c>
      <c r="E91" s="26" t="s">
        <v>892</v>
      </c>
      <c r="F91" s="82">
        <v>84</v>
      </c>
      <c r="G91" s="83" t="s">
        <v>622</v>
      </c>
      <c r="H91" s="84">
        <v>84</v>
      </c>
      <c r="I91" s="80" t="s">
        <v>2607</v>
      </c>
      <c r="J91" s="80"/>
      <c r="M91" s="87"/>
    </row>
    <row r="92" spans="1:13" x14ac:dyDescent="0.25">
      <c r="A92" s="78">
        <v>46030</v>
      </c>
      <c r="B92" s="79" t="s">
        <v>2652</v>
      </c>
      <c r="C92" s="80" t="s">
        <v>2330</v>
      </c>
      <c r="D92" s="81">
        <v>2213</v>
      </c>
      <c r="E92" s="26" t="s">
        <v>889</v>
      </c>
      <c r="F92" s="82">
        <v>192</v>
      </c>
      <c r="G92" s="83" t="s">
        <v>622</v>
      </c>
      <c r="H92" s="164">
        <v>192</v>
      </c>
      <c r="I92" s="80" t="s">
        <v>2607</v>
      </c>
      <c r="J92" s="80"/>
      <c r="M92" s="87"/>
    </row>
    <row r="93" spans="1:13" x14ac:dyDescent="0.25">
      <c r="A93" s="78">
        <v>46030</v>
      </c>
      <c r="B93" s="79" t="s">
        <v>2652</v>
      </c>
      <c r="C93" s="80" t="s">
        <v>2327</v>
      </c>
      <c r="D93" s="81">
        <v>2207</v>
      </c>
      <c r="E93" s="26" t="s">
        <v>887</v>
      </c>
      <c r="F93" s="82">
        <v>86</v>
      </c>
      <c r="G93" s="83" t="s">
        <v>622</v>
      </c>
      <c r="H93" s="84">
        <v>86</v>
      </c>
      <c r="I93" s="80" t="s">
        <v>2607</v>
      </c>
      <c r="J93" s="80"/>
      <c r="M93" s="87"/>
    </row>
    <row r="94" spans="1:13" x14ac:dyDescent="0.25">
      <c r="A94" s="78">
        <v>46030</v>
      </c>
      <c r="B94" s="79" t="s">
        <v>2680</v>
      </c>
      <c r="C94" s="80" t="s">
        <v>2681</v>
      </c>
      <c r="D94" s="81">
        <v>900403</v>
      </c>
      <c r="E94" s="26" t="s">
        <v>2682</v>
      </c>
      <c r="F94" s="82">
        <v>480</v>
      </c>
      <c r="G94" s="83" t="s">
        <v>619</v>
      </c>
      <c r="H94" s="84">
        <v>480</v>
      </c>
      <c r="I94" s="80" t="s">
        <v>2607</v>
      </c>
      <c r="J94" s="80"/>
      <c r="M94" s="87"/>
    </row>
    <row r="95" spans="1:13" x14ac:dyDescent="0.25">
      <c r="A95" s="78">
        <v>46030</v>
      </c>
      <c r="B95" s="79" t="s">
        <v>2652</v>
      </c>
      <c r="C95" s="80" t="s">
        <v>2328</v>
      </c>
      <c r="D95" s="81">
        <v>2209</v>
      </c>
      <c r="E95" s="26" t="s">
        <v>888</v>
      </c>
      <c r="F95" s="82">
        <v>86</v>
      </c>
      <c r="G95" s="83" t="s">
        <v>622</v>
      </c>
      <c r="H95" s="84">
        <v>86</v>
      </c>
      <c r="I95" s="80" t="s">
        <v>2607</v>
      </c>
      <c r="J95" s="80"/>
      <c r="M95" s="87"/>
    </row>
    <row r="96" spans="1:13" x14ac:dyDescent="0.25">
      <c r="A96" s="78">
        <v>46030</v>
      </c>
      <c r="B96" s="79" t="s">
        <v>2652</v>
      </c>
      <c r="C96" s="80" t="s">
        <v>2335</v>
      </c>
      <c r="D96" s="81">
        <v>2243</v>
      </c>
      <c r="E96" s="26" t="s">
        <v>883</v>
      </c>
      <c r="F96" s="82">
        <v>172</v>
      </c>
      <c r="G96" s="83" t="s">
        <v>622</v>
      </c>
      <c r="H96" s="84">
        <v>172</v>
      </c>
      <c r="I96" s="80" t="s">
        <v>2607</v>
      </c>
      <c r="J96" s="80"/>
      <c r="M96" s="87"/>
    </row>
    <row r="97" spans="1:13" x14ac:dyDescent="0.25">
      <c r="A97" s="78">
        <v>46030</v>
      </c>
      <c r="B97" s="79" t="s">
        <v>2617</v>
      </c>
      <c r="C97" s="80" t="s">
        <v>2683</v>
      </c>
      <c r="D97" s="81">
        <v>5150010450</v>
      </c>
      <c r="E97" s="26" t="s">
        <v>2619</v>
      </c>
      <c r="F97" s="82">
        <v>2256</v>
      </c>
      <c r="G97" s="83" t="s">
        <v>619</v>
      </c>
      <c r="H97" s="84">
        <v>2256</v>
      </c>
      <c r="I97" s="80" t="s">
        <v>2607</v>
      </c>
      <c r="J97" s="80"/>
      <c r="M97" s="87"/>
    </row>
    <row r="98" spans="1:13" x14ac:dyDescent="0.25">
      <c r="A98" s="78">
        <v>46030</v>
      </c>
      <c r="B98" s="79" t="s">
        <v>2614</v>
      </c>
      <c r="C98" s="80" t="s">
        <v>2684</v>
      </c>
      <c r="D98" s="81">
        <v>900107</v>
      </c>
      <c r="E98" s="26" t="s">
        <v>2685</v>
      </c>
      <c r="F98" s="82">
        <v>720</v>
      </c>
      <c r="G98" s="83" t="s">
        <v>619</v>
      </c>
      <c r="H98" s="84">
        <v>720</v>
      </c>
      <c r="I98" s="80" t="s">
        <v>2607</v>
      </c>
      <c r="J98" s="80"/>
      <c r="M98" s="87"/>
    </row>
    <row r="99" spans="1:13" x14ac:dyDescent="0.25">
      <c r="A99" s="78">
        <v>46030</v>
      </c>
      <c r="B99" s="79" t="s">
        <v>2611</v>
      </c>
      <c r="C99" s="80" t="s">
        <v>2686</v>
      </c>
      <c r="D99" s="81">
        <v>9011232</v>
      </c>
      <c r="E99" s="26" t="s">
        <v>2657</v>
      </c>
      <c r="F99" s="82">
        <v>1250</v>
      </c>
      <c r="G99" s="83" t="s">
        <v>619</v>
      </c>
      <c r="H99" s="84">
        <v>1250</v>
      </c>
      <c r="I99" s="80" t="s">
        <v>2607</v>
      </c>
      <c r="J99" s="80"/>
      <c r="M99" s="87"/>
    </row>
    <row r="100" spans="1:13" x14ac:dyDescent="0.25">
      <c r="A100" s="78">
        <v>46030</v>
      </c>
      <c r="B100" s="79" t="s">
        <v>2652</v>
      </c>
      <c r="C100" s="80" t="s">
        <v>2331</v>
      </c>
      <c r="D100" s="81">
        <v>2233</v>
      </c>
      <c r="E100" s="26" t="s">
        <v>890</v>
      </c>
      <c r="F100" s="82">
        <v>84</v>
      </c>
      <c r="G100" s="83" t="s">
        <v>622</v>
      </c>
      <c r="H100" s="84">
        <v>84</v>
      </c>
      <c r="I100" s="80" t="s">
        <v>2607</v>
      </c>
      <c r="J100" s="136"/>
      <c r="M100" s="87"/>
    </row>
    <row r="101" spans="1:13" x14ac:dyDescent="0.25">
      <c r="A101" s="78">
        <v>46030</v>
      </c>
      <c r="B101" s="79" t="s">
        <v>2658</v>
      </c>
      <c r="C101" s="80" t="s">
        <v>2177</v>
      </c>
      <c r="D101" s="81" t="s">
        <v>639</v>
      </c>
      <c r="E101" s="26" t="s">
        <v>640</v>
      </c>
      <c r="F101" s="82">
        <v>2500</v>
      </c>
      <c r="G101" s="83" t="s">
        <v>619</v>
      </c>
      <c r="H101" s="84">
        <v>2500</v>
      </c>
      <c r="I101" s="80" t="s">
        <v>2607</v>
      </c>
      <c r="J101" s="80"/>
      <c r="M101" s="87"/>
    </row>
    <row r="102" spans="1:13" x14ac:dyDescent="0.25">
      <c r="A102" s="78">
        <v>46030</v>
      </c>
      <c r="B102" s="79" t="s">
        <v>2652</v>
      </c>
      <c r="C102" s="80" t="s">
        <v>2329</v>
      </c>
      <c r="D102" s="81">
        <v>2211</v>
      </c>
      <c r="E102" s="26" t="s">
        <v>881</v>
      </c>
      <c r="F102" s="82">
        <v>120</v>
      </c>
      <c r="G102" s="83" t="s">
        <v>622</v>
      </c>
      <c r="H102" s="84">
        <v>120</v>
      </c>
      <c r="I102" s="80" t="s">
        <v>2607</v>
      </c>
      <c r="J102" s="80"/>
      <c r="M102" s="87"/>
    </row>
    <row r="103" spans="1:13" x14ac:dyDescent="0.25">
      <c r="A103" s="78">
        <v>46030</v>
      </c>
      <c r="B103" s="79" t="s">
        <v>81</v>
      </c>
      <c r="C103" s="80" t="s">
        <v>2687</v>
      </c>
      <c r="D103" s="81">
        <v>2202</v>
      </c>
      <c r="E103" s="26" t="s">
        <v>772</v>
      </c>
      <c r="F103" s="82">
        <v>176</v>
      </c>
      <c r="G103" s="83" t="s">
        <v>622</v>
      </c>
      <c r="H103" s="84">
        <v>176</v>
      </c>
      <c r="I103" s="80" t="s">
        <v>2607</v>
      </c>
      <c r="J103" s="80"/>
      <c r="M103" s="87"/>
    </row>
    <row r="104" spans="1:13" x14ac:dyDescent="0.25">
      <c r="A104" s="78">
        <v>46030</v>
      </c>
      <c r="B104" s="79" t="s">
        <v>2652</v>
      </c>
      <c r="C104" s="80" t="s">
        <v>2334</v>
      </c>
      <c r="D104" s="81">
        <v>2241</v>
      </c>
      <c r="E104" s="26" t="s">
        <v>893</v>
      </c>
      <c r="F104" s="82">
        <v>208</v>
      </c>
      <c r="G104" s="83" t="s">
        <v>622</v>
      </c>
      <c r="H104" s="84">
        <v>208</v>
      </c>
      <c r="I104" s="80" t="s">
        <v>2607</v>
      </c>
      <c r="J104" s="80"/>
      <c r="M104" s="87"/>
    </row>
    <row r="105" spans="1:13" x14ac:dyDescent="0.25">
      <c r="A105" s="78">
        <v>46030</v>
      </c>
      <c r="B105" s="79" t="s">
        <v>81</v>
      </c>
      <c r="C105" s="80" t="s">
        <v>2688</v>
      </c>
      <c r="D105" s="81">
        <v>2208</v>
      </c>
      <c r="E105" s="26" t="s">
        <v>758</v>
      </c>
      <c r="F105" s="82">
        <v>174</v>
      </c>
      <c r="G105" s="83" t="s">
        <v>622</v>
      </c>
      <c r="H105" s="84">
        <v>174</v>
      </c>
      <c r="I105" s="80" t="s">
        <v>2607</v>
      </c>
      <c r="J105" s="80"/>
      <c r="M105" s="87"/>
    </row>
    <row r="106" spans="1:13" x14ac:dyDescent="0.25">
      <c r="A106" s="78">
        <v>46030</v>
      </c>
      <c r="B106" s="79" t="s">
        <v>81</v>
      </c>
      <c r="C106" s="80" t="s">
        <v>2689</v>
      </c>
      <c r="D106" s="81">
        <v>2244</v>
      </c>
      <c r="E106" s="26" t="s">
        <v>795</v>
      </c>
      <c r="F106" s="82">
        <v>228</v>
      </c>
      <c r="G106" s="83" t="s">
        <v>622</v>
      </c>
      <c r="H106" s="84">
        <v>228</v>
      </c>
      <c r="I106" s="80" t="s">
        <v>2607</v>
      </c>
      <c r="J106" s="80"/>
      <c r="M106" s="87"/>
    </row>
    <row r="107" spans="1:13" x14ac:dyDescent="0.25">
      <c r="A107" s="78">
        <v>46030</v>
      </c>
      <c r="B107" s="79">
        <v>7002</v>
      </c>
      <c r="C107" s="80" t="s">
        <v>2690</v>
      </c>
      <c r="D107" s="81">
        <v>961515</v>
      </c>
      <c r="E107" s="26" t="s">
        <v>2691</v>
      </c>
      <c r="F107" s="82">
        <v>325</v>
      </c>
      <c r="G107" s="83" t="s">
        <v>619</v>
      </c>
      <c r="H107" s="84">
        <v>325</v>
      </c>
      <c r="I107" s="80" t="s">
        <v>2607</v>
      </c>
      <c r="J107" s="80"/>
      <c r="M107" s="87"/>
    </row>
    <row r="108" spans="1:13" x14ac:dyDescent="0.25">
      <c r="A108" s="78">
        <v>46030</v>
      </c>
      <c r="B108" s="79" t="s">
        <v>679</v>
      </c>
      <c r="C108" s="80" t="s">
        <v>2692</v>
      </c>
      <c r="D108" s="81">
        <v>7212</v>
      </c>
      <c r="E108" s="26" t="s">
        <v>681</v>
      </c>
      <c r="F108" s="82">
        <v>85000</v>
      </c>
      <c r="G108" s="83" t="s">
        <v>622</v>
      </c>
      <c r="H108" s="84">
        <v>85000</v>
      </c>
      <c r="I108" s="80" t="s">
        <v>2633</v>
      </c>
      <c r="J108" s="80"/>
      <c r="M108" s="87"/>
    </row>
    <row r="109" spans="1:13" x14ac:dyDescent="0.25">
      <c r="A109" s="78">
        <v>46030</v>
      </c>
      <c r="B109" s="79" t="s">
        <v>712</v>
      </c>
      <c r="C109" s="80" t="s">
        <v>1459</v>
      </c>
      <c r="D109" s="81" t="s">
        <v>1128</v>
      </c>
      <c r="E109" s="26" t="s">
        <v>781</v>
      </c>
      <c r="F109" s="82">
        <v>40000</v>
      </c>
      <c r="G109" s="83" t="s">
        <v>622</v>
      </c>
      <c r="H109" s="84">
        <v>40000</v>
      </c>
      <c r="I109" s="80" t="s">
        <v>2607</v>
      </c>
      <c r="J109" s="80"/>
      <c r="M109" s="87"/>
    </row>
    <row r="110" spans="1:13" x14ac:dyDescent="0.25">
      <c r="A110" s="78">
        <v>46030</v>
      </c>
      <c r="B110" s="79" t="s">
        <v>2624</v>
      </c>
      <c r="C110" s="80" t="s">
        <v>2693</v>
      </c>
      <c r="D110" s="81" t="s">
        <v>2694</v>
      </c>
      <c r="E110" s="26" t="s">
        <v>2695</v>
      </c>
      <c r="F110" s="82">
        <v>2083</v>
      </c>
      <c r="G110" s="83" t="s">
        <v>619</v>
      </c>
      <c r="H110" s="84">
        <v>2083</v>
      </c>
      <c r="I110" s="80" t="s">
        <v>2607</v>
      </c>
      <c r="J110" s="80"/>
      <c r="M110" s="87"/>
    </row>
    <row r="111" spans="1:13" x14ac:dyDescent="0.25">
      <c r="A111" s="78">
        <v>46030</v>
      </c>
      <c r="B111" s="79" t="s">
        <v>2621</v>
      </c>
      <c r="C111" s="80" t="s">
        <v>2696</v>
      </c>
      <c r="D111" s="81" t="s">
        <v>2669</v>
      </c>
      <c r="E111" s="26" t="s">
        <v>2670</v>
      </c>
      <c r="F111" s="82">
        <v>3505</v>
      </c>
      <c r="G111" s="83" t="s">
        <v>619</v>
      </c>
      <c r="H111" s="84">
        <v>3505</v>
      </c>
      <c r="I111" s="80" t="s">
        <v>2607</v>
      </c>
      <c r="J111" s="80"/>
      <c r="M111" s="87"/>
    </row>
    <row r="112" spans="1:13" x14ac:dyDescent="0.25">
      <c r="A112" s="78">
        <v>46030</v>
      </c>
      <c r="B112" s="79" t="s">
        <v>2621</v>
      </c>
      <c r="C112" s="80" t="s">
        <v>2697</v>
      </c>
      <c r="D112" s="81" t="s">
        <v>2639</v>
      </c>
      <c r="E112" s="26" t="s">
        <v>2640</v>
      </c>
      <c r="F112" s="82">
        <v>3505</v>
      </c>
      <c r="G112" s="83" t="s">
        <v>619</v>
      </c>
      <c r="H112" s="84">
        <v>3505</v>
      </c>
      <c r="I112" s="80" t="s">
        <v>2607</v>
      </c>
      <c r="J112" s="80"/>
      <c r="M112" s="87"/>
    </row>
    <row r="113" spans="1:13" x14ac:dyDescent="0.25">
      <c r="A113" s="78">
        <v>46030</v>
      </c>
      <c r="B113" s="79" t="s">
        <v>682</v>
      </c>
      <c r="C113" s="80" t="s">
        <v>2698</v>
      </c>
      <c r="D113" s="81">
        <v>7302</v>
      </c>
      <c r="E113" s="26" t="s">
        <v>768</v>
      </c>
      <c r="F113" s="82">
        <v>27000</v>
      </c>
      <c r="G113" s="83" t="s">
        <v>622</v>
      </c>
      <c r="H113" s="84">
        <v>27000</v>
      </c>
      <c r="I113" s="80" t="s">
        <v>2633</v>
      </c>
      <c r="J113" s="80"/>
      <c r="M113" s="87"/>
    </row>
    <row r="114" spans="1:13" x14ac:dyDescent="0.25">
      <c r="A114" s="78">
        <v>46030</v>
      </c>
      <c r="B114" s="79" t="s">
        <v>685</v>
      </c>
      <c r="C114" s="80" t="s">
        <v>2699</v>
      </c>
      <c r="D114" s="81">
        <v>7374</v>
      </c>
      <c r="E114" s="26" t="s">
        <v>785</v>
      </c>
      <c r="F114" s="82">
        <v>25000</v>
      </c>
      <c r="G114" s="83" t="s">
        <v>622</v>
      </c>
      <c r="H114" s="84">
        <v>25000</v>
      </c>
      <c r="I114" s="80" t="s">
        <v>2633</v>
      </c>
      <c r="J114" s="80"/>
      <c r="M114" s="87"/>
    </row>
    <row r="115" spans="1:13" x14ac:dyDescent="0.25">
      <c r="A115" s="78">
        <v>46030</v>
      </c>
      <c r="B115" s="79" t="s">
        <v>2606</v>
      </c>
      <c r="C115" s="80" t="s">
        <v>2308</v>
      </c>
      <c r="D115" s="81">
        <v>220125</v>
      </c>
      <c r="E115" s="26" t="s">
        <v>2700</v>
      </c>
      <c r="F115" s="82">
        <v>3333</v>
      </c>
      <c r="G115" s="83" t="s">
        <v>619</v>
      </c>
      <c r="H115" s="84">
        <v>3333</v>
      </c>
      <c r="I115" s="80" t="s">
        <v>2607</v>
      </c>
      <c r="J115" s="80"/>
      <c r="M115" s="87"/>
    </row>
    <row r="116" spans="1:13" x14ac:dyDescent="0.25">
      <c r="A116" s="78">
        <v>46030</v>
      </c>
      <c r="B116" s="79" t="s">
        <v>2606</v>
      </c>
      <c r="C116" s="80" t="s">
        <v>2307</v>
      </c>
      <c r="D116" s="81">
        <v>220125</v>
      </c>
      <c r="E116" s="26" t="s">
        <v>2700</v>
      </c>
      <c r="F116" s="82">
        <v>3333</v>
      </c>
      <c r="G116" s="83" t="s">
        <v>619</v>
      </c>
      <c r="H116" s="84">
        <v>3333</v>
      </c>
      <c r="I116" s="80" t="s">
        <v>2607</v>
      </c>
      <c r="J116" s="80"/>
      <c r="M116" s="87"/>
    </row>
    <row r="117" spans="1:13" x14ac:dyDescent="0.25">
      <c r="A117" s="78">
        <v>46030</v>
      </c>
      <c r="B117" s="79" t="s">
        <v>2606</v>
      </c>
      <c r="C117" s="80" t="s">
        <v>2108</v>
      </c>
      <c r="D117" s="81">
        <v>7019</v>
      </c>
      <c r="E117" s="26" t="s">
        <v>1108</v>
      </c>
      <c r="F117" s="82">
        <v>95000</v>
      </c>
      <c r="G117" s="83" t="s">
        <v>622</v>
      </c>
      <c r="H117" s="84">
        <v>95000</v>
      </c>
      <c r="I117" s="80" t="s">
        <v>2609</v>
      </c>
      <c r="J117" s="80"/>
      <c r="M117" s="87"/>
    </row>
    <row r="118" spans="1:13" x14ac:dyDescent="0.25">
      <c r="A118" s="78">
        <v>46030</v>
      </c>
      <c r="B118" s="79" t="s">
        <v>2606</v>
      </c>
      <c r="C118" s="80" t="s">
        <v>2306</v>
      </c>
      <c r="D118" s="81">
        <v>220125</v>
      </c>
      <c r="E118" s="26" t="s">
        <v>2700</v>
      </c>
      <c r="F118" s="82">
        <v>3000</v>
      </c>
      <c r="G118" s="83" t="s">
        <v>619</v>
      </c>
      <c r="H118" s="84">
        <v>3000</v>
      </c>
      <c r="I118" s="80" t="s">
        <v>2607</v>
      </c>
      <c r="J118" s="80"/>
      <c r="M118" s="87"/>
    </row>
    <row r="119" spans="1:13" x14ac:dyDescent="0.25">
      <c r="A119" s="78">
        <v>46030</v>
      </c>
      <c r="B119" s="79" t="s">
        <v>81</v>
      </c>
      <c r="C119" s="80" t="s">
        <v>2701</v>
      </c>
      <c r="D119" s="81">
        <v>2206</v>
      </c>
      <c r="E119" s="26" t="s">
        <v>787</v>
      </c>
      <c r="F119" s="82">
        <v>179</v>
      </c>
      <c r="G119" s="83" t="s">
        <v>622</v>
      </c>
      <c r="H119" s="84">
        <v>179</v>
      </c>
      <c r="I119" s="80" t="s">
        <v>2607</v>
      </c>
      <c r="J119" s="80"/>
      <c r="M119" s="87"/>
    </row>
    <row r="120" spans="1:13" x14ac:dyDescent="0.25">
      <c r="A120" s="78">
        <v>46030</v>
      </c>
      <c r="B120" s="79" t="s">
        <v>81</v>
      </c>
      <c r="C120" s="80" t="s">
        <v>2702</v>
      </c>
      <c r="D120" s="81">
        <v>2204</v>
      </c>
      <c r="E120" s="26" t="s">
        <v>747</v>
      </c>
      <c r="F120" s="82">
        <v>176</v>
      </c>
      <c r="G120" s="83" t="s">
        <v>622</v>
      </c>
      <c r="H120" s="84">
        <v>176</v>
      </c>
      <c r="I120" s="80" t="s">
        <v>2607</v>
      </c>
      <c r="J120" s="80"/>
      <c r="M120" s="87"/>
    </row>
    <row r="121" spans="1:13" x14ac:dyDescent="0.25">
      <c r="A121" s="78">
        <v>46030</v>
      </c>
      <c r="B121" s="79" t="s">
        <v>2665</v>
      </c>
      <c r="C121" s="80" t="s">
        <v>2184</v>
      </c>
      <c r="D121" s="81" t="s">
        <v>623</v>
      </c>
      <c r="E121" s="26" t="s">
        <v>2703</v>
      </c>
      <c r="F121" s="82">
        <v>6500</v>
      </c>
      <c r="G121" s="83" t="s">
        <v>619</v>
      </c>
      <c r="H121" s="84">
        <v>6500</v>
      </c>
      <c r="I121" s="80" t="s">
        <v>2607</v>
      </c>
      <c r="J121" s="80"/>
      <c r="M121" s="87"/>
    </row>
    <row r="122" spans="1:13" x14ac:dyDescent="0.25">
      <c r="A122" s="78">
        <v>46031</v>
      </c>
      <c r="B122" s="79" t="s">
        <v>2652</v>
      </c>
      <c r="C122" s="80" t="s">
        <v>2347</v>
      </c>
      <c r="D122" s="81">
        <v>2335</v>
      </c>
      <c r="E122" s="26" t="s">
        <v>1092</v>
      </c>
      <c r="F122" s="82">
        <v>20</v>
      </c>
      <c r="G122" s="83" t="s">
        <v>622</v>
      </c>
      <c r="H122" s="84">
        <v>20</v>
      </c>
      <c r="I122" s="80" t="s">
        <v>2607</v>
      </c>
      <c r="J122" s="80"/>
      <c r="M122" s="87"/>
    </row>
    <row r="123" spans="1:13" x14ac:dyDescent="0.25">
      <c r="A123" s="78">
        <v>46031</v>
      </c>
      <c r="B123" s="79" t="s">
        <v>2652</v>
      </c>
      <c r="C123" s="80" t="s">
        <v>2344</v>
      </c>
      <c r="D123" s="81">
        <v>2245</v>
      </c>
      <c r="E123" s="26" t="s">
        <v>884</v>
      </c>
      <c r="F123" s="82">
        <v>264</v>
      </c>
      <c r="G123" s="83" t="s">
        <v>622</v>
      </c>
      <c r="H123" s="84">
        <v>264</v>
      </c>
      <c r="I123" s="80" t="s">
        <v>2607</v>
      </c>
      <c r="J123" s="80"/>
    </row>
    <row r="124" spans="1:13" x14ac:dyDescent="0.25">
      <c r="A124" s="78">
        <v>46031</v>
      </c>
      <c r="B124" s="79" t="s">
        <v>2652</v>
      </c>
      <c r="C124" s="80" t="s">
        <v>2342</v>
      </c>
      <c r="D124" s="81">
        <v>2231</v>
      </c>
      <c r="E124" s="26" t="s">
        <v>882</v>
      </c>
      <c r="F124" s="82">
        <v>192</v>
      </c>
      <c r="G124" s="83" t="s">
        <v>622</v>
      </c>
      <c r="H124" s="84">
        <v>192</v>
      </c>
      <c r="I124" s="80" t="s">
        <v>2607</v>
      </c>
      <c r="J124" s="80"/>
    </row>
    <row r="125" spans="1:13" x14ac:dyDescent="0.25">
      <c r="A125" s="78">
        <v>46031</v>
      </c>
      <c r="B125" s="79" t="s">
        <v>2652</v>
      </c>
      <c r="C125" s="80" t="s">
        <v>2345</v>
      </c>
      <c r="D125" s="81">
        <v>2253</v>
      </c>
      <c r="E125" s="26" t="s">
        <v>1016</v>
      </c>
      <c r="F125" s="82">
        <v>168</v>
      </c>
      <c r="G125" s="83" t="s">
        <v>622</v>
      </c>
      <c r="H125" s="84">
        <v>168</v>
      </c>
      <c r="I125" s="80" t="s">
        <v>2607</v>
      </c>
      <c r="J125" s="80"/>
    </row>
    <row r="126" spans="1:13" x14ac:dyDescent="0.25">
      <c r="A126" s="78">
        <v>46031</v>
      </c>
      <c r="B126" s="79" t="s">
        <v>2614</v>
      </c>
      <c r="C126" s="80" t="s">
        <v>2704</v>
      </c>
      <c r="D126" s="81">
        <v>900107</v>
      </c>
      <c r="E126" s="26" t="s">
        <v>2685</v>
      </c>
      <c r="F126" s="82">
        <v>210</v>
      </c>
      <c r="G126" s="83" t="s">
        <v>619</v>
      </c>
      <c r="H126" s="84">
        <v>210</v>
      </c>
      <c r="I126" s="80" t="s">
        <v>2607</v>
      </c>
      <c r="J126" s="80"/>
    </row>
    <row r="127" spans="1:13" x14ac:dyDescent="0.25">
      <c r="A127" s="78">
        <v>46031</v>
      </c>
      <c r="B127" s="79" t="s">
        <v>2652</v>
      </c>
      <c r="C127" s="80" t="s">
        <v>2340</v>
      </c>
      <c r="D127" s="81">
        <v>2205</v>
      </c>
      <c r="E127" s="26" t="s">
        <v>880</v>
      </c>
      <c r="F127" s="82">
        <v>176</v>
      </c>
      <c r="G127" s="83" t="s">
        <v>622</v>
      </c>
      <c r="H127" s="84">
        <v>176</v>
      </c>
      <c r="I127" s="80" t="s">
        <v>2607</v>
      </c>
      <c r="J127" s="80"/>
      <c r="M127" s="87"/>
    </row>
    <row r="128" spans="1:13" x14ac:dyDescent="0.25">
      <c r="A128" s="78">
        <v>46031</v>
      </c>
      <c r="B128" s="79" t="s">
        <v>2617</v>
      </c>
      <c r="C128" s="80" t="s">
        <v>2705</v>
      </c>
      <c r="D128" s="81">
        <v>5150010451</v>
      </c>
      <c r="E128" s="26" t="s">
        <v>2706</v>
      </c>
      <c r="F128" s="82">
        <v>2256</v>
      </c>
      <c r="G128" s="83" t="s">
        <v>619</v>
      </c>
      <c r="H128" s="84">
        <v>2256</v>
      </c>
      <c r="I128" s="80" t="s">
        <v>2607</v>
      </c>
      <c r="J128" s="80"/>
      <c r="M128" s="87"/>
    </row>
    <row r="129" spans="1:13" x14ac:dyDescent="0.25">
      <c r="A129" s="78">
        <v>46031</v>
      </c>
      <c r="B129" s="79" t="s">
        <v>2611</v>
      </c>
      <c r="C129" s="80" t="s">
        <v>2707</v>
      </c>
      <c r="D129" s="81">
        <v>9011232</v>
      </c>
      <c r="E129" s="26" t="s">
        <v>2657</v>
      </c>
      <c r="F129" s="82">
        <v>1250</v>
      </c>
      <c r="G129" s="83" t="s">
        <v>619</v>
      </c>
      <c r="H129" s="84">
        <v>1250</v>
      </c>
      <c r="I129" s="80" t="s">
        <v>2607</v>
      </c>
      <c r="J129" s="80"/>
      <c r="M129" s="87"/>
    </row>
    <row r="130" spans="1:13" x14ac:dyDescent="0.25">
      <c r="A130" s="78">
        <v>46031</v>
      </c>
      <c r="B130" s="79" t="s">
        <v>2658</v>
      </c>
      <c r="C130" s="80" t="s">
        <v>2178</v>
      </c>
      <c r="D130" s="81" t="s">
        <v>639</v>
      </c>
      <c r="E130" s="26" t="s">
        <v>640</v>
      </c>
      <c r="F130" s="82">
        <v>2500</v>
      </c>
      <c r="G130" s="83" t="s">
        <v>619</v>
      </c>
      <c r="H130" s="84">
        <v>2500</v>
      </c>
      <c r="I130" s="80" t="s">
        <v>2607</v>
      </c>
      <c r="J130" s="80"/>
    </row>
    <row r="131" spans="1:13" x14ac:dyDescent="0.25">
      <c r="A131" s="78">
        <v>46031</v>
      </c>
      <c r="B131" s="79" t="s">
        <v>2652</v>
      </c>
      <c r="C131" s="80" t="s">
        <v>2341</v>
      </c>
      <c r="D131" s="81">
        <v>2207</v>
      </c>
      <c r="E131" s="26" t="s">
        <v>887</v>
      </c>
      <c r="F131" s="82">
        <v>84</v>
      </c>
      <c r="G131" s="83" t="s">
        <v>622</v>
      </c>
      <c r="H131" s="84">
        <v>84</v>
      </c>
      <c r="I131" s="80" t="s">
        <v>2607</v>
      </c>
      <c r="J131" s="80"/>
    </row>
    <row r="132" spans="1:13" x14ac:dyDescent="0.25">
      <c r="A132" s="78">
        <v>46031</v>
      </c>
      <c r="B132" s="79" t="s">
        <v>2652</v>
      </c>
      <c r="C132" s="80" t="s">
        <v>2343</v>
      </c>
      <c r="D132" s="81">
        <v>2237</v>
      </c>
      <c r="E132" s="26" t="s">
        <v>891</v>
      </c>
      <c r="F132" s="82">
        <v>172</v>
      </c>
      <c r="G132" s="83" t="s">
        <v>622</v>
      </c>
      <c r="H132" s="84">
        <v>172</v>
      </c>
      <c r="I132" s="80" t="s">
        <v>2607</v>
      </c>
      <c r="J132" s="80"/>
    </row>
    <row r="133" spans="1:13" x14ac:dyDescent="0.25">
      <c r="A133" s="78">
        <v>46031</v>
      </c>
      <c r="B133" s="79" t="s">
        <v>2652</v>
      </c>
      <c r="C133" s="80" t="s">
        <v>2339</v>
      </c>
      <c r="D133" s="81">
        <v>2203</v>
      </c>
      <c r="E133" s="26" t="s">
        <v>886</v>
      </c>
      <c r="F133" s="82">
        <v>176</v>
      </c>
      <c r="G133" s="83" t="s">
        <v>622</v>
      </c>
      <c r="H133" s="84">
        <v>176</v>
      </c>
      <c r="I133" s="80" t="s">
        <v>2607</v>
      </c>
      <c r="J133" s="80"/>
    </row>
    <row r="134" spans="1:13" x14ac:dyDescent="0.25">
      <c r="A134" s="78">
        <v>46031</v>
      </c>
      <c r="B134" s="79" t="s">
        <v>2608</v>
      </c>
      <c r="C134" s="80" t="s">
        <v>2111</v>
      </c>
      <c r="D134" s="81">
        <v>7033</v>
      </c>
      <c r="E134" s="26" t="s">
        <v>1109</v>
      </c>
      <c r="F134" s="82">
        <v>95000</v>
      </c>
      <c r="G134" s="83" t="s">
        <v>622</v>
      </c>
      <c r="H134" s="84">
        <v>95000</v>
      </c>
      <c r="I134" s="80" t="s">
        <v>2609</v>
      </c>
      <c r="J134" s="80"/>
    </row>
    <row r="135" spans="1:13" x14ac:dyDescent="0.25">
      <c r="A135" s="78">
        <v>46031</v>
      </c>
      <c r="B135" s="79" t="s">
        <v>2652</v>
      </c>
      <c r="C135" s="80" t="s">
        <v>2346</v>
      </c>
      <c r="D135" s="81">
        <v>2257</v>
      </c>
      <c r="E135" s="26" t="s">
        <v>2296</v>
      </c>
      <c r="F135" s="82">
        <v>168</v>
      </c>
      <c r="G135" s="83" t="s">
        <v>622</v>
      </c>
      <c r="H135" s="84">
        <v>168</v>
      </c>
      <c r="I135" s="80" t="s">
        <v>2607</v>
      </c>
      <c r="J135" s="80"/>
    </row>
    <row r="136" spans="1:13" x14ac:dyDescent="0.25">
      <c r="A136" s="78">
        <v>46031</v>
      </c>
      <c r="B136" s="79" t="s">
        <v>2610</v>
      </c>
      <c r="C136" s="80" t="s">
        <v>2222</v>
      </c>
      <c r="D136" s="81">
        <v>520860</v>
      </c>
      <c r="E136" s="26" t="s">
        <v>1388</v>
      </c>
      <c r="F136" s="82">
        <v>14584</v>
      </c>
      <c r="G136" s="83" t="s">
        <v>619</v>
      </c>
      <c r="H136" s="84">
        <v>14584</v>
      </c>
      <c r="I136" s="80" t="s">
        <v>2607</v>
      </c>
      <c r="J136" s="80"/>
    </row>
    <row r="137" spans="1:13" x14ac:dyDescent="0.25">
      <c r="A137" s="78">
        <v>46031</v>
      </c>
      <c r="B137" s="79" t="s">
        <v>685</v>
      </c>
      <c r="C137" s="80" t="s">
        <v>2708</v>
      </c>
      <c r="D137" s="81">
        <v>7373</v>
      </c>
      <c r="E137" s="26" t="s">
        <v>783</v>
      </c>
      <c r="F137" s="82">
        <v>25000</v>
      </c>
      <c r="G137" s="83" t="s">
        <v>622</v>
      </c>
      <c r="H137" s="84">
        <v>25000</v>
      </c>
      <c r="I137" s="80" t="s">
        <v>2633</v>
      </c>
      <c r="J137" s="80"/>
    </row>
    <row r="138" spans="1:13" x14ac:dyDescent="0.25">
      <c r="A138" s="78">
        <v>46031</v>
      </c>
      <c r="B138" s="79" t="s">
        <v>2665</v>
      </c>
      <c r="C138" s="80" t="s">
        <v>1407</v>
      </c>
      <c r="D138" s="81" t="s">
        <v>1405</v>
      </c>
      <c r="E138" s="26" t="s">
        <v>2709</v>
      </c>
      <c r="F138" s="82">
        <v>5500</v>
      </c>
      <c r="G138" s="83" t="s">
        <v>619</v>
      </c>
      <c r="H138" s="84">
        <v>5500</v>
      </c>
      <c r="I138" s="80" t="s">
        <v>2607</v>
      </c>
      <c r="J138" s="80"/>
    </row>
    <row r="139" spans="1:13" x14ac:dyDescent="0.25">
      <c r="A139" s="78">
        <v>46031</v>
      </c>
      <c r="B139" s="79" t="s">
        <v>2621</v>
      </c>
      <c r="C139" s="80" t="s">
        <v>2710</v>
      </c>
      <c r="D139" s="81" t="s">
        <v>2639</v>
      </c>
      <c r="E139" s="26" t="s">
        <v>2640</v>
      </c>
      <c r="F139" s="82">
        <v>3505</v>
      </c>
      <c r="G139" s="83" t="s">
        <v>619</v>
      </c>
      <c r="H139" s="84">
        <v>3505</v>
      </c>
      <c r="I139" s="80" t="s">
        <v>2607</v>
      </c>
      <c r="J139" s="80"/>
    </row>
    <row r="140" spans="1:13" x14ac:dyDescent="0.25">
      <c r="A140" s="78">
        <v>46031</v>
      </c>
      <c r="B140" s="79" t="s">
        <v>2621</v>
      </c>
      <c r="C140" s="80" t="s">
        <v>2711</v>
      </c>
      <c r="D140" s="81" t="s">
        <v>2669</v>
      </c>
      <c r="E140" s="26" t="s">
        <v>2670</v>
      </c>
      <c r="F140" s="82">
        <v>3505</v>
      </c>
      <c r="G140" s="83" t="s">
        <v>619</v>
      </c>
      <c r="H140" s="84">
        <v>3505</v>
      </c>
      <c r="I140" s="80" t="s">
        <v>2607</v>
      </c>
      <c r="J140" s="80"/>
    </row>
    <row r="141" spans="1:13" x14ac:dyDescent="0.25">
      <c r="A141" s="78">
        <v>46031</v>
      </c>
      <c r="B141" s="79" t="s">
        <v>2624</v>
      </c>
      <c r="C141" s="80" t="s">
        <v>2712</v>
      </c>
      <c r="D141" s="81" t="s">
        <v>2713</v>
      </c>
      <c r="E141" s="26" t="s">
        <v>2714</v>
      </c>
      <c r="F141" s="82">
        <v>2083</v>
      </c>
      <c r="G141" s="83" t="s">
        <v>619</v>
      </c>
      <c r="H141" s="84">
        <v>2083</v>
      </c>
      <c r="I141" s="80" t="s">
        <v>2607</v>
      </c>
      <c r="J141" s="80"/>
    </row>
    <row r="142" spans="1:13" x14ac:dyDescent="0.25">
      <c r="A142" s="78">
        <v>46031</v>
      </c>
      <c r="B142" s="79" t="s">
        <v>712</v>
      </c>
      <c r="C142" s="80" t="s">
        <v>1466</v>
      </c>
      <c r="D142" s="81" t="s">
        <v>1126</v>
      </c>
      <c r="E142" s="26" t="s">
        <v>808</v>
      </c>
      <c r="F142" s="82">
        <v>40000</v>
      </c>
      <c r="G142" s="83" t="s">
        <v>622</v>
      </c>
      <c r="H142" s="84">
        <v>40000</v>
      </c>
      <c r="I142" s="80" t="s">
        <v>2607</v>
      </c>
      <c r="J142" s="80"/>
    </row>
    <row r="143" spans="1:13" x14ac:dyDescent="0.25">
      <c r="A143" s="78">
        <v>46031</v>
      </c>
      <c r="B143" s="79" t="s">
        <v>682</v>
      </c>
      <c r="C143" s="80" t="s">
        <v>2715</v>
      </c>
      <c r="D143" s="81" t="s">
        <v>806</v>
      </c>
      <c r="E143" s="26" t="s">
        <v>807</v>
      </c>
      <c r="F143" s="82">
        <v>28000</v>
      </c>
      <c r="G143" s="83" t="s">
        <v>622</v>
      </c>
      <c r="H143" s="84">
        <v>28000</v>
      </c>
      <c r="I143" s="80" t="s">
        <v>2633</v>
      </c>
      <c r="J143" s="80"/>
    </row>
    <row r="144" spans="1:13" x14ac:dyDescent="0.25">
      <c r="A144" s="78">
        <v>46031</v>
      </c>
      <c r="B144" s="79" t="s">
        <v>688</v>
      </c>
      <c r="C144" s="80" t="s">
        <v>2716</v>
      </c>
      <c r="D144" s="81">
        <v>7746</v>
      </c>
      <c r="E144" s="26" t="s">
        <v>692</v>
      </c>
      <c r="F144" s="82">
        <v>68000</v>
      </c>
      <c r="G144" s="83" t="s">
        <v>622</v>
      </c>
      <c r="H144" s="84">
        <v>68000</v>
      </c>
      <c r="I144" s="80" t="s">
        <v>2633</v>
      </c>
      <c r="J144" s="80"/>
    </row>
    <row r="145" spans="1:10" x14ac:dyDescent="0.25">
      <c r="A145" s="78">
        <v>46031</v>
      </c>
      <c r="B145" s="79">
        <v>7002</v>
      </c>
      <c r="C145" s="80" t="s">
        <v>2717</v>
      </c>
      <c r="D145" s="81">
        <v>961515</v>
      </c>
      <c r="E145" s="26" t="s">
        <v>2691</v>
      </c>
      <c r="F145" s="82">
        <v>325</v>
      </c>
      <c r="G145" s="83" t="s">
        <v>619</v>
      </c>
      <c r="H145" s="84">
        <v>325</v>
      </c>
      <c r="I145" s="80" t="s">
        <v>2607</v>
      </c>
      <c r="J145" s="80"/>
    </row>
    <row r="146" spans="1:10" x14ac:dyDescent="0.25">
      <c r="A146" s="78">
        <v>46031</v>
      </c>
      <c r="B146" s="79" t="s">
        <v>2652</v>
      </c>
      <c r="C146" s="80" t="s">
        <v>2338</v>
      </c>
      <c r="D146" s="81">
        <v>2201</v>
      </c>
      <c r="E146" s="26" t="s">
        <v>879</v>
      </c>
      <c r="F146" s="82">
        <v>108</v>
      </c>
      <c r="G146" s="83" t="s">
        <v>622</v>
      </c>
      <c r="H146" s="84">
        <v>108</v>
      </c>
      <c r="I146" s="80" t="s">
        <v>2607</v>
      </c>
      <c r="J146" s="80"/>
    </row>
    <row r="147" spans="1:10" x14ac:dyDescent="0.25">
      <c r="A147" s="78">
        <v>46034</v>
      </c>
      <c r="B147" s="79" t="s">
        <v>81</v>
      </c>
      <c r="C147" s="80" t="s">
        <v>2718</v>
      </c>
      <c r="D147" s="81">
        <v>2252</v>
      </c>
      <c r="E147" s="26" t="s">
        <v>799</v>
      </c>
      <c r="F147" s="82">
        <v>168</v>
      </c>
      <c r="G147" s="83" t="s">
        <v>622</v>
      </c>
      <c r="H147" s="84">
        <v>168</v>
      </c>
      <c r="I147" s="80" t="s">
        <v>2607</v>
      </c>
      <c r="J147" s="80"/>
    </row>
    <row r="148" spans="1:10" x14ac:dyDescent="0.25">
      <c r="A148" s="78">
        <v>46034</v>
      </c>
      <c r="B148" s="79" t="s">
        <v>81</v>
      </c>
      <c r="C148" s="80" t="s">
        <v>2719</v>
      </c>
      <c r="D148" s="81">
        <v>2248</v>
      </c>
      <c r="E148" s="26" t="s">
        <v>751</v>
      </c>
      <c r="F148" s="82">
        <v>172</v>
      </c>
      <c r="G148" s="83" t="s">
        <v>622</v>
      </c>
      <c r="H148" s="84">
        <v>172</v>
      </c>
      <c r="I148" s="80" t="s">
        <v>2607</v>
      </c>
      <c r="J148" s="80"/>
    </row>
    <row r="149" spans="1:10" x14ac:dyDescent="0.25">
      <c r="A149" s="78">
        <v>46034</v>
      </c>
      <c r="B149" s="79" t="s">
        <v>81</v>
      </c>
      <c r="C149" s="80" t="s">
        <v>2720</v>
      </c>
      <c r="D149" s="81">
        <v>2256</v>
      </c>
      <c r="E149" s="26" t="s">
        <v>801</v>
      </c>
      <c r="F149" s="82">
        <v>172</v>
      </c>
      <c r="G149" s="83" t="s">
        <v>622</v>
      </c>
      <c r="H149" s="84">
        <v>172</v>
      </c>
      <c r="I149" s="80" t="s">
        <v>2607</v>
      </c>
      <c r="J149" s="80"/>
    </row>
    <row r="150" spans="1:10" x14ac:dyDescent="0.25">
      <c r="A150" s="78">
        <v>46034</v>
      </c>
      <c r="B150" s="79" t="s">
        <v>81</v>
      </c>
      <c r="C150" s="80" t="s">
        <v>2721</v>
      </c>
      <c r="D150" s="81">
        <v>2244</v>
      </c>
      <c r="E150" s="26" t="s">
        <v>795</v>
      </c>
      <c r="F150" s="82">
        <v>40</v>
      </c>
      <c r="G150" s="83" t="s">
        <v>622</v>
      </c>
      <c r="H150" s="84">
        <v>40</v>
      </c>
      <c r="I150" s="80" t="s">
        <v>2607</v>
      </c>
      <c r="J150" s="80"/>
    </row>
    <row r="151" spans="1:10" x14ac:dyDescent="0.25">
      <c r="A151" s="78">
        <v>46034</v>
      </c>
      <c r="B151" s="79" t="s">
        <v>2608</v>
      </c>
      <c r="C151" s="80" t="s">
        <v>2116</v>
      </c>
      <c r="D151" s="81">
        <v>7046</v>
      </c>
      <c r="E151" s="26" t="s">
        <v>1110</v>
      </c>
      <c r="F151" s="82">
        <v>105000</v>
      </c>
      <c r="G151" s="83" t="s">
        <v>622</v>
      </c>
      <c r="H151" s="84">
        <v>105000</v>
      </c>
      <c r="I151" s="80" t="s">
        <v>2609</v>
      </c>
      <c r="J151" s="80"/>
    </row>
    <row r="152" spans="1:10" x14ac:dyDescent="0.25">
      <c r="A152" s="78">
        <v>46034</v>
      </c>
      <c r="B152" s="79" t="s">
        <v>81</v>
      </c>
      <c r="C152" s="80" t="s">
        <v>2722</v>
      </c>
      <c r="D152" s="81">
        <v>2200</v>
      </c>
      <c r="E152" s="26" t="s">
        <v>745</v>
      </c>
      <c r="F152" s="82">
        <v>200</v>
      </c>
      <c r="G152" s="83" t="s">
        <v>622</v>
      </c>
      <c r="H152" s="84">
        <v>200</v>
      </c>
      <c r="I152" s="80" t="s">
        <v>2607</v>
      </c>
      <c r="J152" s="80"/>
    </row>
    <row r="153" spans="1:10" x14ac:dyDescent="0.25">
      <c r="A153" s="78">
        <v>46034</v>
      </c>
      <c r="B153" s="79" t="s">
        <v>81</v>
      </c>
      <c r="C153" s="80" t="s">
        <v>2723</v>
      </c>
      <c r="D153" s="81">
        <v>2212</v>
      </c>
      <c r="E153" s="26" t="s">
        <v>776</v>
      </c>
      <c r="F153" s="82">
        <v>196</v>
      </c>
      <c r="G153" s="83" t="s">
        <v>622</v>
      </c>
      <c r="H153" s="84">
        <v>196</v>
      </c>
      <c r="I153" s="80" t="s">
        <v>2607</v>
      </c>
      <c r="J153" s="80"/>
    </row>
    <row r="154" spans="1:10" x14ac:dyDescent="0.25">
      <c r="A154" s="78">
        <v>46034</v>
      </c>
      <c r="B154" s="79" t="s">
        <v>2617</v>
      </c>
      <c r="C154" s="80" t="s">
        <v>2724</v>
      </c>
      <c r="D154" s="81">
        <v>5150010451</v>
      </c>
      <c r="E154" s="26" t="s">
        <v>2706</v>
      </c>
      <c r="F154" s="82">
        <v>2256</v>
      </c>
      <c r="G154" s="83" t="s">
        <v>619</v>
      </c>
      <c r="H154" s="84">
        <v>2256</v>
      </c>
      <c r="I154" s="80" t="s">
        <v>2607</v>
      </c>
      <c r="J154" s="80"/>
    </row>
    <row r="155" spans="1:10" x14ac:dyDescent="0.25">
      <c r="A155" s="78">
        <v>46034</v>
      </c>
      <c r="B155" s="79" t="s">
        <v>2658</v>
      </c>
      <c r="C155" s="80" t="s">
        <v>2179</v>
      </c>
      <c r="D155" s="81" t="s">
        <v>639</v>
      </c>
      <c r="E155" s="26" t="s">
        <v>640</v>
      </c>
      <c r="F155" s="82">
        <v>2500</v>
      </c>
      <c r="G155" s="83" t="s">
        <v>619</v>
      </c>
      <c r="H155" s="84">
        <v>2500</v>
      </c>
      <c r="I155" s="80" t="s">
        <v>2607</v>
      </c>
      <c r="J155" s="80"/>
    </row>
    <row r="156" spans="1:10" x14ac:dyDescent="0.25">
      <c r="A156" s="78">
        <v>46034</v>
      </c>
      <c r="B156" s="79" t="s">
        <v>81</v>
      </c>
      <c r="C156" s="80" t="s">
        <v>2725</v>
      </c>
      <c r="D156" s="81">
        <v>2210</v>
      </c>
      <c r="E156" s="26" t="s">
        <v>774</v>
      </c>
      <c r="F156" s="82">
        <v>212</v>
      </c>
      <c r="G156" s="83" t="s">
        <v>622</v>
      </c>
      <c r="H156" s="84">
        <v>212</v>
      </c>
      <c r="I156" s="80" t="s">
        <v>2607</v>
      </c>
      <c r="J156" s="80"/>
    </row>
    <row r="157" spans="1:10" x14ac:dyDescent="0.25">
      <c r="A157" s="78">
        <v>46034</v>
      </c>
      <c r="B157" s="79" t="s">
        <v>2606</v>
      </c>
      <c r="C157" s="80" t="s">
        <v>2104</v>
      </c>
      <c r="D157" s="81">
        <v>7013</v>
      </c>
      <c r="E157" s="26" t="s">
        <v>630</v>
      </c>
      <c r="F157" s="82">
        <v>105000</v>
      </c>
      <c r="G157" s="83" t="s">
        <v>622</v>
      </c>
      <c r="H157" s="84">
        <v>105000</v>
      </c>
      <c r="I157" s="80" t="s">
        <v>2609</v>
      </c>
      <c r="J157" s="80"/>
    </row>
    <row r="158" spans="1:10" x14ac:dyDescent="0.25">
      <c r="A158" s="78">
        <v>46034</v>
      </c>
      <c r="B158" s="79" t="s">
        <v>2614</v>
      </c>
      <c r="C158" s="80" t="s">
        <v>2726</v>
      </c>
      <c r="D158" s="81">
        <v>900114</v>
      </c>
      <c r="E158" s="26" t="s">
        <v>2655</v>
      </c>
      <c r="F158" s="82">
        <v>480</v>
      </c>
      <c r="G158" s="83" t="s">
        <v>619</v>
      </c>
      <c r="H158" s="84">
        <v>480</v>
      </c>
      <c r="I158" s="80" t="s">
        <v>2607</v>
      </c>
      <c r="J158" s="80"/>
    </row>
    <row r="159" spans="1:10" x14ac:dyDescent="0.25">
      <c r="A159" s="78">
        <v>46034</v>
      </c>
      <c r="B159" s="79" t="s">
        <v>2606</v>
      </c>
      <c r="C159" s="80" t="s">
        <v>2349</v>
      </c>
      <c r="D159" s="81">
        <v>220125</v>
      </c>
      <c r="E159" s="26" t="s">
        <v>2700</v>
      </c>
      <c r="F159" s="82">
        <v>4000</v>
      </c>
      <c r="G159" s="83" t="s">
        <v>619</v>
      </c>
      <c r="H159" s="84">
        <v>4000</v>
      </c>
      <c r="I159" s="80" t="s">
        <v>2607</v>
      </c>
      <c r="J159" s="80"/>
    </row>
    <row r="160" spans="1:10" x14ac:dyDescent="0.25">
      <c r="A160" s="78">
        <v>46034</v>
      </c>
      <c r="B160" s="79">
        <v>7002</v>
      </c>
      <c r="C160" s="80" t="s">
        <v>2727</v>
      </c>
      <c r="D160" s="81">
        <v>961515</v>
      </c>
      <c r="E160" s="26" t="s">
        <v>2691</v>
      </c>
      <c r="F160" s="82">
        <v>325</v>
      </c>
      <c r="G160" s="83" t="s">
        <v>619</v>
      </c>
      <c r="H160" s="84">
        <v>325</v>
      </c>
      <c r="I160" s="80" t="s">
        <v>2607</v>
      </c>
      <c r="J160" s="136"/>
    </row>
    <row r="161" spans="1:10" x14ac:dyDescent="0.25">
      <c r="A161" s="78">
        <v>46034</v>
      </c>
      <c r="B161" s="79" t="s">
        <v>2606</v>
      </c>
      <c r="C161" s="80" t="s">
        <v>2350</v>
      </c>
      <c r="D161" s="81">
        <v>220125</v>
      </c>
      <c r="E161" s="26" t="s">
        <v>2700</v>
      </c>
      <c r="F161" s="82">
        <v>4000</v>
      </c>
      <c r="G161" s="83" t="s">
        <v>619</v>
      </c>
      <c r="H161" s="84">
        <v>4000</v>
      </c>
      <c r="I161" s="80" t="s">
        <v>2607</v>
      </c>
      <c r="J161" s="80"/>
    </row>
    <row r="162" spans="1:10" x14ac:dyDescent="0.25">
      <c r="A162" s="78">
        <v>46034</v>
      </c>
      <c r="B162" s="79" t="s">
        <v>2728</v>
      </c>
      <c r="C162" s="80" t="s">
        <v>2729</v>
      </c>
      <c r="D162" s="81">
        <v>2130</v>
      </c>
      <c r="E162" s="26" t="s">
        <v>2730</v>
      </c>
      <c r="F162" s="82">
        <v>933</v>
      </c>
      <c r="G162" s="83" t="s">
        <v>622</v>
      </c>
      <c r="H162" s="84">
        <v>933</v>
      </c>
      <c r="I162" s="80" t="s">
        <v>2633</v>
      </c>
      <c r="J162" s="80"/>
    </row>
    <row r="163" spans="1:10" x14ac:dyDescent="0.25">
      <c r="A163" s="78">
        <v>46034</v>
      </c>
      <c r="B163" s="79" t="s">
        <v>688</v>
      </c>
      <c r="C163" s="80" t="s">
        <v>2731</v>
      </c>
      <c r="D163" s="81">
        <v>7746</v>
      </c>
      <c r="E163" s="26" t="s">
        <v>692</v>
      </c>
      <c r="F163" s="82">
        <v>68000</v>
      </c>
      <c r="G163" s="83" t="s">
        <v>622</v>
      </c>
      <c r="H163" s="84">
        <v>68000</v>
      </c>
      <c r="I163" s="80" t="s">
        <v>2633</v>
      </c>
      <c r="J163" s="80"/>
    </row>
    <row r="164" spans="1:10" x14ac:dyDescent="0.25">
      <c r="A164" s="78">
        <v>46034</v>
      </c>
      <c r="B164" s="79" t="s">
        <v>688</v>
      </c>
      <c r="C164" s="80" t="s">
        <v>2732</v>
      </c>
      <c r="D164" s="81">
        <v>7746</v>
      </c>
      <c r="E164" s="26" t="s">
        <v>692</v>
      </c>
      <c r="F164" s="82">
        <v>67200</v>
      </c>
      <c r="G164" s="83" t="s">
        <v>622</v>
      </c>
      <c r="H164" s="84">
        <v>67200</v>
      </c>
      <c r="I164" s="80" t="s">
        <v>2633</v>
      </c>
      <c r="J164" s="80"/>
    </row>
    <row r="165" spans="1:10" x14ac:dyDescent="0.25">
      <c r="A165" s="78">
        <v>46034</v>
      </c>
      <c r="B165" s="79" t="s">
        <v>2733</v>
      </c>
      <c r="C165" s="80" t="s">
        <v>2123</v>
      </c>
      <c r="D165" s="81">
        <v>7128</v>
      </c>
      <c r="E165" s="26" t="s">
        <v>633</v>
      </c>
      <c r="F165" s="82">
        <v>105000</v>
      </c>
      <c r="G165" s="83" t="s">
        <v>622</v>
      </c>
      <c r="H165" s="84">
        <v>105000</v>
      </c>
      <c r="I165" s="80" t="s">
        <v>2609</v>
      </c>
      <c r="J165" s="80"/>
    </row>
    <row r="166" spans="1:10" x14ac:dyDescent="0.25">
      <c r="A166" s="78">
        <v>46034</v>
      </c>
      <c r="B166" s="79" t="s">
        <v>2624</v>
      </c>
      <c r="C166" s="80" t="s">
        <v>2734</v>
      </c>
      <c r="D166" s="81" t="s">
        <v>2713</v>
      </c>
      <c r="E166" s="26" t="s">
        <v>2714</v>
      </c>
      <c r="F166" s="82">
        <v>2083</v>
      </c>
      <c r="G166" s="83" t="s">
        <v>619</v>
      </c>
      <c r="H166" s="84">
        <v>2083</v>
      </c>
      <c r="I166" s="80" t="s">
        <v>2607</v>
      </c>
      <c r="J166" s="136"/>
    </row>
    <row r="167" spans="1:10" x14ac:dyDescent="0.25">
      <c r="A167" s="78">
        <v>46034</v>
      </c>
      <c r="B167" s="79" t="s">
        <v>2621</v>
      </c>
      <c r="C167" s="80" t="s">
        <v>2735</v>
      </c>
      <c r="D167" s="81" t="s">
        <v>2669</v>
      </c>
      <c r="E167" s="26" t="s">
        <v>2670</v>
      </c>
      <c r="F167" s="82">
        <v>7505</v>
      </c>
      <c r="G167" s="83" t="s">
        <v>619</v>
      </c>
      <c r="H167" s="84">
        <v>7505</v>
      </c>
      <c r="I167" s="80" t="s">
        <v>2607</v>
      </c>
      <c r="J167" s="80"/>
    </row>
    <row r="168" spans="1:10" x14ac:dyDescent="0.25">
      <c r="A168" s="78">
        <v>46034</v>
      </c>
      <c r="B168" s="79" t="s">
        <v>2736</v>
      </c>
      <c r="C168" s="80" t="s">
        <v>2154</v>
      </c>
      <c r="D168" s="81" t="s">
        <v>2155</v>
      </c>
      <c r="E168" s="26" t="s">
        <v>2156</v>
      </c>
      <c r="F168" s="82">
        <v>5400</v>
      </c>
      <c r="G168" s="83" t="s">
        <v>622</v>
      </c>
      <c r="H168" s="84">
        <v>5400</v>
      </c>
      <c r="I168" s="80" t="s">
        <v>2607</v>
      </c>
      <c r="J168" s="80"/>
    </row>
    <row r="169" spans="1:10" x14ac:dyDescent="0.25">
      <c r="A169" s="78">
        <v>46034</v>
      </c>
      <c r="B169" s="79" t="s">
        <v>2665</v>
      </c>
      <c r="C169" s="80" t="s">
        <v>2348</v>
      </c>
      <c r="D169" s="81" t="s">
        <v>894</v>
      </c>
      <c r="E169" s="26" t="s">
        <v>895</v>
      </c>
      <c r="F169" s="82">
        <v>3500</v>
      </c>
      <c r="G169" s="83" t="s">
        <v>619</v>
      </c>
      <c r="H169" s="84">
        <v>3500</v>
      </c>
      <c r="I169" s="80" t="s">
        <v>2607</v>
      </c>
      <c r="J169" s="80"/>
    </row>
    <row r="170" spans="1:10" x14ac:dyDescent="0.25">
      <c r="A170" s="78">
        <v>46034</v>
      </c>
      <c r="B170" s="79" t="s">
        <v>712</v>
      </c>
      <c r="C170" s="80" t="s">
        <v>1467</v>
      </c>
      <c r="D170" s="81" t="s">
        <v>1126</v>
      </c>
      <c r="E170" s="26" t="s">
        <v>808</v>
      </c>
      <c r="F170" s="82">
        <v>40000</v>
      </c>
      <c r="G170" s="83" t="s">
        <v>622</v>
      </c>
      <c r="H170" s="84">
        <v>40000</v>
      </c>
      <c r="I170" s="80" t="s">
        <v>2607</v>
      </c>
      <c r="J170" s="80"/>
    </row>
    <row r="171" spans="1:10" x14ac:dyDescent="0.25">
      <c r="A171" s="78">
        <v>46035</v>
      </c>
      <c r="B171" s="79" t="s">
        <v>715</v>
      </c>
      <c r="C171" s="80" t="s">
        <v>2737</v>
      </c>
      <c r="D171" s="81">
        <v>7185</v>
      </c>
      <c r="E171" s="26" t="s">
        <v>717</v>
      </c>
      <c r="F171" s="82">
        <v>55000</v>
      </c>
      <c r="G171" s="83" t="s">
        <v>622</v>
      </c>
      <c r="H171" s="84">
        <v>55000</v>
      </c>
      <c r="I171" s="80" t="s">
        <v>2633</v>
      </c>
      <c r="J171" s="80"/>
    </row>
    <row r="172" spans="1:10" x14ac:dyDescent="0.25">
      <c r="A172" s="78">
        <v>46035</v>
      </c>
      <c r="B172" s="79" t="s">
        <v>2611</v>
      </c>
      <c r="C172" s="80" t="s">
        <v>2738</v>
      </c>
      <c r="D172" s="81">
        <v>9011231</v>
      </c>
      <c r="E172" s="26" t="s">
        <v>2739</v>
      </c>
      <c r="F172" s="82">
        <v>1250</v>
      </c>
      <c r="G172" s="83" t="s">
        <v>619</v>
      </c>
      <c r="H172" s="84">
        <v>1250</v>
      </c>
      <c r="I172" s="80" t="s">
        <v>2607</v>
      </c>
      <c r="J172" s="80"/>
    </row>
    <row r="173" spans="1:10" x14ac:dyDescent="0.25">
      <c r="A173" s="78">
        <v>46035</v>
      </c>
      <c r="B173" s="79" t="s">
        <v>2680</v>
      </c>
      <c r="C173" s="80" t="s">
        <v>2740</v>
      </c>
      <c r="D173" s="81">
        <v>900401</v>
      </c>
      <c r="E173" s="26" t="s">
        <v>2741</v>
      </c>
      <c r="F173" s="82">
        <v>480</v>
      </c>
      <c r="G173" s="83" t="s">
        <v>619</v>
      </c>
      <c r="H173" s="84">
        <v>480</v>
      </c>
      <c r="I173" s="80" t="s">
        <v>2607</v>
      </c>
      <c r="J173" s="80"/>
    </row>
    <row r="174" spans="1:10" x14ac:dyDescent="0.25">
      <c r="A174" s="78">
        <v>46035</v>
      </c>
      <c r="B174" s="79" t="s">
        <v>2614</v>
      </c>
      <c r="C174" s="80" t="s">
        <v>2742</v>
      </c>
      <c r="D174" s="81">
        <v>900102</v>
      </c>
      <c r="E174" s="26" t="s">
        <v>2743</v>
      </c>
      <c r="F174" s="82">
        <v>720</v>
      </c>
      <c r="G174" s="83" t="s">
        <v>619</v>
      </c>
      <c r="H174" s="84">
        <v>720</v>
      </c>
      <c r="I174" s="80" t="s">
        <v>2607</v>
      </c>
      <c r="J174" s="80"/>
    </row>
    <row r="175" spans="1:10" x14ac:dyDescent="0.25">
      <c r="A175" s="78">
        <v>46035</v>
      </c>
      <c r="B175" s="79" t="s">
        <v>2617</v>
      </c>
      <c r="C175" s="80" t="s">
        <v>2744</v>
      </c>
      <c r="D175" s="81">
        <v>5150010451</v>
      </c>
      <c r="E175" s="26" t="s">
        <v>2706</v>
      </c>
      <c r="F175" s="82">
        <v>2256</v>
      </c>
      <c r="G175" s="83" t="s">
        <v>619</v>
      </c>
      <c r="H175" s="84">
        <v>2256</v>
      </c>
      <c r="I175" s="80" t="s">
        <v>2607</v>
      </c>
      <c r="J175" s="80"/>
    </row>
    <row r="176" spans="1:10" x14ac:dyDescent="0.25">
      <c r="A176" s="78">
        <v>46035</v>
      </c>
      <c r="B176" s="79" t="s">
        <v>2608</v>
      </c>
      <c r="C176" s="80" t="s">
        <v>2047</v>
      </c>
      <c r="D176" s="81">
        <v>79500</v>
      </c>
      <c r="E176" s="26" t="s">
        <v>625</v>
      </c>
      <c r="F176" s="82">
        <v>105000</v>
      </c>
      <c r="G176" s="83" t="s">
        <v>622</v>
      </c>
      <c r="H176" s="84">
        <v>105000</v>
      </c>
      <c r="I176" s="80" t="s">
        <v>2609</v>
      </c>
      <c r="J176" s="80"/>
    </row>
    <row r="177" spans="1:10" x14ac:dyDescent="0.25">
      <c r="A177" s="78">
        <v>46035</v>
      </c>
      <c r="B177" s="79" t="s">
        <v>685</v>
      </c>
      <c r="C177" s="80" t="s">
        <v>2745</v>
      </c>
      <c r="D177" s="81" t="s">
        <v>686</v>
      </c>
      <c r="E177" s="26" t="s">
        <v>687</v>
      </c>
      <c r="F177" s="82">
        <v>40000</v>
      </c>
      <c r="G177" s="83" t="s">
        <v>622</v>
      </c>
      <c r="H177" s="84">
        <v>40000</v>
      </c>
      <c r="I177" s="80" t="s">
        <v>2633</v>
      </c>
      <c r="J177" s="80"/>
    </row>
    <row r="178" spans="1:10" x14ac:dyDescent="0.25">
      <c r="A178" s="78">
        <v>46035</v>
      </c>
      <c r="B178" s="79" t="s">
        <v>693</v>
      </c>
      <c r="C178" s="80" t="s">
        <v>2746</v>
      </c>
      <c r="D178" s="81">
        <v>910326</v>
      </c>
      <c r="E178" s="26" t="s">
        <v>1583</v>
      </c>
      <c r="F178" s="82">
        <v>9120</v>
      </c>
      <c r="G178" s="83" t="s">
        <v>619</v>
      </c>
      <c r="H178" s="84">
        <v>9120</v>
      </c>
      <c r="I178" s="80" t="s">
        <v>2607</v>
      </c>
      <c r="J178" s="80"/>
    </row>
    <row r="179" spans="1:10" x14ac:dyDescent="0.25">
      <c r="A179" s="78">
        <v>46035</v>
      </c>
      <c r="B179" s="79" t="s">
        <v>693</v>
      </c>
      <c r="C179" s="80" t="s">
        <v>2747</v>
      </c>
      <c r="D179" s="81">
        <v>910526</v>
      </c>
      <c r="E179" s="26" t="s">
        <v>1602</v>
      </c>
      <c r="F179" s="82">
        <v>9120</v>
      </c>
      <c r="G179" s="83" t="s">
        <v>619</v>
      </c>
      <c r="H179" s="84">
        <v>9120</v>
      </c>
      <c r="I179" s="80" t="s">
        <v>2607</v>
      </c>
      <c r="J179" s="80"/>
    </row>
    <row r="180" spans="1:10" x14ac:dyDescent="0.25">
      <c r="A180" s="78">
        <v>46035</v>
      </c>
      <c r="B180" s="79" t="s">
        <v>712</v>
      </c>
      <c r="C180" s="80" t="s">
        <v>1468</v>
      </c>
      <c r="D180" s="81" t="s">
        <v>1126</v>
      </c>
      <c r="E180" s="26" t="s">
        <v>808</v>
      </c>
      <c r="F180" s="82">
        <v>40000</v>
      </c>
      <c r="G180" s="83" t="s">
        <v>622</v>
      </c>
      <c r="H180" s="84">
        <v>40000</v>
      </c>
      <c r="I180" s="80" t="s">
        <v>2607</v>
      </c>
      <c r="J180" s="80"/>
    </row>
    <row r="181" spans="1:10" x14ac:dyDescent="0.25">
      <c r="A181" s="78">
        <v>46035</v>
      </c>
      <c r="B181" s="79" t="s">
        <v>679</v>
      </c>
      <c r="C181" s="80" t="s">
        <v>2748</v>
      </c>
      <c r="D181" s="81">
        <v>7212</v>
      </c>
      <c r="E181" s="26" t="s">
        <v>681</v>
      </c>
      <c r="F181" s="82">
        <v>85000</v>
      </c>
      <c r="G181" s="83" t="s">
        <v>622</v>
      </c>
      <c r="H181" s="84">
        <v>85000</v>
      </c>
      <c r="I181" s="80" t="s">
        <v>2633</v>
      </c>
      <c r="J181" s="80"/>
    </row>
    <row r="182" spans="1:10" x14ac:dyDescent="0.25">
      <c r="A182" s="78">
        <v>46035</v>
      </c>
      <c r="B182" s="79" t="s">
        <v>679</v>
      </c>
      <c r="C182" s="80" t="s">
        <v>2749</v>
      </c>
      <c r="D182" s="81">
        <v>7213</v>
      </c>
      <c r="E182" s="26" t="s">
        <v>719</v>
      </c>
      <c r="F182" s="82">
        <v>85000</v>
      </c>
      <c r="G182" s="83" t="s">
        <v>622</v>
      </c>
      <c r="H182" s="84">
        <v>85000</v>
      </c>
      <c r="I182" s="80" t="s">
        <v>2633</v>
      </c>
      <c r="J182" s="80"/>
    </row>
    <row r="183" spans="1:10" x14ac:dyDescent="0.25">
      <c r="A183" s="78">
        <v>46035</v>
      </c>
      <c r="B183" s="79" t="s">
        <v>679</v>
      </c>
      <c r="C183" s="80" t="s">
        <v>2750</v>
      </c>
      <c r="D183" s="81">
        <v>7213</v>
      </c>
      <c r="E183" s="26" t="s">
        <v>719</v>
      </c>
      <c r="F183" s="82">
        <v>85000</v>
      </c>
      <c r="G183" s="83" t="s">
        <v>622</v>
      </c>
      <c r="H183" s="84">
        <v>85000</v>
      </c>
      <c r="I183" s="80" t="s">
        <v>2633</v>
      </c>
      <c r="J183" s="80"/>
    </row>
    <row r="184" spans="1:10" x14ac:dyDescent="0.25">
      <c r="A184" s="78">
        <v>46035</v>
      </c>
      <c r="B184" s="79" t="s">
        <v>682</v>
      </c>
      <c r="C184" s="80" t="s">
        <v>2751</v>
      </c>
      <c r="D184" s="81">
        <v>7552</v>
      </c>
      <c r="E184" s="26" t="s">
        <v>2752</v>
      </c>
      <c r="F184" s="82">
        <v>24000</v>
      </c>
      <c r="G184" s="83" t="s">
        <v>622</v>
      </c>
      <c r="H184" s="84">
        <v>24000</v>
      </c>
      <c r="I184" s="80" t="s">
        <v>2633</v>
      </c>
      <c r="J184" s="80"/>
    </row>
    <row r="185" spans="1:10" x14ac:dyDescent="0.25">
      <c r="A185" s="78">
        <v>46035</v>
      </c>
      <c r="B185" s="79" t="s">
        <v>688</v>
      </c>
      <c r="C185" s="80" t="s">
        <v>2753</v>
      </c>
      <c r="D185" s="81">
        <v>7741</v>
      </c>
      <c r="E185" s="26" t="s">
        <v>690</v>
      </c>
      <c r="F185" s="82">
        <v>68000</v>
      </c>
      <c r="G185" s="83" t="s">
        <v>622</v>
      </c>
      <c r="H185" s="84">
        <v>68000</v>
      </c>
      <c r="I185" s="80" t="s">
        <v>2633</v>
      </c>
      <c r="J185" s="80"/>
    </row>
    <row r="186" spans="1:10" x14ac:dyDescent="0.25">
      <c r="A186" s="78">
        <v>46035</v>
      </c>
      <c r="B186" s="79">
        <v>7002</v>
      </c>
      <c r="C186" s="80" t="s">
        <v>2754</v>
      </c>
      <c r="D186" s="81">
        <v>961515</v>
      </c>
      <c r="E186" s="26" t="s">
        <v>2691</v>
      </c>
      <c r="F186" s="82">
        <v>325</v>
      </c>
      <c r="G186" s="83" t="s">
        <v>619</v>
      </c>
      <c r="H186" s="84">
        <v>325</v>
      </c>
      <c r="I186" s="80" t="s">
        <v>2607</v>
      </c>
      <c r="J186" s="80"/>
    </row>
    <row r="187" spans="1:10" x14ac:dyDescent="0.25">
      <c r="A187" s="78">
        <v>46035</v>
      </c>
      <c r="B187" s="79" t="s">
        <v>2624</v>
      </c>
      <c r="C187" s="80" t="s">
        <v>2755</v>
      </c>
      <c r="D187" s="81" t="s">
        <v>2756</v>
      </c>
      <c r="E187" s="26" t="s">
        <v>2757</v>
      </c>
      <c r="F187" s="82">
        <v>3505</v>
      </c>
      <c r="G187" s="83" t="s">
        <v>619</v>
      </c>
      <c r="H187" s="84">
        <v>3505</v>
      </c>
      <c r="I187" s="80" t="s">
        <v>2607</v>
      </c>
      <c r="J187" s="80"/>
    </row>
    <row r="188" spans="1:10" x14ac:dyDescent="0.25">
      <c r="A188" s="78">
        <v>46036</v>
      </c>
      <c r="B188" s="79" t="s">
        <v>2608</v>
      </c>
      <c r="C188" s="80" t="s">
        <v>2052</v>
      </c>
      <c r="D188" s="81">
        <v>79502</v>
      </c>
      <c r="E188" s="26" t="s">
        <v>885</v>
      </c>
      <c r="F188" s="82">
        <v>105000</v>
      </c>
      <c r="G188" s="83" t="s">
        <v>622</v>
      </c>
      <c r="H188" s="84">
        <v>105000</v>
      </c>
      <c r="I188" s="80" t="s">
        <v>2609</v>
      </c>
      <c r="J188" s="80"/>
    </row>
    <row r="189" spans="1:10" x14ac:dyDescent="0.25">
      <c r="A189" s="78">
        <v>46036</v>
      </c>
      <c r="B189" s="79" t="s">
        <v>2652</v>
      </c>
      <c r="C189" s="80" t="s">
        <v>2358</v>
      </c>
      <c r="D189" s="81">
        <v>2247</v>
      </c>
      <c r="E189" s="26" t="s">
        <v>1014</v>
      </c>
      <c r="F189" s="82">
        <v>172</v>
      </c>
      <c r="G189" s="83" t="s">
        <v>622</v>
      </c>
      <c r="H189" s="84">
        <v>172</v>
      </c>
      <c r="I189" s="80" t="s">
        <v>2607</v>
      </c>
      <c r="J189" s="80"/>
    </row>
    <row r="190" spans="1:10" x14ac:dyDescent="0.25">
      <c r="A190" s="78">
        <v>46036</v>
      </c>
      <c r="B190" s="79" t="s">
        <v>2652</v>
      </c>
      <c r="C190" s="80" t="s">
        <v>2357</v>
      </c>
      <c r="D190" s="81">
        <v>2239</v>
      </c>
      <c r="E190" s="26" t="s">
        <v>892</v>
      </c>
      <c r="F190" s="82">
        <v>88</v>
      </c>
      <c r="G190" s="83" t="s">
        <v>622</v>
      </c>
      <c r="H190" s="84">
        <v>88</v>
      </c>
      <c r="I190" s="80" t="s">
        <v>2607</v>
      </c>
      <c r="J190" s="80"/>
    </row>
    <row r="191" spans="1:10" x14ac:dyDescent="0.25">
      <c r="A191" s="78">
        <v>46036</v>
      </c>
      <c r="B191" s="79" t="s">
        <v>2652</v>
      </c>
      <c r="C191" s="80" t="s">
        <v>2359</v>
      </c>
      <c r="D191" s="81">
        <v>2249</v>
      </c>
      <c r="E191" s="26" t="s">
        <v>1015</v>
      </c>
      <c r="F191" s="82">
        <v>256</v>
      </c>
      <c r="G191" s="83" t="s">
        <v>622</v>
      </c>
      <c r="H191" s="84">
        <v>256</v>
      </c>
      <c r="I191" s="80" t="s">
        <v>2607</v>
      </c>
      <c r="J191" s="80"/>
    </row>
    <row r="192" spans="1:10" x14ac:dyDescent="0.25">
      <c r="A192" s="78">
        <v>46036</v>
      </c>
      <c r="B192" s="79" t="s">
        <v>2652</v>
      </c>
      <c r="C192" s="80" t="s">
        <v>2353</v>
      </c>
      <c r="D192" s="81">
        <v>2207</v>
      </c>
      <c r="E192" s="26" t="s">
        <v>887</v>
      </c>
      <c r="F192" s="82">
        <v>188</v>
      </c>
      <c r="G192" s="83" t="s">
        <v>622</v>
      </c>
      <c r="H192" s="84">
        <v>188</v>
      </c>
      <c r="I192" s="80" t="s">
        <v>2607</v>
      </c>
      <c r="J192" s="80"/>
    </row>
    <row r="193" spans="1:10" x14ac:dyDescent="0.25">
      <c r="A193" s="78">
        <v>46036</v>
      </c>
      <c r="B193" s="79" t="s">
        <v>2652</v>
      </c>
      <c r="C193" s="80" t="s">
        <v>2356</v>
      </c>
      <c r="D193" s="81">
        <v>2233</v>
      </c>
      <c r="E193" s="26" t="s">
        <v>890</v>
      </c>
      <c r="F193" s="82">
        <v>256</v>
      </c>
      <c r="G193" s="83" t="s">
        <v>622</v>
      </c>
      <c r="H193" s="84">
        <v>256</v>
      </c>
      <c r="I193" s="80" t="s">
        <v>2607</v>
      </c>
      <c r="J193" s="80"/>
    </row>
    <row r="194" spans="1:10" x14ac:dyDescent="0.25">
      <c r="A194" s="78">
        <v>46036</v>
      </c>
      <c r="B194" s="79" t="s">
        <v>2680</v>
      </c>
      <c r="C194" s="80" t="s">
        <v>2758</v>
      </c>
      <c r="D194" s="81">
        <v>900401</v>
      </c>
      <c r="E194" s="26" t="s">
        <v>2741</v>
      </c>
      <c r="F194" s="82">
        <v>480</v>
      </c>
      <c r="G194" s="83" t="s">
        <v>619</v>
      </c>
      <c r="H194" s="84">
        <v>480</v>
      </c>
      <c r="I194" s="80" t="s">
        <v>2607</v>
      </c>
      <c r="J194" s="80"/>
    </row>
    <row r="195" spans="1:10" x14ac:dyDescent="0.25">
      <c r="A195" s="78">
        <v>46036</v>
      </c>
      <c r="B195" s="79" t="s">
        <v>2652</v>
      </c>
      <c r="C195" s="80" t="s">
        <v>2352</v>
      </c>
      <c r="D195" s="81">
        <v>2201</v>
      </c>
      <c r="E195" s="26" t="s">
        <v>879</v>
      </c>
      <c r="F195" s="82">
        <v>260</v>
      </c>
      <c r="G195" s="83" t="s">
        <v>622</v>
      </c>
      <c r="H195" s="84">
        <v>260</v>
      </c>
      <c r="I195" s="80" t="s">
        <v>2607</v>
      </c>
      <c r="J195" s="80"/>
    </row>
    <row r="196" spans="1:10" x14ac:dyDescent="0.25">
      <c r="A196" s="78">
        <v>46036</v>
      </c>
      <c r="B196" s="79" t="s">
        <v>2652</v>
      </c>
      <c r="C196" s="80" t="s">
        <v>2354</v>
      </c>
      <c r="D196" s="81">
        <v>2209</v>
      </c>
      <c r="E196" s="26" t="s">
        <v>888</v>
      </c>
      <c r="F196" s="82">
        <v>292</v>
      </c>
      <c r="G196" s="83" t="s">
        <v>622</v>
      </c>
      <c r="H196" s="84">
        <v>292</v>
      </c>
      <c r="I196" s="80" t="s">
        <v>2607</v>
      </c>
    </row>
    <row r="197" spans="1:10" x14ac:dyDescent="0.25">
      <c r="A197" s="78">
        <v>46036</v>
      </c>
      <c r="B197" s="79" t="s">
        <v>2614</v>
      </c>
      <c r="C197" s="80" t="s">
        <v>2759</v>
      </c>
      <c r="D197" s="81">
        <v>900102</v>
      </c>
      <c r="E197" s="26" t="s">
        <v>2743</v>
      </c>
      <c r="F197" s="82">
        <v>350</v>
      </c>
      <c r="G197" s="83" t="s">
        <v>619</v>
      </c>
      <c r="H197" s="84">
        <v>350</v>
      </c>
      <c r="I197" s="80" t="s">
        <v>2607</v>
      </c>
      <c r="J197" s="80"/>
    </row>
    <row r="198" spans="1:10" x14ac:dyDescent="0.25">
      <c r="A198" s="78">
        <v>46036</v>
      </c>
      <c r="B198" s="79" t="s">
        <v>2611</v>
      </c>
      <c r="C198" s="80" t="s">
        <v>2760</v>
      </c>
      <c r="D198" s="81">
        <v>9011231</v>
      </c>
      <c r="E198" s="26" t="s">
        <v>2739</v>
      </c>
      <c r="F198" s="82">
        <v>1250</v>
      </c>
      <c r="G198" s="83" t="s">
        <v>619</v>
      </c>
      <c r="H198" s="84">
        <v>1250</v>
      </c>
      <c r="I198" s="80" t="s">
        <v>2607</v>
      </c>
      <c r="J198" s="80"/>
    </row>
    <row r="199" spans="1:10" x14ac:dyDescent="0.25">
      <c r="A199" s="78">
        <v>46036</v>
      </c>
      <c r="B199" s="79" t="s">
        <v>2658</v>
      </c>
      <c r="C199" s="80" t="s">
        <v>2159</v>
      </c>
      <c r="D199" s="81" t="s">
        <v>637</v>
      </c>
      <c r="E199" s="26" t="s">
        <v>638</v>
      </c>
      <c r="F199" s="82">
        <v>2500</v>
      </c>
      <c r="G199" s="83" t="s">
        <v>619</v>
      </c>
      <c r="H199" s="84">
        <v>2500</v>
      </c>
      <c r="I199" s="80" t="s">
        <v>2607</v>
      </c>
      <c r="J199" s="80"/>
    </row>
    <row r="200" spans="1:10" x14ac:dyDescent="0.25">
      <c r="A200" s="78">
        <v>46036</v>
      </c>
      <c r="B200" s="79" t="s">
        <v>2652</v>
      </c>
      <c r="C200" s="80" t="s">
        <v>2355</v>
      </c>
      <c r="D200" s="81">
        <v>2213</v>
      </c>
      <c r="E200" s="26" t="s">
        <v>889</v>
      </c>
      <c r="F200" s="82">
        <v>172</v>
      </c>
      <c r="G200" s="83" t="s">
        <v>622</v>
      </c>
      <c r="H200" s="84">
        <v>172</v>
      </c>
      <c r="I200" s="80" t="s">
        <v>2607</v>
      </c>
      <c r="J200" s="80"/>
    </row>
    <row r="201" spans="1:10" x14ac:dyDescent="0.25">
      <c r="A201" s="78">
        <v>46036</v>
      </c>
      <c r="B201" s="79" t="s">
        <v>2606</v>
      </c>
      <c r="C201" s="80" t="s">
        <v>2351</v>
      </c>
      <c r="D201" s="81" t="s">
        <v>1401</v>
      </c>
      <c r="E201" s="26" t="s">
        <v>2061</v>
      </c>
      <c r="F201" s="82">
        <v>8335</v>
      </c>
      <c r="G201" s="83" t="s">
        <v>619</v>
      </c>
      <c r="H201" s="84">
        <v>8335</v>
      </c>
      <c r="I201" s="80" t="s">
        <v>2607</v>
      </c>
      <c r="J201" s="80"/>
    </row>
    <row r="202" spans="1:10" x14ac:dyDescent="0.25">
      <c r="A202" s="78">
        <v>46036</v>
      </c>
      <c r="B202" s="79" t="s">
        <v>2621</v>
      </c>
      <c r="C202" s="80" t="s">
        <v>2761</v>
      </c>
      <c r="D202" s="81" t="s">
        <v>2756</v>
      </c>
      <c r="E202" s="26" t="s">
        <v>2757</v>
      </c>
      <c r="F202" s="82">
        <v>7105</v>
      </c>
      <c r="G202" s="83" t="s">
        <v>619</v>
      </c>
      <c r="H202" s="84">
        <v>7105</v>
      </c>
      <c r="I202" s="80" t="s">
        <v>2607</v>
      </c>
      <c r="J202" s="80"/>
    </row>
    <row r="203" spans="1:10" x14ac:dyDescent="0.25">
      <c r="A203" s="78">
        <v>46036</v>
      </c>
      <c r="B203" s="79" t="s">
        <v>685</v>
      </c>
      <c r="C203" s="80" t="s">
        <v>2762</v>
      </c>
      <c r="D203" s="81" t="s">
        <v>686</v>
      </c>
      <c r="E203" s="26" t="s">
        <v>687</v>
      </c>
      <c r="F203" s="82">
        <v>40000</v>
      </c>
      <c r="G203" s="83" t="s">
        <v>622</v>
      </c>
      <c r="H203" s="84">
        <v>40000</v>
      </c>
      <c r="I203" s="80" t="s">
        <v>2633</v>
      </c>
      <c r="J203" s="80"/>
    </row>
    <row r="204" spans="1:10" x14ac:dyDescent="0.25">
      <c r="A204" s="78">
        <v>46036</v>
      </c>
      <c r="B204" s="79" t="s">
        <v>2606</v>
      </c>
      <c r="C204" s="80" t="s">
        <v>2067</v>
      </c>
      <c r="D204" s="81" t="s">
        <v>1401</v>
      </c>
      <c r="E204" s="26" t="s">
        <v>2061</v>
      </c>
      <c r="F204" s="82">
        <v>8335</v>
      </c>
      <c r="G204" s="83" t="s">
        <v>619</v>
      </c>
      <c r="H204" s="84">
        <v>8335</v>
      </c>
      <c r="I204" s="80" t="s">
        <v>2607</v>
      </c>
      <c r="J204" s="80"/>
    </row>
    <row r="205" spans="1:10" x14ac:dyDescent="0.25">
      <c r="A205" s="78">
        <v>46036</v>
      </c>
      <c r="B205" s="79">
        <v>7002</v>
      </c>
      <c r="C205" s="80" t="s">
        <v>2763</v>
      </c>
      <c r="D205" s="81">
        <v>961515</v>
      </c>
      <c r="E205" s="26" t="s">
        <v>2691</v>
      </c>
      <c r="F205" s="82">
        <v>325</v>
      </c>
      <c r="G205" s="83" t="s">
        <v>619</v>
      </c>
      <c r="H205" s="84">
        <v>325</v>
      </c>
      <c r="I205" s="80" t="s">
        <v>2607</v>
      </c>
      <c r="J205" s="80"/>
    </row>
    <row r="206" spans="1:10" x14ac:dyDescent="0.25">
      <c r="A206" s="78">
        <v>46036</v>
      </c>
      <c r="B206" s="79" t="s">
        <v>688</v>
      </c>
      <c r="C206" s="80" t="s">
        <v>2764</v>
      </c>
      <c r="D206" s="81">
        <v>7741</v>
      </c>
      <c r="E206" s="26" t="s">
        <v>690</v>
      </c>
      <c r="F206" s="82">
        <v>68000</v>
      </c>
      <c r="G206" s="83" t="s">
        <v>622</v>
      </c>
      <c r="H206" s="84">
        <v>68000</v>
      </c>
      <c r="I206" s="80" t="s">
        <v>2633</v>
      </c>
      <c r="J206" s="80"/>
    </row>
    <row r="207" spans="1:10" x14ac:dyDescent="0.25">
      <c r="A207" s="78">
        <v>46036</v>
      </c>
      <c r="B207" s="79" t="s">
        <v>682</v>
      </c>
      <c r="C207" s="80" t="s">
        <v>2765</v>
      </c>
      <c r="D207" s="81">
        <v>7552</v>
      </c>
      <c r="E207" s="26" t="s">
        <v>2752</v>
      </c>
      <c r="F207" s="82">
        <v>24000</v>
      </c>
      <c r="G207" s="83" t="s">
        <v>622</v>
      </c>
      <c r="H207" s="84">
        <v>24000</v>
      </c>
      <c r="I207" s="80" t="s">
        <v>2633</v>
      </c>
      <c r="J207" s="80"/>
    </row>
    <row r="208" spans="1:10" x14ac:dyDescent="0.25">
      <c r="A208" s="78">
        <v>46036</v>
      </c>
      <c r="B208" s="79" t="s">
        <v>712</v>
      </c>
      <c r="C208" s="80" t="s">
        <v>1469</v>
      </c>
      <c r="D208" s="81" t="s">
        <v>1126</v>
      </c>
      <c r="E208" s="26" t="s">
        <v>808</v>
      </c>
      <c r="F208" s="82">
        <v>40000</v>
      </c>
      <c r="G208" s="83" t="s">
        <v>622</v>
      </c>
      <c r="H208" s="84">
        <v>40000</v>
      </c>
      <c r="I208" s="80" t="s">
        <v>2607</v>
      </c>
      <c r="J208" s="80"/>
    </row>
    <row r="209" spans="1:13" x14ac:dyDescent="0.25">
      <c r="A209" s="78">
        <v>46036</v>
      </c>
      <c r="B209" s="79" t="s">
        <v>2624</v>
      </c>
      <c r="C209" s="80" t="s">
        <v>2766</v>
      </c>
      <c r="D209" s="81" t="s">
        <v>2756</v>
      </c>
      <c r="E209" s="26" t="s">
        <v>2757</v>
      </c>
      <c r="F209" s="82">
        <v>3505</v>
      </c>
      <c r="G209" s="83" t="s">
        <v>619</v>
      </c>
      <c r="H209" s="84">
        <v>3505</v>
      </c>
      <c r="I209" s="80" t="s">
        <v>2607</v>
      </c>
      <c r="J209" s="80"/>
      <c r="L209" s="91"/>
      <c r="M209" s="148"/>
    </row>
    <row r="210" spans="1:13" x14ac:dyDescent="0.25">
      <c r="A210" s="78">
        <v>46036</v>
      </c>
      <c r="B210" s="79" t="s">
        <v>679</v>
      </c>
      <c r="C210" s="80" t="s">
        <v>2767</v>
      </c>
      <c r="D210" s="81">
        <v>7213</v>
      </c>
      <c r="E210" s="26" t="s">
        <v>719</v>
      </c>
      <c r="F210" s="82">
        <v>30000</v>
      </c>
      <c r="G210" s="83" t="s">
        <v>622</v>
      </c>
      <c r="H210" s="84">
        <v>30000</v>
      </c>
      <c r="I210" s="80" t="s">
        <v>2633</v>
      </c>
      <c r="J210" s="80"/>
      <c r="L210" s="91"/>
      <c r="M210" s="148"/>
    </row>
    <row r="211" spans="1:13" x14ac:dyDescent="0.25">
      <c r="A211" s="78">
        <v>46036</v>
      </c>
      <c r="B211" s="79" t="s">
        <v>2621</v>
      </c>
      <c r="C211" s="80" t="s">
        <v>2768</v>
      </c>
      <c r="D211" s="81" t="s">
        <v>2669</v>
      </c>
      <c r="E211" s="26" t="s">
        <v>2670</v>
      </c>
      <c r="F211" s="82">
        <v>7505</v>
      </c>
      <c r="G211" s="83" t="s">
        <v>619</v>
      </c>
      <c r="H211" s="84">
        <v>7505</v>
      </c>
      <c r="I211" s="80" t="s">
        <v>2607</v>
      </c>
      <c r="J211" s="80"/>
      <c r="L211" s="91"/>
      <c r="M211" s="148"/>
    </row>
    <row r="212" spans="1:13" x14ac:dyDescent="0.25">
      <c r="A212" s="78">
        <v>46036</v>
      </c>
      <c r="B212" s="79" t="s">
        <v>693</v>
      </c>
      <c r="C212" s="80" t="s">
        <v>2769</v>
      </c>
      <c r="D212" s="81">
        <v>910326</v>
      </c>
      <c r="E212" s="26" t="s">
        <v>1583</v>
      </c>
      <c r="F212" s="82">
        <v>9120</v>
      </c>
      <c r="G212" s="83" t="s">
        <v>619</v>
      </c>
      <c r="H212" s="84">
        <v>9120</v>
      </c>
      <c r="I212" s="80" t="s">
        <v>2607</v>
      </c>
      <c r="J212" s="80"/>
      <c r="L212" s="91"/>
      <c r="M212" s="148"/>
    </row>
    <row r="213" spans="1:13" x14ac:dyDescent="0.25">
      <c r="A213" s="78">
        <v>46036</v>
      </c>
      <c r="B213" s="79" t="s">
        <v>693</v>
      </c>
      <c r="C213" s="80" t="s">
        <v>2770</v>
      </c>
      <c r="D213" s="81">
        <v>910526</v>
      </c>
      <c r="E213" s="26" t="s">
        <v>1602</v>
      </c>
      <c r="F213" s="82">
        <v>9120</v>
      </c>
      <c r="G213" s="83" t="s">
        <v>619</v>
      </c>
      <c r="H213" s="84">
        <v>9120</v>
      </c>
      <c r="I213" s="80" t="s">
        <v>2607</v>
      </c>
      <c r="J213" s="80"/>
      <c r="L213" s="91"/>
      <c r="M213" s="148"/>
    </row>
    <row r="214" spans="1:13" x14ac:dyDescent="0.25">
      <c r="A214" s="78">
        <v>46036</v>
      </c>
      <c r="B214" s="79" t="s">
        <v>2665</v>
      </c>
      <c r="C214" s="80" t="s">
        <v>2196</v>
      </c>
      <c r="D214" s="81" t="s">
        <v>819</v>
      </c>
      <c r="E214" s="26" t="s">
        <v>2771</v>
      </c>
      <c r="F214" s="82">
        <v>4500</v>
      </c>
      <c r="G214" s="83" t="s">
        <v>619</v>
      </c>
      <c r="H214" s="84">
        <v>4500</v>
      </c>
      <c r="I214" s="80" t="s">
        <v>2607</v>
      </c>
      <c r="J214" s="80"/>
      <c r="L214" s="91"/>
      <c r="M214" s="148"/>
    </row>
    <row r="215" spans="1:13" x14ac:dyDescent="0.25">
      <c r="A215" s="78">
        <v>46036</v>
      </c>
      <c r="B215" s="79" t="s">
        <v>2665</v>
      </c>
      <c r="C215" s="80" t="s">
        <v>2197</v>
      </c>
      <c r="D215" s="81" t="s">
        <v>820</v>
      </c>
      <c r="E215" s="26" t="s">
        <v>2772</v>
      </c>
      <c r="F215" s="82">
        <v>400</v>
      </c>
      <c r="G215" s="83" t="s">
        <v>619</v>
      </c>
      <c r="H215" s="84">
        <v>400</v>
      </c>
      <c r="I215" s="80" t="s">
        <v>2607</v>
      </c>
      <c r="J215" s="80"/>
      <c r="L215" s="91"/>
      <c r="M215" s="148"/>
    </row>
    <row r="216" spans="1:13" x14ac:dyDescent="0.25">
      <c r="A216" s="78">
        <v>46037</v>
      </c>
      <c r="B216" s="79" t="s">
        <v>81</v>
      </c>
      <c r="C216" s="80" t="s">
        <v>2773</v>
      </c>
      <c r="D216" s="81">
        <v>2202</v>
      </c>
      <c r="E216" s="26" t="s">
        <v>772</v>
      </c>
      <c r="F216" s="82">
        <v>192</v>
      </c>
      <c r="G216" s="83" t="s">
        <v>622</v>
      </c>
      <c r="H216" s="84">
        <v>192</v>
      </c>
      <c r="I216" s="80" t="s">
        <v>2607</v>
      </c>
      <c r="J216" s="80"/>
      <c r="L216" s="91"/>
      <c r="M216" s="148"/>
    </row>
    <row r="217" spans="1:13" x14ac:dyDescent="0.25">
      <c r="A217" s="78">
        <v>46037</v>
      </c>
      <c r="B217" s="79" t="s">
        <v>81</v>
      </c>
      <c r="C217" s="80" t="s">
        <v>2774</v>
      </c>
      <c r="D217" s="81">
        <v>2208</v>
      </c>
      <c r="E217" s="26" t="s">
        <v>758</v>
      </c>
      <c r="F217" s="82">
        <v>228</v>
      </c>
      <c r="G217" s="83" t="s">
        <v>622</v>
      </c>
      <c r="H217" s="84">
        <v>228</v>
      </c>
      <c r="I217" s="80" t="s">
        <v>2607</v>
      </c>
      <c r="J217" s="80"/>
      <c r="L217" s="91"/>
      <c r="M217" s="148"/>
    </row>
    <row r="218" spans="1:13" x14ac:dyDescent="0.25">
      <c r="A218" s="78">
        <v>46037</v>
      </c>
      <c r="B218" s="79" t="s">
        <v>81</v>
      </c>
      <c r="C218" s="80" t="s">
        <v>2775</v>
      </c>
      <c r="D218" s="81">
        <v>2234</v>
      </c>
      <c r="E218" s="26" t="s">
        <v>789</v>
      </c>
      <c r="F218" s="82">
        <v>72</v>
      </c>
      <c r="G218" s="83" t="s">
        <v>622</v>
      </c>
      <c r="H218" s="84">
        <v>72</v>
      </c>
      <c r="I218" s="80" t="s">
        <v>2607</v>
      </c>
      <c r="J218" s="80"/>
      <c r="L218" s="91"/>
      <c r="M218" s="148"/>
    </row>
    <row r="219" spans="1:13" x14ac:dyDescent="0.25">
      <c r="A219" s="78">
        <v>46037</v>
      </c>
      <c r="B219" s="79" t="s">
        <v>81</v>
      </c>
      <c r="C219" s="80" t="s">
        <v>2776</v>
      </c>
      <c r="D219" s="81">
        <v>2250</v>
      </c>
      <c r="E219" s="26" t="s">
        <v>797</v>
      </c>
      <c r="F219" s="82">
        <v>180</v>
      </c>
      <c r="G219" s="83" t="s">
        <v>622</v>
      </c>
      <c r="H219" s="84">
        <v>180</v>
      </c>
      <c r="I219" s="80" t="s">
        <v>2607</v>
      </c>
      <c r="J219" s="80"/>
      <c r="L219" s="91"/>
      <c r="M219" s="148"/>
    </row>
    <row r="220" spans="1:13" x14ac:dyDescent="0.25">
      <c r="A220" s="78">
        <v>46037</v>
      </c>
      <c r="B220" s="79" t="s">
        <v>81</v>
      </c>
      <c r="C220" s="80" t="s">
        <v>2777</v>
      </c>
      <c r="D220" s="81">
        <v>2230</v>
      </c>
      <c r="E220" s="26" t="s">
        <v>749</v>
      </c>
      <c r="F220" s="82">
        <v>36</v>
      </c>
      <c r="G220" s="83" t="s">
        <v>622</v>
      </c>
      <c r="H220" s="84">
        <v>36</v>
      </c>
      <c r="I220" s="80" t="s">
        <v>2607</v>
      </c>
      <c r="J220" s="80"/>
      <c r="L220" s="91"/>
      <c r="M220" s="148"/>
    </row>
    <row r="221" spans="1:13" x14ac:dyDescent="0.25">
      <c r="A221" s="78">
        <v>46037</v>
      </c>
      <c r="B221" s="79" t="s">
        <v>81</v>
      </c>
      <c r="C221" s="80" t="s">
        <v>2778</v>
      </c>
      <c r="D221" s="81">
        <v>2236</v>
      </c>
      <c r="E221" s="26" t="s">
        <v>791</v>
      </c>
      <c r="F221" s="82">
        <v>24</v>
      </c>
      <c r="G221" s="83" t="s">
        <v>622</v>
      </c>
      <c r="H221" s="84">
        <v>24</v>
      </c>
      <c r="I221" s="80" t="s">
        <v>2607</v>
      </c>
      <c r="J221" s="80"/>
      <c r="L221" s="91"/>
      <c r="M221" s="148"/>
    </row>
    <row r="222" spans="1:13" x14ac:dyDescent="0.25">
      <c r="A222" s="78">
        <v>46037</v>
      </c>
      <c r="B222" s="79" t="s">
        <v>2611</v>
      </c>
      <c r="C222" s="80" t="s">
        <v>2779</v>
      </c>
      <c r="D222" s="81">
        <v>9011231</v>
      </c>
      <c r="E222" s="26" t="s">
        <v>2739</v>
      </c>
      <c r="F222" s="82">
        <v>1250</v>
      </c>
      <c r="G222" s="83" t="s">
        <v>619</v>
      </c>
      <c r="H222" s="84">
        <v>1250</v>
      </c>
      <c r="I222" s="80" t="s">
        <v>2607</v>
      </c>
      <c r="J222" s="80"/>
      <c r="L222" s="91"/>
      <c r="M222" s="148"/>
    </row>
    <row r="223" spans="1:13" x14ac:dyDescent="0.25">
      <c r="A223" s="78">
        <v>46037</v>
      </c>
      <c r="B223" s="79" t="s">
        <v>81</v>
      </c>
      <c r="C223" s="80" t="s">
        <v>2780</v>
      </c>
      <c r="D223" s="81">
        <v>2248</v>
      </c>
      <c r="E223" s="26" t="s">
        <v>751</v>
      </c>
      <c r="F223" s="82">
        <v>204</v>
      </c>
      <c r="G223" s="83" t="s">
        <v>622</v>
      </c>
      <c r="H223" s="84">
        <v>204</v>
      </c>
      <c r="I223" s="80" t="s">
        <v>2607</v>
      </c>
      <c r="J223" s="80"/>
      <c r="L223" s="91"/>
      <c r="M223" s="148"/>
    </row>
    <row r="224" spans="1:13" x14ac:dyDescent="0.25">
      <c r="A224" s="78">
        <v>46037</v>
      </c>
      <c r="B224" s="79" t="s">
        <v>81</v>
      </c>
      <c r="C224" s="80" t="s">
        <v>2781</v>
      </c>
      <c r="D224" s="81">
        <v>2238</v>
      </c>
      <c r="E224" s="26" t="s">
        <v>760</v>
      </c>
      <c r="F224" s="82">
        <v>72</v>
      </c>
      <c r="G224" s="83" t="s">
        <v>622</v>
      </c>
      <c r="H224" s="84">
        <v>72</v>
      </c>
      <c r="I224" s="80" t="s">
        <v>2607</v>
      </c>
      <c r="J224" s="80"/>
      <c r="L224" s="91"/>
      <c r="M224" s="148"/>
    </row>
    <row r="225" spans="1:13" x14ac:dyDescent="0.25">
      <c r="A225" s="78">
        <v>46037</v>
      </c>
      <c r="B225" s="79" t="s">
        <v>2617</v>
      </c>
      <c r="C225" s="80" t="s">
        <v>2782</v>
      </c>
      <c r="D225" s="81">
        <v>5150010451</v>
      </c>
      <c r="E225" s="26" t="s">
        <v>2706</v>
      </c>
      <c r="F225" s="82">
        <v>2256</v>
      </c>
      <c r="G225" s="83" t="s">
        <v>619</v>
      </c>
      <c r="H225" s="84">
        <v>2256</v>
      </c>
      <c r="I225" s="80" t="s">
        <v>2607</v>
      </c>
      <c r="J225" s="80"/>
      <c r="L225" s="91"/>
      <c r="M225" s="148"/>
    </row>
    <row r="226" spans="1:13" x14ac:dyDescent="0.25">
      <c r="A226" s="78">
        <v>46037</v>
      </c>
      <c r="B226" s="79" t="s">
        <v>2614</v>
      </c>
      <c r="C226" s="80" t="s">
        <v>2783</v>
      </c>
      <c r="D226" s="81">
        <v>900106</v>
      </c>
      <c r="E226" s="26" t="s">
        <v>2616</v>
      </c>
      <c r="F226" s="82">
        <v>720</v>
      </c>
      <c r="G226" s="83" t="s">
        <v>619</v>
      </c>
      <c r="H226" s="84">
        <v>720</v>
      </c>
      <c r="I226" s="80" t="s">
        <v>2607</v>
      </c>
      <c r="L226" s="91"/>
      <c r="M226" s="148"/>
    </row>
    <row r="227" spans="1:13" x14ac:dyDescent="0.25">
      <c r="A227" s="78">
        <v>46037</v>
      </c>
      <c r="B227" s="79" t="s">
        <v>2680</v>
      </c>
      <c r="C227" s="80" t="s">
        <v>2784</v>
      </c>
      <c r="D227" s="81">
        <v>900401</v>
      </c>
      <c r="E227" s="26" t="s">
        <v>2741</v>
      </c>
      <c r="F227" s="82">
        <v>480</v>
      </c>
      <c r="G227" s="83" t="s">
        <v>619</v>
      </c>
      <c r="H227" s="84">
        <v>480</v>
      </c>
      <c r="I227" s="80" t="s">
        <v>2607</v>
      </c>
      <c r="J227" s="80"/>
      <c r="L227" s="91"/>
      <c r="M227" s="148"/>
    </row>
    <row r="228" spans="1:13" x14ac:dyDescent="0.25">
      <c r="A228" s="78">
        <v>46037</v>
      </c>
      <c r="B228" s="79" t="s">
        <v>81</v>
      </c>
      <c r="C228" s="80" t="s">
        <v>2785</v>
      </c>
      <c r="D228" s="81">
        <v>2240</v>
      </c>
      <c r="E228" s="26" t="s">
        <v>762</v>
      </c>
      <c r="F228" s="82">
        <v>120</v>
      </c>
      <c r="G228" s="83" t="s">
        <v>622</v>
      </c>
      <c r="H228" s="84">
        <v>120</v>
      </c>
      <c r="I228" s="80" t="s">
        <v>2607</v>
      </c>
      <c r="J228" s="80"/>
      <c r="L228" s="91"/>
      <c r="M228" s="148"/>
    </row>
    <row r="229" spans="1:13" x14ac:dyDescent="0.25">
      <c r="A229" s="78">
        <v>46037</v>
      </c>
      <c r="B229" s="9" t="s">
        <v>81</v>
      </c>
      <c r="C229" s="80" t="s">
        <v>2786</v>
      </c>
      <c r="D229" s="81">
        <v>2242</v>
      </c>
      <c r="E229" s="26" t="s">
        <v>793</v>
      </c>
      <c r="F229" s="82">
        <v>120</v>
      </c>
      <c r="G229" s="83" t="s">
        <v>622</v>
      </c>
      <c r="H229" s="84">
        <v>120</v>
      </c>
      <c r="I229" s="80" t="s">
        <v>2607</v>
      </c>
      <c r="J229" s="80"/>
      <c r="L229" s="91"/>
      <c r="M229" s="148"/>
    </row>
    <row r="230" spans="1:13" x14ac:dyDescent="0.25">
      <c r="A230" s="78">
        <v>46037</v>
      </c>
      <c r="B230" s="79" t="s">
        <v>81</v>
      </c>
      <c r="C230" s="80" t="s">
        <v>2787</v>
      </c>
      <c r="D230" s="81">
        <v>2232</v>
      </c>
      <c r="E230" s="26" t="s">
        <v>778</v>
      </c>
      <c r="F230" s="82">
        <v>60</v>
      </c>
      <c r="G230" s="83" t="s">
        <v>622</v>
      </c>
      <c r="H230" s="84">
        <v>60</v>
      </c>
      <c r="I230" s="80" t="s">
        <v>2607</v>
      </c>
      <c r="J230" s="80"/>
      <c r="L230" s="91"/>
      <c r="M230" s="148"/>
    </row>
    <row r="231" spans="1:13" x14ac:dyDescent="0.25">
      <c r="A231" s="78">
        <v>46037</v>
      </c>
      <c r="B231" s="79" t="s">
        <v>2658</v>
      </c>
      <c r="C231" s="80" t="s">
        <v>2160</v>
      </c>
      <c r="D231" s="81" t="s">
        <v>637</v>
      </c>
      <c r="E231" s="26" t="s">
        <v>638</v>
      </c>
      <c r="F231" s="82">
        <v>2500</v>
      </c>
      <c r="G231" s="83" t="s">
        <v>619</v>
      </c>
      <c r="H231" s="84">
        <v>2500</v>
      </c>
      <c r="I231" s="80" t="s">
        <v>2607</v>
      </c>
      <c r="J231" s="80"/>
      <c r="L231" s="91"/>
      <c r="M231" s="148"/>
    </row>
    <row r="232" spans="1:13" x14ac:dyDescent="0.25">
      <c r="A232" s="78">
        <v>46037</v>
      </c>
      <c r="B232" s="79" t="s">
        <v>2610</v>
      </c>
      <c r="C232" s="80" t="s">
        <v>2229</v>
      </c>
      <c r="D232" s="81">
        <v>520880</v>
      </c>
      <c r="E232" s="26" t="s">
        <v>1399</v>
      </c>
      <c r="F232" s="82">
        <v>14584</v>
      </c>
      <c r="G232" s="83" t="s">
        <v>619</v>
      </c>
      <c r="H232" s="84">
        <v>14584</v>
      </c>
      <c r="I232" s="80" t="s">
        <v>2607</v>
      </c>
      <c r="J232" s="80"/>
      <c r="L232" s="91"/>
      <c r="M232" s="148"/>
    </row>
    <row r="233" spans="1:13" x14ac:dyDescent="0.25">
      <c r="A233" s="78">
        <v>46037</v>
      </c>
      <c r="B233" s="79" t="s">
        <v>81</v>
      </c>
      <c r="C233" s="80" t="s">
        <v>2788</v>
      </c>
      <c r="D233" s="81">
        <v>2252</v>
      </c>
      <c r="E233" s="26" t="s">
        <v>799</v>
      </c>
      <c r="F233" s="82">
        <v>168</v>
      </c>
      <c r="G233" s="83" t="s">
        <v>622</v>
      </c>
      <c r="H233" s="84">
        <v>168</v>
      </c>
      <c r="I233" s="80" t="s">
        <v>2607</v>
      </c>
      <c r="J233" s="80"/>
      <c r="L233" s="91"/>
      <c r="M233" s="148"/>
    </row>
    <row r="234" spans="1:13" x14ac:dyDescent="0.25">
      <c r="A234" s="78">
        <v>46037</v>
      </c>
      <c r="B234" s="79" t="s">
        <v>688</v>
      </c>
      <c r="C234" s="80" t="s">
        <v>2789</v>
      </c>
      <c r="D234" s="81">
        <v>7741</v>
      </c>
      <c r="E234" s="26" t="s">
        <v>690</v>
      </c>
      <c r="F234" s="82">
        <v>68000</v>
      </c>
      <c r="G234" s="83" t="s">
        <v>622</v>
      </c>
      <c r="H234" s="84">
        <v>68000</v>
      </c>
      <c r="I234" s="80" t="s">
        <v>2633</v>
      </c>
      <c r="J234" s="80"/>
      <c r="L234" s="91"/>
      <c r="M234" s="148"/>
    </row>
    <row r="235" spans="1:13" x14ac:dyDescent="0.25">
      <c r="A235" s="78">
        <v>46037</v>
      </c>
      <c r="B235" s="79" t="s">
        <v>682</v>
      </c>
      <c r="C235" s="80" t="s">
        <v>2790</v>
      </c>
      <c r="D235" s="81">
        <v>7552</v>
      </c>
      <c r="E235" s="26" t="s">
        <v>2752</v>
      </c>
      <c r="F235" s="82">
        <v>24000</v>
      </c>
      <c r="G235" s="83" t="s">
        <v>622</v>
      </c>
      <c r="H235" s="84">
        <v>24000</v>
      </c>
      <c r="I235" s="80" t="s">
        <v>2633</v>
      </c>
      <c r="J235" s="80"/>
      <c r="L235" s="91"/>
      <c r="M235" s="148"/>
    </row>
    <row r="236" spans="1:13" x14ac:dyDescent="0.25">
      <c r="A236" s="78">
        <v>46037</v>
      </c>
      <c r="B236" s="79" t="s">
        <v>712</v>
      </c>
      <c r="C236" s="80" t="s">
        <v>1446</v>
      </c>
      <c r="D236" s="81" t="s">
        <v>1127</v>
      </c>
      <c r="E236" s="26" t="s">
        <v>713</v>
      </c>
      <c r="F236" s="82">
        <v>40000</v>
      </c>
      <c r="G236" s="83" t="s">
        <v>622</v>
      </c>
      <c r="H236" s="84">
        <v>40000</v>
      </c>
      <c r="I236" s="80" t="s">
        <v>2607</v>
      </c>
      <c r="J236" s="80"/>
      <c r="L236" s="91"/>
      <c r="M236" s="148"/>
    </row>
    <row r="237" spans="1:13" x14ac:dyDescent="0.25">
      <c r="A237" s="78">
        <v>46037</v>
      </c>
      <c r="B237" s="79" t="s">
        <v>2624</v>
      </c>
      <c r="C237" s="80" t="s">
        <v>2791</v>
      </c>
      <c r="D237" s="81" t="s">
        <v>2756</v>
      </c>
      <c r="E237" s="26" t="s">
        <v>2757</v>
      </c>
      <c r="F237" s="82">
        <v>3505</v>
      </c>
      <c r="G237" s="83" t="s">
        <v>619</v>
      </c>
      <c r="H237" s="84">
        <v>3505</v>
      </c>
      <c r="I237" s="80" t="s">
        <v>2607</v>
      </c>
      <c r="J237" s="80"/>
      <c r="L237" s="91"/>
      <c r="M237" s="148"/>
    </row>
    <row r="238" spans="1:13" x14ac:dyDescent="0.25">
      <c r="A238" s="78">
        <v>46037</v>
      </c>
      <c r="B238" s="79" t="s">
        <v>2621</v>
      </c>
      <c r="C238" s="80" t="s">
        <v>2792</v>
      </c>
      <c r="D238" s="81" t="s">
        <v>2793</v>
      </c>
      <c r="E238" s="26" t="s">
        <v>2794</v>
      </c>
      <c r="F238" s="82">
        <v>3505</v>
      </c>
      <c r="G238" s="83" t="s">
        <v>619</v>
      </c>
      <c r="H238" s="84">
        <v>3505</v>
      </c>
      <c r="I238" s="80" t="s">
        <v>2607</v>
      </c>
      <c r="J238" s="80"/>
      <c r="L238" s="91"/>
      <c r="M238" s="148"/>
    </row>
    <row r="239" spans="1:13" x14ac:dyDescent="0.25">
      <c r="A239" s="78">
        <v>46037</v>
      </c>
      <c r="B239" s="79" t="s">
        <v>715</v>
      </c>
      <c r="C239" s="80" t="s">
        <v>2795</v>
      </c>
      <c r="D239" s="81">
        <v>7185</v>
      </c>
      <c r="E239" s="26" t="s">
        <v>717</v>
      </c>
      <c r="F239" s="82">
        <v>55000</v>
      </c>
      <c r="G239" s="83" t="s">
        <v>622</v>
      </c>
      <c r="H239" s="84">
        <v>55000</v>
      </c>
      <c r="I239" s="80" t="s">
        <v>2633</v>
      </c>
      <c r="J239" s="80"/>
      <c r="L239" s="91"/>
      <c r="M239" s="148"/>
    </row>
    <row r="240" spans="1:13" x14ac:dyDescent="0.25">
      <c r="A240" s="78">
        <v>46037</v>
      </c>
      <c r="B240" s="79">
        <v>7002</v>
      </c>
      <c r="C240" s="80" t="s">
        <v>2796</v>
      </c>
      <c r="D240" s="81">
        <v>961515</v>
      </c>
      <c r="E240" s="26" t="s">
        <v>2691</v>
      </c>
      <c r="F240" s="82">
        <v>325</v>
      </c>
      <c r="G240" s="83" t="s">
        <v>619</v>
      </c>
      <c r="H240" s="84">
        <v>325</v>
      </c>
      <c r="I240" s="80" t="s">
        <v>2607</v>
      </c>
      <c r="J240" s="80"/>
      <c r="L240" s="91"/>
      <c r="M240" s="148"/>
    </row>
    <row r="241" spans="1:13" x14ac:dyDescent="0.25">
      <c r="A241" s="78">
        <v>46037</v>
      </c>
      <c r="B241" s="79" t="s">
        <v>2665</v>
      </c>
      <c r="C241" s="80" t="s">
        <v>2199</v>
      </c>
      <c r="D241" s="81" t="s">
        <v>624</v>
      </c>
      <c r="E241" s="26" t="s">
        <v>2797</v>
      </c>
      <c r="F241" s="82">
        <v>4500</v>
      </c>
      <c r="G241" s="83" t="s">
        <v>619</v>
      </c>
      <c r="H241" s="84">
        <v>4500</v>
      </c>
      <c r="I241" s="80" t="s">
        <v>2607</v>
      </c>
      <c r="J241" s="80"/>
      <c r="L241" s="91"/>
      <c r="M241" s="148"/>
    </row>
    <row r="242" spans="1:13" x14ac:dyDescent="0.25">
      <c r="A242" s="78">
        <v>46037</v>
      </c>
      <c r="B242" s="79" t="s">
        <v>685</v>
      </c>
      <c r="C242" s="80" t="s">
        <v>2798</v>
      </c>
      <c r="D242" s="81">
        <v>7372</v>
      </c>
      <c r="E242" s="26" t="s">
        <v>741</v>
      </c>
      <c r="F242" s="82">
        <v>40000</v>
      </c>
      <c r="G242" s="83" t="s">
        <v>622</v>
      </c>
      <c r="H242" s="84">
        <v>40000</v>
      </c>
      <c r="I242" s="80" t="s">
        <v>2633</v>
      </c>
      <c r="J242" s="80"/>
      <c r="L242" s="91"/>
      <c r="M242" s="148"/>
    </row>
    <row r="243" spans="1:13" x14ac:dyDescent="0.25">
      <c r="A243" s="78">
        <v>46037</v>
      </c>
      <c r="B243" s="79" t="s">
        <v>2606</v>
      </c>
      <c r="C243" s="80" t="s">
        <v>2360</v>
      </c>
      <c r="D243" s="81">
        <v>220125</v>
      </c>
      <c r="E243" s="26" t="s">
        <v>2700</v>
      </c>
      <c r="F243" s="82">
        <v>4000</v>
      </c>
      <c r="G243" s="83" t="s">
        <v>619</v>
      </c>
      <c r="H243" s="84">
        <v>4000</v>
      </c>
      <c r="I243" s="80" t="s">
        <v>2607</v>
      </c>
      <c r="J243" s="80"/>
      <c r="L243" s="91"/>
      <c r="M243" s="148"/>
    </row>
    <row r="244" spans="1:13" x14ac:dyDescent="0.25">
      <c r="A244" s="78">
        <v>46037</v>
      </c>
      <c r="B244" s="79" t="s">
        <v>2608</v>
      </c>
      <c r="C244" s="80" t="s">
        <v>2050</v>
      </c>
      <c r="D244" s="81">
        <v>79501</v>
      </c>
      <c r="E244" s="26" t="s">
        <v>629</v>
      </c>
      <c r="F244" s="82">
        <v>105000</v>
      </c>
      <c r="G244" s="83" t="s">
        <v>622</v>
      </c>
      <c r="H244" s="84">
        <v>105000</v>
      </c>
      <c r="I244" s="80" t="s">
        <v>2609</v>
      </c>
      <c r="J244" s="80"/>
      <c r="L244" s="91"/>
      <c r="M244" s="148"/>
    </row>
    <row r="245" spans="1:13" x14ac:dyDescent="0.25">
      <c r="A245" s="78">
        <v>46037</v>
      </c>
      <c r="B245" s="79" t="s">
        <v>2610</v>
      </c>
      <c r="C245" s="80" t="s">
        <v>2225</v>
      </c>
      <c r="D245" s="81">
        <v>520860</v>
      </c>
      <c r="E245" s="26" t="s">
        <v>1388</v>
      </c>
      <c r="F245" s="82">
        <v>14584</v>
      </c>
      <c r="G245" s="83" t="s">
        <v>619</v>
      </c>
      <c r="H245" s="84">
        <v>14584</v>
      </c>
      <c r="I245" s="80" t="s">
        <v>2607</v>
      </c>
      <c r="J245" s="80"/>
      <c r="L245" s="91"/>
      <c r="M245" s="148"/>
    </row>
    <row r="246" spans="1:13" x14ac:dyDescent="0.25">
      <c r="A246" s="78">
        <v>46037</v>
      </c>
      <c r="B246" s="79" t="s">
        <v>2610</v>
      </c>
      <c r="C246" s="80" t="s">
        <v>2224</v>
      </c>
      <c r="D246" s="81">
        <v>520860</v>
      </c>
      <c r="E246" s="26" t="s">
        <v>1388</v>
      </c>
      <c r="F246" s="82">
        <v>14584</v>
      </c>
      <c r="G246" s="83" t="s">
        <v>619</v>
      </c>
      <c r="H246" s="84">
        <v>14584</v>
      </c>
      <c r="I246" s="80" t="s">
        <v>2607</v>
      </c>
      <c r="J246" s="80"/>
      <c r="L246" s="91"/>
      <c r="M246" s="148"/>
    </row>
    <row r="247" spans="1:13" x14ac:dyDescent="0.25">
      <c r="A247" s="78">
        <v>46037</v>
      </c>
      <c r="B247" s="79" t="s">
        <v>2665</v>
      </c>
      <c r="C247" s="80" t="s">
        <v>2202</v>
      </c>
      <c r="D247" s="81" t="s">
        <v>1080</v>
      </c>
      <c r="E247" s="26" t="s">
        <v>2799</v>
      </c>
      <c r="F247" s="82">
        <v>400</v>
      </c>
      <c r="G247" s="83" t="s">
        <v>619</v>
      </c>
      <c r="H247" s="84">
        <v>400</v>
      </c>
      <c r="I247" s="80" t="s">
        <v>2607</v>
      </c>
      <c r="J247" s="80"/>
      <c r="L247" s="91"/>
      <c r="M247" s="148"/>
    </row>
    <row r="248" spans="1:13" x14ac:dyDescent="0.25">
      <c r="A248" s="78">
        <v>46038</v>
      </c>
      <c r="B248" s="79" t="s">
        <v>2652</v>
      </c>
      <c r="C248" s="80" t="s">
        <v>2364</v>
      </c>
      <c r="D248" s="81">
        <v>2211</v>
      </c>
      <c r="E248" s="26" t="s">
        <v>881</v>
      </c>
      <c r="F248" s="82">
        <v>92</v>
      </c>
      <c r="G248" s="83" t="s">
        <v>622</v>
      </c>
      <c r="H248" s="84">
        <v>92</v>
      </c>
      <c r="I248" s="80" t="s">
        <v>2607</v>
      </c>
      <c r="J248" s="80"/>
      <c r="L248" s="91"/>
      <c r="M248" s="148"/>
    </row>
    <row r="249" spans="1:13" x14ac:dyDescent="0.25">
      <c r="A249" s="78">
        <v>46038</v>
      </c>
      <c r="B249" s="79" t="s">
        <v>2652</v>
      </c>
      <c r="C249" s="80" t="s">
        <v>2365</v>
      </c>
      <c r="D249" s="81">
        <v>2231</v>
      </c>
      <c r="E249" s="26" t="s">
        <v>882</v>
      </c>
      <c r="F249" s="82">
        <v>168</v>
      </c>
      <c r="G249" s="83" t="s">
        <v>622</v>
      </c>
      <c r="H249" s="84">
        <v>168</v>
      </c>
      <c r="I249" s="80" t="s">
        <v>2607</v>
      </c>
      <c r="J249" s="80"/>
      <c r="L249" s="91"/>
      <c r="M249" s="148"/>
    </row>
    <row r="250" spans="1:13" x14ac:dyDescent="0.25">
      <c r="A250" s="78">
        <v>46038</v>
      </c>
      <c r="B250" s="79" t="s">
        <v>2652</v>
      </c>
      <c r="C250" s="80" t="s">
        <v>2368</v>
      </c>
      <c r="D250" s="81">
        <v>2241</v>
      </c>
      <c r="E250" s="26" t="s">
        <v>893</v>
      </c>
      <c r="F250" s="82">
        <v>168</v>
      </c>
      <c r="G250" s="83" t="s">
        <v>622</v>
      </c>
      <c r="H250" s="84">
        <v>168</v>
      </c>
      <c r="I250" s="80" t="s">
        <v>2607</v>
      </c>
      <c r="J250" s="80"/>
      <c r="L250" s="91"/>
      <c r="M250" s="148"/>
    </row>
    <row r="251" spans="1:13" x14ac:dyDescent="0.25">
      <c r="A251" s="78">
        <v>46038</v>
      </c>
      <c r="B251" s="79" t="s">
        <v>2652</v>
      </c>
      <c r="C251" s="80" t="s">
        <v>2367</v>
      </c>
      <c r="D251" s="81">
        <v>2237</v>
      </c>
      <c r="E251" s="26" t="s">
        <v>891</v>
      </c>
      <c r="F251" s="82">
        <v>192</v>
      </c>
      <c r="G251" s="83" t="s">
        <v>622</v>
      </c>
      <c r="H251" s="84">
        <v>192</v>
      </c>
      <c r="I251" s="80" t="s">
        <v>2607</v>
      </c>
      <c r="J251" s="80"/>
      <c r="L251" s="91"/>
      <c r="M251" s="148"/>
    </row>
    <row r="252" spans="1:13" x14ac:dyDescent="0.25">
      <c r="A252" s="78">
        <v>46038</v>
      </c>
      <c r="B252" s="79" t="s">
        <v>2652</v>
      </c>
      <c r="C252" s="80" t="s">
        <v>2372</v>
      </c>
      <c r="D252" s="81">
        <v>2257</v>
      </c>
      <c r="E252" s="26" t="s">
        <v>2296</v>
      </c>
      <c r="F252" s="82">
        <v>46</v>
      </c>
      <c r="G252" s="83" t="s">
        <v>622</v>
      </c>
      <c r="H252" s="84">
        <v>46</v>
      </c>
      <c r="I252" s="80" t="s">
        <v>2607</v>
      </c>
      <c r="J252" s="80"/>
      <c r="L252" s="91"/>
      <c r="M252" s="148"/>
    </row>
    <row r="253" spans="1:13" x14ac:dyDescent="0.25">
      <c r="A253" s="78">
        <v>46038</v>
      </c>
      <c r="B253" s="79" t="s">
        <v>2652</v>
      </c>
      <c r="C253" s="80" t="s">
        <v>2366</v>
      </c>
      <c r="D253" s="81">
        <v>2235</v>
      </c>
      <c r="E253" s="26" t="s">
        <v>1013</v>
      </c>
      <c r="F253" s="82">
        <v>268</v>
      </c>
      <c r="G253" s="83" t="s">
        <v>622</v>
      </c>
      <c r="H253" s="84">
        <v>268</v>
      </c>
      <c r="I253" s="80" t="s">
        <v>2607</v>
      </c>
      <c r="J253" s="80"/>
      <c r="L253" s="91"/>
      <c r="M253" s="148"/>
    </row>
    <row r="254" spans="1:13" x14ac:dyDescent="0.25">
      <c r="A254" s="78">
        <v>46038</v>
      </c>
      <c r="B254" s="79" t="s">
        <v>2614</v>
      </c>
      <c r="C254" s="80" t="s">
        <v>2800</v>
      </c>
      <c r="D254" s="81">
        <v>900106</v>
      </c>
      <c r="E254" s="26" t="s">
        <v>2616</v>
      </c>
      <c r="F254" s="82">
        <v>720</v>
      </c>
      <c r="G254" s="83" t="s">
        <v>619</v>
      </c>
      <c r="H254" s="84">
        <v>720</v>
      </c>
      <c r="I254" s="80" t="s">
        <v>2607</v>
      </c>
      <c r="J254" s="80"/>
      <c r="L254" s="91"/>
      <c r="M254" s="148"/>
    </row>
    <row r="255" spans="1:13" x14ac:dyDescent="0.25">
      <c r="A255" s="78">
        <v>46038</v>
      </c>
      <c r="B255" s="79" t="s">
        <v>2617</v>
      </c>
      <c r="C255" s="80" t="s">
        <v>2801</v>
      </c>
      <c r="D255" s="81">
        <v>5150010451</v>
      </c>
      <c r="E255" s="26" t="s">
        <v>2706</v>
      </c>
      <c r="F255" s="82">
        <v>2256</v>
      </c>
      <c r="G255" s="83" t="s">
        <v>619</v>
      </c>
      <c r="H255" s="84">
        <v>2256</v>
      </c>
      <c r="I255" s="80" t="s">
        <v>2607</v>
      </c>
      <c r="J255" s="80"/>
      <c r="L255" s="91"/>
      <c r="M255" s="148"/>
    </row>
    <row r="256" spans="1:13" x14ac:dyDescent="0.25">
      <c r="A256" s="78">
        <v>46038</v>
      </c>
      <c r="B256" s="79" t="s">
        <v>2680</v>
      </c>
      <c r="C256" s="80" t="s">
        <v>2802</v>
      </c>
      <c r="D256" s="81">
        <v>900403</v>
      </c>
      <c r="E256" s="26" t="s">
        <v>2682</v>
      </c>
      <c r="F256" s="82">
        <v>480</v>
      </c>
      <c r="G256" s="83" t="s">
        <v>619</v>
      </c>
      <c r="H256" s="84">
        <v>480</v>
      </c>
      <c r="I256" s="80" t="s">
        <v>2607</v>
      </c>
      <c r="J256" s="80"/>
      <c r="L256" s="91"/>
      <c r="M256" s="148"/>
    </row>
    <row r="257" spans="1:13" x14ac:dyDescent="0.25">
      <c r="A257" s="78">
        <v>46038</v>
      </c>
      <c r="B257" s="79" t="s">
        <v>2611</v>
      </c>
      <c r="C257" s="80" t="s">
        <v>2803</v>
      </c>
      <c r="D257" s="81">
        <v>9011231</v>
      </c>
      <c r="E257" s="26" t="s">
        <v>2739</v>
      </c>
      <c r="F257" s="82">
        <v>1250</v>
      </c>
      <c r="G257" s="83" t="s">
        <v>619</v>
      </c>
      <c r="H257" s="84">
        <v>1250</v>
      </c>
      <c r="I257" s="80" t="s">
        <v>2607</v>
      </c>
      <c r="J257" s="80"/>
      <c r="L257" s="91"/>
      <c r="M257" s="148"/>
    </row>
    <row r="258" spans="1:13" x14ac:dyDescent="0.25">
      <c r="A258" s="78">
        <v>46038</v>
      </c>
      <c r="B258" s="9" t="s">
        <v>2658</v>
      </c>
      <c r="C258" s="80" t="s">
        <v>2161</v>
      </c>
      <c r="D258" s="81" t="s">
        <v>637</v>
      </c>
      <c r="E258" s="26" t="s">
        <v>638</v>
      </c>
      <c r="F258" s="82">
        <v>2500</v>
      </c>
      <c r="G258" s="83" t="s">
        <v>619</v>
      </c>
      <c r="H258" s="84">
        <v>2500</v>
      </c>
      <c r="I258" s="80" t="s">
        <v>2607</v>
      </c>
      <c r="J258" s="80"/>
      <c r="L258" s="91"/>
      <c r="M258" s="148"/>
    </row>
    <row r="259" spans="1:13" x14ac:dyDescent="0.25">
      <c r="A259" s="78">
        <v>46038</v>
      </c>
      <c r="B259" s="79" t="s">
        <v>2652</v>
      </c>
      <c r="C259" s="80" t="s">
        <v>2371</v>
      </c>
      <c r="D259" s="81">
        <v>2253</v>
      </c>
      <c r="E259" s="26" t="s">
        <v>1016</v>
      </c>
      <c r="F259" s="82">
        <v>168</v>
      </c>
      <c r="G259" s="83" t="s">
        <v>622</v>
      </c>
      <c r="H259" s="84">
        <v>168</v>
      </c>
      <c r="I259" s="80" t="s">
        <v>2607</v>
      </c>
      <c r="J259" s="80"/>
      <c r="L259" s="91"/>
      <c r="M259" s="148"/>
    </row>
    <row r="260" spans="1:13" x14ac:dyDescent="0.25">
      <c r="A260" s="78">
        <v>46038</v>
      </c>
      <c r="B260" s="79" t="s">
        <v>2652</v>
      </c>
      <c r="C260" s="80" t="s">
        <v>2369</v>
      </c>
      <c r="D260" s="81">
        <v>2245</v>
      </c>
      <c r="E260" s="26" t="s">
        <v>884</v>
      </c>
      <c r="F260" s="82">
        <v>172</v>
      </c>
      <c r="G260" s="83" t="s">
        <v>622</v>
      </c>
      <c r="H260" s="84">
        <v>172</v>
      </c>
      <c r="I260" s="80" t="s">
        <v>2607</v>
      </c>
      <c r="J260" s="80"/>
      <c r="L260" s="91"/>
      <c r="M260" s="148"/>
    </row>
    <row r="261" spans="1:13" x14ac:dyDescent="0.25">
      <c r="A261" s="78">
        <v>46038</v>
      </c>
      <c r="B261" s="79" t="s">
        <v>81</v>
      </c>
      <c r="C261" s="80" t="s">
        <v>2804</v>
      </c>
      <c r="D261" s="81">
        <v>2204</v>
      </c>
      <c r="E261" s="26" t="s">
        <v>747</v>
      </c>
      <c r="F261" s="82">
        <v>252</v>
      </c>
      <c r="G261" s="83" t="s">
        <v>622</v>
      </c>
      <c r="H261" s="84">
        <v>252</v>
      </c>
      <c r="I261" s="80" t="s">
        <v>2607</v>
      </c>
      <c r="J261" s="80"/>
      <c r="L261" s="91"/>
      <c r="M261" s="148"/>
    </row>
    <row r="262" spans="1:13" x14ac:dyDescent="0.25">
      <c r="A262" s="78">
        <v>46038</v>
      </c>
      <c r="B262" s="79" t="s">
        <v>2652</v>
      </c>
      <c r="C262" s="80" t="s">
        <v>2370</v>
      </c>
      <c r="D262" s="81">
        <v>2251</v>
      </c>
      <c r="E262" s="26" t="s">
        <v>2286</v>
      </c>
      <c r="F262" s="82">
        <v>180</v>
      </c>
      <c r="G262" s="83" t="s">
        <v>622</v>
      </c>
      <c r="H262" s="84">
        <v>180</v>
      </c>
      <c r="I262" s="80" t="s">
        <v>2607</v>
      </c>
      <c r="J262" s="80"/>
      <c r="L262" s="91"/>
      <c r="M262" s="148"/>
    </row>
    <row r="263" spans="1:13" x14ac:dyDescent="0.25">
      <c r="A263" s="78">
        <v>46038</v>
      </c>
      <c r="B263" s="79" t="s">
        <v>81</v>
      </c>
      <c r="C263" s="80" t="s">
        <v>2805</v>
      </c>
      <c r="D263" s="81">
        <v>2212</v>
      </c>
      <c r="E263" s="26" t="s">
        <v>776</v>
      </c>
      <c r="F263" s="82">
        <v>192</v>
      </c>
      <c r="G263" s="83" t="s">
        <v>622</v>
      </c>
      <c r="H263" s="84">
        <v>192</v>
      </c>
      <c r="I263" s="80" t="s">
        <v>2607</v>
      </c>
      <c r="J263" s="80"/>
      <c r="L263" s="91"/>
      <c r="M263" s="148"/>
    </row>
    <row r="264" spans="1:13" x14ac:dyDescent="0.25">
      <c r="A264" s="78">
        <v>46038</v>
      </c>
      <c r="B264" s="79" t="s">
        <v>81</v>
      </c>
      <c r="C264" s="80" t="s">
        <v>2806</v>
      </c>
      <c r="D264" s="81">
        <v>2210</v>
      </c>
      <c r="E264" s="26" t="s">
        <v>774</v>
      </c>
      <c r="F264" s="82">
        <v>252</v>
      </c>
      <c r="G264" s="83" t="s">
        <v>622</v>
      </c>
      <c r="H264" s="84">
        <v>252</v>
      </c>
      <c r="I264" s="80" t="s">
        <v>2607</v>
      </c>
      <c r="J264" s="80"/>
      <c r="L264" s="91"/>
      <c r="M264" s="148"/>
    </row>
    <row r="265" spans="1:13" x14ac:dyDescent="0.25">
      <c r="A265" s="78">
        <v>46038</v>
      </c>
      <c r="B265" s="79">
        <v>7002</v>
      </c>
      <c r="C265" s="80" t="s">
        <v>2807</v>
      </c>
      <c r="D265" s="81">
        <v>961515</v>
      </c>
      <c r="E265" s="26" t="s">
        <v>2691</v>
      </c>
      <c r="F265" s="82">
        <v>325</v>
      </c>
      <c r="G265" s="83" t="s">
        <v>619</v>
      </c>
      <c r="H265" s="84">
        <v>325</v>
      </c>
      <c r="I265" s="80" t="s">
        <v>2607</v>
      </c>
      <c r="J265" s="80"/>
      <c r="L265" s="91"/>
      <c r="M265" s="148"/>
    </row>
    <row r="266" spans="1:13" x14ac:dyDescent="0.25">
      <c r="A266" s="78">
        <v>46038</v>
      </c>
      <c r="B266" s="79" t="s">
        <v>688</v>
      </c>
      <c r="C266" s="80" t="s">
        <v>2808</v>
      </c>
      <c r="D266" s="81">
        <v>7741</v>
      </c>
      <c r="E266" s="26" t="s">
        <v>690</v>
      </c>
      <c r="F266" s="82">
        <v>68000</v>
      </c>
      <c r="G266" s="83" t="s">
        <v>622</v>
      </c>
      <c r="H266" s="84">
        <v>68000</v>
      </c>
      <c r="I266" s="80" t="s">
        <v>2633</v>
      </c>
      <c r="J266" s="80"/>
      <c r="L266" s="91"/>
      <c r="M266" s="148"/>
    </row>
    <row r="267" spans="1:13" x14ac:dyDescent="0.25">
      <c r="A267" s="78">
        <v>46038</v>
      </c>
      <c r="B267" s="79" t="s">
        <v>2624</v>
      </c>
      <c r="C267" s="80" t="s">
        <v>2809</v>
      </c>
      <c r="D267" s="81" t="s">
        <v>2626</v>
      </c>
      <c r="E267" s="26" t="s">
        <v>2627</v>
      </c>
      <c r="F267" s="82">
        <v>3505</v>
      </c>
      <c r="G267" s="83" t="s">
        <v>619</v>
      </c>
      <c r="H267" s="84">
        <v>3505</v>
      </c>
      <c r="I267" s="80" t="s">
        <v>2607</v>
      </c>
      <c r="J267" s="80"/>
      <c r="L267" s="91"/>
      <c r="M267" s="148"/>
    </row>
    <row r="268" spans="1:13" x14ac:dyDescent="0.25">
      <c r="A268" s="78">
        <v>46038</v>
      </c>
      <c r="B268" s="79" t="s">
        <v>2621</v>
      </c>
      <c r="C268" s="80" t="s">
        <v>2810</v>
      </c>
      <c r="D268" s="81">
        <v>529300</v>
      </c>
      <c r="E268" s="26" t="s">
        <v>2623</v>
      </c>
      <c r="F268" s="82">
        <v>10832</v>
      </c>
      <c r="G268" s="83" t="s">
        <v>619</v>
      </c>
      <c r="H268" s="84">
        <v>10832</v>
      </c>
      <c r="I268" s="80" t="s">
        <v>2607</v>
      </c>
      <c r="J268" s="80"/>
      <c r="L268" s="91"/>
      <c r="M268" s="148"/>
    </row>
    <row r="269" spans="1:13" x14ac:dyDescent="0.25">
      <c r="A269" s="78">
        <v>46038</v>
      </c>
      <c r="B269" s="79" t="s">
        <v>2665</v>
      </c>
      <c r="C269" s="80" t="s">
        <v>2361</v>
      </c>
      <c r="D269" s="81" t="s">
        <v>2362</v>
      </c>
      <c r="E269" s="26" t="s">
        <v>2363</v>
      </c>
      <c r="F269" s="82">
        <v>335</v>
      </c>
      <c r="G269" s="83" t="s">
        <v>619</v>
      </c>
      <c r="H269" s="84">
        <v>335</v>
      </c>
      <c r="I269" s="80" t="s">
        <v>2607</v>
      </c>
      <c r="J269" s="80"/>
      <c r="L269" s="91"/>
      <c r="M269" s="148"/>
    </row>
    <row r="270" spans="1:13" x14ac:dyDescent="0.25">
      <c r="A270" s="78">
        <v>46038</v>
      </c>
      <c r="B270" s="79" t="s">
        <v>712</v>
      </c>
      <c r="C270" s="80" t="s">
        <v>1447</v>
      </c>
      <c r="D270" s="81" t="s">
        <v>1127</v>
      </c>
      <c r="E270" s="26" t="s">
        <v>713</v>
      </c>
      <c r="F270" s="82">
        <v>40000</v>
      </c>
      <c r="G270" s="83" t="s">
        <v>622</v>
      </c>
      <c r="H270" s="84">
        <v>40000</v>
      </c>
      <c r="I270" s="80" t="s">
        <v>2607</v>
      </c>
      <c r="J270" s="80"/>
      <c r="L270" s="91"/>
      <c r="M270" s="148"/>
    </row>
    <row r="271" spans="1:13" x14ac:dyDescent="0.25">
      <c r="A271" s="78">
        <v>46038</v>
      </c>
      <c r="B271" s="79" t="s">
        <v>685</v>
      </c>
      <c r="C271" s="80" t="s">
        <v>2811</v>
      </c>
      <c r="D271" s="81" t="s">
        <v>722</v>
      </c>
      <c r="E271" s="26" t="s">
        <v>723</v>
      </c>
      <c r="F271" s="82">
        <v>40000</v>
      </c>
      <c r="G271" s="83" t="s">
        <v>622</v>
      </c>
      <c r="H271" s="84">
        <v>40000</v>
      </c>
      <c r="I271" s="80" t="s">
        <v>2633</v>
      </c>
      <c r="J271" s="80"/>
      <c r="L271" s="91"/>
      <c r="M271" s="148"/>
    </row>
    <row r="272" spans="1:13" x14ac:dyDescent="0.25">
      <c r="A272" s="78">
        <v>46038</v>
      </c>
      <c r="B272" s="79" t="s">
        <v>2610</v>
      </c>
      <c r="C272" s="80" t="s">
        <v>2214</v>
      </c>
      <c r="D272" s="81">
        <v>517660</v>
      </c>
      <c r="E272" s="26" t="s">
        <v>2215</v>
      </c>
      <c r="F272" s="82">
        <v>16667</v>
      </c>
      <c r="G272" s="83" t="s">
        <v>619</v>
      </c>
      <c r="H272" s="84">
        <v>16667</v>
      </c>
      <c r="I272" s="80" t="s">
        <v>2607</v>
      </c>
      <c r="J272" s="80"/>
      <c r="L272" s="91"/>
      <c r="M272" s="148"/>
    </row>
    <row r="273" spans="1:13" x14ac:dyDescent="0.25">
      <c r="A273" s="78">
        <v>46038</v>
      </c>
      <c r="B273" s="79" t="s">
        <v>2610</v>
      </c>
      <c r="C273" s="80" t="s">
        <v>2217</v>
      </c>
      <c r="D273" s="81">
        <v>517700</v>
      </c>
      <c r="E273" s="26" t="s">
        <v>1397</v>
      </c>
      <c r="F273" s="82">
        <v>16667</v>
      </c>
      <c r="G273" s="83" t="s">
        <v>619</v>
      </c>
      <c r="H273" s="84">
        <v>16667</v>
      </c>
      <c r="I273" s="80" t="s">
        <v>2607</v>
      </c>
      <c r="L273" s="91"/>
      <c r="M273" s="148"/>
    </row>
    <row r="274" spans="1:13" x14ac:dyDescent="0.25">
      <c r="A274" s="78">
        <v>46038</v>
      </c>
      <c r="B274" s="79" t="s">
        <v>81</v>
      </c>
      <c r="C274" s="80" t="s">
        <v>2812</v>
      </c>
      <c r="D274" s="81">
        <v>2206</v>
      </c>
      <c r="E274" s="26" t="s">
        <v>787</v>
      </c>
      <c r="F274" s="82">
        <v>240</v>
      </c>
      <c r="G274" s="83" t="s">
        <v>622</v>
      </c>
      <c r="H274" s="84">
        <v>240</v>
      </c>
      <c r="I274" s="80" t="s">
        <v>2607</v>
      </c>
      <c r="J274" s="80"/>
      <c r="L274" s="91"/>
      <c r="M274" s="148"/>
    </row>
    <row r="275" spans="1:13" x14ac:dyDescent="0.25">
      <c r="A275" s="78">
        <v>46038</v>
      </c>
      <c r="B275" s="79" t="s">
        <v>81</v>
      </c>
      <c r="C275" s="80" t="s">
        <v>2813</v>
      </c>
      <c r="D275" s="81">
        <v>2200</v>
      </c>
      <c r="E275" s="26" t="s">
        <v>745</v>
      </c>
      <c r="F275" s="82">
        <v>192</v>
      </c>
      <c r="G275" s="83" t="s">
        <v>622</v>
      </c>
      <c r="H275" s="84">
        <v>192</v>
      </c>
      <c r="I275" s="80" t="s">
        <v>2607</v>
      </c>
      <c r="J275" s="80"/>
      <c r="L275" s="91"/>
      <c r="M275" s="148"/>
    </row>
    <row r="276" spans="1:13" x14ac:dyDescent="0.25">
      <c r="A276" s="78">
        <v>46038</v>
      </c>
      <c r="B276" s="79" t="s">
        <v>2665</v>
      </c>
      <c r="C276" s="80" t="s">
        <v>2204</v>
      </c>
      <c r="D276" s="81" t="s">
        <v>636</v>
      </c>
      <c r="E276" s="26" t="s">
        <v>2814</v>
      </c>
      <c r="F276" s="82">
        <v>6500</v>
      </c>
      <c r="G276" s="83" t="s">
        <v>619</v>
      </c>
      <c r="H276" s="84">
        <v>6500</v>
      </c>
      <c r="I276" s="80" t="s">
        <v>2607</v>
      </c>
      <c r="J276" s="80"/>
      <c r="L276" s="91"/>
      <c r="M276" s="148"/>
    </row>
    <row r="277" spans="1:13" x14ac:dyDescent="0.25">
      <c r="A277" s="78">
        <v>46041</v>
      </c>
      <c r="B277" s="79" t="s">
        <v>81</v>
      </c>
      <c r="C277" s="80" t="s">
        <v>2815</v>
      </c>
      <c r="D277" s="81">
        <v>2242</v>
      </c>
      <c r="E277" s="26" t="s">
        <v>793</v>
      </c>
      <c r="F277" s="82">
        <v>192</v>
      </c>
      <c r="G277" s="83" t="s">
        <v>622</v>
      </c>
      <c r="H277" s="84">
        <v>192</v>
      </c>
      <c r="I277" s="80" t="s">
        <v>2607</v>
      </c>
      <c r="J277" s="80"/>
      <c r="L277" s="91"/>
      <c r="M277" s="148"/>
    </row>
    <row r="278" spans="1:13" x14ac:dyDescent="0.25">
      <c r="A278" s="78">
        <v>46041</v>
      </c>
      <c r="B278" s="79" t="s">
        <v>81</v>
      </c>
      <c r="C278" s="80" t="s">
        <v>2816</v>
      </c>
      <c r="D278" s="81">
        <v>2244</v>
      </c>
      <c r="E278" s="26" t="s">
        <v>795</v>
      </c>
      <c r="F278" s="82">
        <v>168</v>
      </c>
      <c r="G278" s="83" t="s">
        <v>622</v>
      </c>
      <c r="H278" s="84">
        <v>168</v>
      </c>
      <c r="I278" s="80" t="s">
        <v>2607</v>
      </c>
      <c r="J278" s="80"/>
      <c r="L278" s="91"/>
      <c r="M278" s="148"/>
    </row>
    <row r="279" spans="1:13" x14ac:dyDescent="0.25">
      <c r="A279" s="78">
        <v>46041</v>
      </c>
      <c r="B279" s="79" t="s">
        <v>81</v>
      </c>
      <c r="C279" s="80" t="s">
        <v>2817</v>
      </c>
      <c r="D279" s="81" t="s">
        <v>1034</v>
      </c>
      <c r="E279" s="26" t="s">
        <v>1035</v>
      </c>
      <c r="F279" s="82">
        <v>25</v>
      </c>
      <c r="G279" s="83" t="s">
        <v>622</v>
      </c>
      <c r="H279" s="84">
        <v>25</v>
      </c>
      <c r="I279" s="80" t="s">
        <v>2607</v>
      </c>
      <c r="L279" s="91"/>
      <c r="M279" s="148"/>
    </row>
    <row r="280" spans="1:13" x14ac:dyDescent="0.25">
      <c r="A280" s="78">
        <v>46041</v>
      </c>
      <c r="B280" s="79" t="s">
        <v>81</v>
      </c>
      <c r="C280" s="80" t="s">
        <v>2818</v>
      </c>
      <c r="D280" s="81" t="s">
        <v>1062</v>
      </c>
      <c r="E280" s="26" t="s">
        <v>1063</v>
      </c>
      <c r="F280" s="82">
        <v>12</v>
      </c>
      <c r="G280" s="83" t="s">
        <v>622</v>
      </c>
      <c r="H280" s="84">
        <v>12</v>
      </c>
      <c r="I280" s="80" t="s">
        <v>2607</v>
      </c>
      <c r="J280" s="80"/>
      <c r="L280" s="91"/>
      <c r="M280" s="148"/>
    </row>
    <row r="281" spans="1:13" x14ac:dyDescent="0.25">
      <c r="A281" s="78">
        <v>46041</v>
      </c>
      <c r="B281" s="79" t="s">
        <v>81</v>
      </c>
      <c r="C281" s="80" t="s">
        <v>2819</v>
      </c>
      <c r="D281" s="81">
        <v>2240</v>
      </c>
      <c r="E281" s="26" t="s">
        <v>762</v>
      </c>
      <c r="F281" s="82">
        <v>84</v>
      </c>
      <c r="G281" s="83" t="s">
        <v>622</v>
      </c>
      <c r="H281" s="84">
        <v>84</v>
      </c>
      <c r="I281" s="80" t="s">
        <v>2607</v>
      </c>
      <c r="J281" s="80"/>
      <c r="L281" s="91"/>
      <c r="M281" s="148"/>
    </row>
    <row r="282" spans="1:13" x14ac:dyDescent="0.25">
      <c r="A282" s="78">
        <v>46041</v>
      </c>
      <c r="B282" s="79" t="s">
        <v>81</v>
      </c>
      <c r="C282" s="80" t="s">
        <v>2820</v>
      </c>
      <c r="D282" s="81" t="s">
        <v>1066</v>
      </c>
      <c r="E282" s="26" t="s">
        <v>1067</v>
      </c>
      <c r="F282" s="82">
        <v>12</v>
      </c>
      <c r="G282" s="83" t="s">
        <v>622</v>
      </c>
      <c r="H282" s="84">
        <v>12</v>
      </c>
      <c r="I282" s="80" t="s">
        <v>2607</v>
      </c>
      <c r="J282" s="80"/>
      <c r="L282" s="91"/>
      <c r="M282" s="148"/>
    </row>
    <row r="283" spans="1:13" x14ac:dyDescent="0.25">
      <c r="A283" s="78">
        <v>46041</v>
      </c>
      <c r="B283" s="79" t="s">
        <v>81</v>
      </c>
      <c r="C283" s="80" t="s">
        <v>2821</v>
      </c>
      <c r="D283" s="81" t="s">
        <v>2822</v>
      </c>
      <c r="E283" s="26" t="s">
        <v>2823</v>
      </c>
      <c r="F283" s="82">
        <v>12</v>
      </c>
      <c r="G283" s="83" t="s">
        <v>622</v>
      </c>
      <c r="H283" s="84">
        <v>12</v>
      </c>
      <c r="I283" s="80" t="s">
        <v>2607</v>
      </c>
      <c r="J283" s="80"/>
      <c r="L283" s="91"/>
      <c r="M283" s="148"/>
    </row>
    <row r="284" spans="1:13" x14ac:dyDescent="0.25">
      <c r="A284" s="78">
        <v>46041</v>
      </c>
      <c r="B284" s="79" t="s">
        <v>81</v>
      </c>
      <c r="C284" s="80" t="s">
        <v>2824</v>
      </c>
      <c r="D284" s="81" t="s">
        <v>1032</v>
      </c>
      <c r="E284" s="26" t="s">
        <v>1033</v>
      </c>
      <c r="F284" s="82">
        <v>25</v>
      </c>
      <c r="G284" s="83" t="s">
        <v>622</v>
      </c>
      <c r="H284" s="84">
        <v>25</v>
      </c>
      <c r="I284" s="80" t="s">
        <v>2607</v>
      </c>
      <c r="J284" s="80"/>
      <c r="L284" s="91"/>
      <c r="M284" s="148"/>
    </row>
    <row r="285" spans="1:13" x14ac:dyDescent="0.25">
      <c r="A285" s="78">
        <v>46041</v>
      </c>
      <c r="B285" s="79" t="s">
        <v>81</v>
      </c>
      <c r="C285" s="80" t="s">
        <v>2825</v>
      </c>
      <c r="D285" s="81" t="s">
        <v>1060</v>
      </c>
      <c r="E285" s="26" t="s">
        <v>1061</v>
      </c>
      <c r="F285" s="82">
        <v>12</v>
      </c>
      <c r="G285" s="83" t="s">
        <v>622</v>
      </c>
      <c r="H285" s="84">
        <v>12</v>
      </c>
      <c r="I285" s="80" t="s">
        <v>2607</v>
      </c>
      <c r="L285" s="91"/>
      <c r="M285" s="148"/>
    </row>
    <row r="286" spans="1:13" x14ac:dyDescent="0.25">
      <c r="A286" s="78">
        <v>46041</v>
      </c>
      <c r="B286" s="79" t="s">
        <v>2614</v>
      </c>
      <c r="C286" s="80" t="s">
        <v>2826</v>
      </c>
      <c r="D286" s="81">
        <v>900101</v>
      </c>
      <c r="E286" s="26" t="s">
        <v>2827</v>
      </c>
      <c r="F286" s="82">
        <v>350</v>
      </c>
      <c r="G286" s="83" t="s">
        <v>619</v>
      </c>
      <c r="H286" s="84">
        <v>350</v>
      </c>
      <c r="I286" s="80" t="s">
        <v>2607</v>
      </c>
      <c r="J286" s="80"/>
      <c r="L286" s="91"/>
      <c r="M286" s="148"/>
    </row>
    <row r="287" spans="1:13" x14ac:dyDescent="0.25">
      <c r="A287" s="78">
        <v>46041</v>
      </c>
      <c r="B287" s="79" t="s">
        <v>81</v>
      </c>
      <c r="C287" s="80" t="s">
        <v>2828</v>
      </c>
      <c r="D287" s="81">
        <v>2230</v>
      </c>
      <c r="E287" s="26" t="s">
        <v>749</v>
      </c>
      <c r="F287" s="82">
        <v>168</v>
      </c>
      <c r="G287" s="83" t="s">
        <v>622</v>
      </c>
      <c r="H287" s="84">
        <v>168</v>
      </c>
      <c r="I287" s="80" t="s">
        <v>2607</v>
      </c>
      <c r="J287" s="80"/>
      <c r="L287" s="91"/>
      <c r="M287" s="148"/>
    </row>
    <row r="288" spans="1:13" x14ac:dyDescent="0.25">
      <c r="A288" s="78">
        <v>46041</v>
      </c>
      <c r="B288" s="79" t="s">
        <v>2658</v>
      </c>
      <c r="C288" s="80" t="s">
        <v>2162</v>
      </c>
      <c r="D288" s="81" t="s">
        <v>637</v>
      </c>
      <c r="E288" s="26" t="s">
        <v>638</v>
      </c>
      <c r="F288" s="82">
        <v>2500</v>
      </c>
      <c r="G288" s="83" t="s">
        <v>619</v>
      </c>
      <c r="H288" s="84">
        <v>2500</v>
      </c>
      <c r="I288" s="80" t="s">
        <v>2607</v>
      </c>
      <c r="J288" s="80"/>
      <c r="L288" s="91"/>
      <c r="M288" s="148"/>
    </row>
    <row r="289" spans="1:13" x14ac:dyDescent="0.25">
      <c r="A289" s="78">
        <v>46041</v>
      </c>
      <c r="B289" s="79" t="s">
        <v>81</v>
      </c>
      <c r="C289" s="80" t="s">
        <v>2829</v>
      </c>
      <c r="D289" s="81" t="s">
        <v>2830</v>
      </c>
      <c r="E289" s="26" t="s">
        <v>2831</v>
      </c>
      <c r="F289" s="82">
        <v>12</v>
      </c>
      <c r="G289" s="83" t="s">
        <v>622</v>
      </c>
      <c r="H289" s="84">
        <v>12</v>
      </c>
      <c r="I289" s="80" t="s">
        <v>2607</v>
      </c>
      <c r="J289" s="80"/>
      <c r="L289" s="91"/>
      <c r="M289" s="148"/>
    </row>
    <row r="290" spans="1:13" x14ac:dyDescent="0.25">
      <c r="A290" s="78">
        <v>46041</v>
      </c>
      <c r="B290" s="79" t="s">
        <v>2617</v>
      </c>
      <c r="C290" s="80" t="s">
        <v>2832</v>
      </c>
      <c r="D290" s="81">
        <v>5150010451</v>
      </c>
      <c r="E290" s="26" t="s">
        <v>2706</v>
      </c>
      <c r="F290" s="82">
        <v>2256</v>
      </c>
      <c r="G290" s="83" t="s">
        <v>619</v>
      </c>
      <c r="H290" s="84">
        <v>2256</v>
      </c>
      <c r="I290" s="80" t="s">
        <v>2607</v>
      </c>
      <c r="J290" s="80"/>
      <c r="L290" s="91"/>
      <c r="M290" s="148"/>
    </row>
    <row r="291" spans="1:13" x14ac:dyDescent="0.25">
      <c r="A291" s="78">
        <v>46041</v>
      </c>
      <c r="B291" s="79" t="s">
        <v>2614</v>
      </c>
      <c r="C291" s="80" t="s">
        <v>2833</v>
      </c>
      <c r="D291" s="81">
        <v>900101</v>
      </c>
      <c r="E291" s="26" t="s">
        <v>2827</v>
      </c>
      <c r="F291" s="82">
        <v>720</v>
      </c>
      <c r="G291" s="83" t="s">
        <v>619</v>
      </c>
      <c r="H291" s="84">
        <v>720</v>
      </c>
      <c r="I291" s="80" t="s">
        <v>2607</v>
      </c>
      <c r="L291" s="91"/>
      <c r="M291" s="148"/>
    </row>
    <row r="292" spans="1:13" x14ac:dyDescent="0.25">
      <c r="A292" s="78">
        <v>46041</v>
      </c>
      <c r="B292" s="79" t="s">
        <v>2614</v>
      </c>
      <c r="C292" s="80" t="s">
        <v>2834</v>
      </c>
      <c r="D292" s="81">
        <v>900106</v>
      </c>
      <c r="E292" s="26" t="s">
        <v>2616</v>
      </c>
      <c r="F292" s="82">
        <v>350</v>
      </c>
      <c r="G292" s="83" t="s">
        <v>619</v>
      </c>
      <c r="H292" s="84">
        <v>350</v>
      </c>
      <c r="I292" s="80" t="s">
        <v>2607</v>
      </c>
      <c r="J292" s="80"/>
      <c r="L292" s="91"/>
      <c r="M292" s="148"/>
    </row>
    <row r="293" spans="1:13" x14ac:dyDescent="0.25">
      <c r="A293" s="78">
        <v>46041</v>
      </c>
      <c r="B293" s="79" t="s">
        <v>2680</v>
      </c>
      <c r="C293" s="80" t="s">
        <v>2835</v>
      </c>
      <c r="D293" s="81">
        <v>900403</v>
      </c>
      <c r="E293" s="26" t="s">
        <v>2682</v>
      </c>
      <c r="F293" s="82">
        <v>480</v>
      </c>
      <c r="G293" s="83" t="s">
        <v>619</v>
      </c>
      <c r="H293" s="84">
        <v>480</v>
      </c>
      <c r="I293" s="80" t="s">
        <v>2607</v>
      </c>
      <c r="J293" s="80"/>
      <c r="L293" s="91"/>
      <c r="M293" s="148"/>
    </row>
    <row r="294" spans="1:13" x14ac:dyDescent="0.25">
      <c r="A294" s="78">
        <v>46041</v>
      </c>
      <c r="B294" s="79" t="s">
        <v>2611</v>
      </c>
      <c r="C294" s="80" t="s">
        <v>2836</v>
      </c>
      <c r="D294" s="81">
        <v>9011231</v>
      </c>
      <c r="E294" s="26" t="s">
        <v>2739</v>
      </c>
      <c r="F294" s="82">
        <v>1147</v>
      </c>
      <c r="G294" s="83" t="s">
        <v>619</v>
      </c>
      <c r="H294" s="84">
        <v>1147</v>
      </c>
      <c r="I294" s="80" t="s">
        <v>2607</v>
      </c>
      <c r="L294" s="91"/>
      <c r="M294" s="148"/>
    </row>
    <row r="295" spans="1:13" x14ac:dyDescent="0.25">
      <c r="A295" s="78">
        <v>46041</v>
      </c>
      <c r="B295" s="79" t="s">
        <v>81</v>
      </c>
      <c r="C295" s="80" t="s">
        <v>2837</v>
      </c>
      <c r="D295" s="81">
        <v>2234</v>
      </c>
      <c r="E295" s="26" t="s">
        <v>789</v>
      </c>
      <c r="F295" s="82">
        <v>180</v>
      </c>
      <c r="G295" s="83" t="s">
        <v>622</v>
      </c>
      <c r="H295" s="84">
        <v>180</v>
      </c>
      <c r="I295" s="80" t="s">
        <v>2607</v>
      </c>
      <c r="L295" s="91"/>
      <c r="M295" s="148"/>
    </row>
    <row r="296" spans="1:13" x14ac:dyDescent="0.25">
      <c r="A296" s="78">
        <v>46041</v>
      </c>
      <c r="B296" s="79" t="s">
        <v>81</v>
      </c>
      <c r="C296" s="80" t="s">
        <v>2838</v>
      </c>
      <c r="D296" s="81" t="s">
        <v>1054</v>
      </c>
      <c r="E296" s="26" t="s">
        <v>1055</v>
      </c>
      <c r="F296" s="82">
        <v>12</v>
      </c>
      <c r="G296" s="83" t="s">
        <v>622</v>
      </c>
      <c r="H296" s="84">
        <v>12</v>
      </c>
      <c r="I296" s="80" t="s">
        <v>2607</v>
      </c>
      <c r="J296" s="80"/>
      <c r="L296" s="91"/>
      <c r="M296" s="148"/>
    </row>
    <row r="297" spans="1:13" x14ac:dyDescent="0.25">
      <c r="A297" s="78">
        <v>46041</v>
      </c>
      <c r="B297" s="79" t="s">
        <v>81</v>
      </c>
      <c r="C297" s="80" t="s">
        <v>2839</v>
      </c>
      <c r="D297" s="81" t="s">
        <v>1056</v>
      </c>
      <c r="E297" s="26" t="s">
        <v>1057</v>
      </c>
      <c r="F297" s="82">
        <v>12</v>
      </c>
      <c r="G297" s="83" t="s">
        <v>622</v>
      </c>
      <c r="H297" s="84">
        <v>12</v>
      </c>
      <c r="I297" s="80" t="s">
        <v>2607</v>
      </c>
      <c r="J297" s="80"/>
      <c r="L297" s="91"/>
      <c r="M297" s="148"/>
    </row>
    <row r="298" spans="1:13" x14ac:dyDescent="0.25">
      <c r="A298" s="78">
        <v>46041</v>
      </c>
      <c r="B298" s="79" t="s">
        <v>2606</v>
      </c>
      <c r="C298" s="80" t="s">
        <v>2311</v>
      </c>
      <c r="D298" s="81">
        <v>220131</v>
      </c>
      <c r="E298" s="26" t="s">
        <v>1395</v>
      </c>
      <c r="F298" s="82">
        <v>8333</v>
      </c>
      <c r="G298" s="83" t="s">
        <v>619</v>
      </c>
      <c r="H298" s="164">
        <v>8333</v>
      </c>
      <c r="I298" s="80" t="s">
        <v>2607</v>
      </c>
      <c r="J298" s="80"/>
      <c r="L298" s="91"/>
      <c r="M298" s="148"/>
    </row>
    <row r="299" spans="1:13" x14ac:dyDescent="0.25">
      <c r="A299" s="78">
        <v>46041</v>
      </c>
      <c r="B299" s="79" t="s">
        <v>81</v>
      </c>
      <c r="C299" s="80" t="s">
        <v>2840</v>
      </c>
      <c r="D299" s="81" t="s">
        <v>1050</v>
      </c>
      <c r="E299" s="26" t="s">
        <v>1051</v>
      </c>
      <c r="F299" s="82">
        <v>12</v>
      </c>
      <c r="G299" s="83" t="s">
        <v>622</v>
      </c>
      <c r="H299" s="84">
        <v>12</v>
      </c>
      <c r="I299" s="80" t="s">
        <v>2607</v>
      </c>
      <c r="J299" s="80"/>
      <c r="L299" s="91"/>
      <c r="M299" s="148"/>
    </row>
    <row r="300" spans="1:13" x14ac:dyDescent="0.25">
      <c r="A300" s="78">
        <v>46041</v>
      </c>
      <c r="B300" s="79">
        <v>7002</v>
      </c>
      <c r="C300" s="80" t="s">
        <v>2841</v>
      </c>
      <c r="D300" s="81">
        <v>961515</v>
      </c>
      <c r="E300" s="26" t="s">
        <v>2691</v>
      </c>
      <c r="F300" s="82">
        <v>325</v>
      </c>
      <c r="G300" s="83" t="s">
        <v>619</v>
      </c>
      <c r="H300" s="84">
        <v>325</v>
      </c>
      <c r="I300" s="80" t="s">
        <v>2607</v>
      </c>
      <c r="J300" s="80"/>
      <c r="L300" s="91"/>
      <c r="M300" s="148"/>
    </row>
    <row r="301" spans="1:13" x14ac:dyDescent="0.25">
      <c r="A301" s="78">
        <v>46041</v>
      </c>
      <c r="B301" s="79" t="s">
        <v>81</v>
      </c>
      <c r="C301" s="80" t="s">
        <v>2842</v>
      </c>
      <c r="D301" s="81" t="s">
        <v>1058</v>
      </c>
      <c r="E301" s="26" t="s">
        <v>1059</v>
      </c>
      <c r="F301" s="82">
        <v>12</v>
      </c>
      <c r="G301" s="83" t="s">
        <v>622</v>
      </c>
      <c r="H301" s="164">
        <v>12</v>
      </c>
      <c r="I301" s="80" t="s">
        <v>2607</v>
      </c>
      <c r="J301" s="80"/>
      <c r="L301" s="91"/>
      <c r="M301" s="148"/>
    </row>
    <row r="302" spans="1:13" x14ac:dyDescent="0.25">
      <c r="A302" s="78">
        <v>46041</v>
      </c>
      <c r="B302" s="79" t="s">
        <v>2624</v>
      </c>
      <c r="C302" s="80" t="s">
        <v>2843</v>
      </c>
      <c r="D302" s="81" t="s">
        <v>2643</v>
      </c>
      <c r="E302" s="26" t="s">
        <v>2644</v>
      </c>
      <c r="F302" s="82">
        <v>1000</v>
      </c>
      <c r="G302" s="83" t="s">
        <v>619</v>
      </c>
      <c r="H302" s="84">
        <v>1000</v>
      </c>
      <c r="I302" s="80" t="s">
        <v>2607</v>
      </c>
      <c r="J302" s="80"/>
      <c r="L302" s="91"/>
      <c r="M302" s="148"/>
    </row>
    <row r="303" spans="1:13" x14ac:dyDescent="0.25">
      <c r="A303" s="78">
        <v>46041</v>
      </c>
      <c r="B303" s="79" t="s">
        <v>2621</v>
      </c>
      <c r="C303" s="80" t="s">
        <v>2844</v>
      </c>
      <c r="D303" s="81">
        <v>529300</v>
      </c>
      <c r="E303" s="26" t="s">
        <v>2623</v>
      </c>
      <c r="F303" s="82">
        <v>10832</v>
      </c>
      <c r="G303" s="83" t="s">
        <v>619</v>
      </c>
      <c r="H303" s="84">
        <v>10832</v>
      </c>
      <c r="I303" s="80" t="s">
        <v>2607</v>
      </c>
      <c r="J303" s="80"/>
      <c r="L303" s="91"/>
      <c r="M303" s="148"/>
    </row>
    <row r="304" spans="1:13" x14ac:dyDescent="0.25">
      <c r="A304" s="78">
        <v>46041</v>
      </c>
      <c r="B304" s="79" t="s">
        <v>2665</v>
      </c>
      <c r="C304" s="80" t="s">
        <v>2190</v>
      </c>
      <c r="D304" s="81" t="s">
        <v>626</v>
      </c>
      <c r="E304" s="26" t="s">
        <v>2845</v>
      </c>
      <c r="F304" s="82">
        <v>2833</v>
      </c>
      <c r="G304" s="83" t="s">
        <v>619</v>
      </c>
      <c r="H304" s="84">
        <v>2833</v>
      </c>
      <c r="I304" s="80" t="s">
        <v>2607</v>
      </c>
      <c r="J304" s="80"/>
      <c r="L304" s="91"/>
      <c r="M304" s="148"/>
    </row>
    <row r="305" spans="1:13" x14ac:dyDescent="0.25">
      <c r="A305" s="78">
        <v>46041</v>
      </c>
      <c r="B305" s="79" t="s">
        <v>2665</v>
      </c>
      <c r="C305" s="80" t="s">
        <v>2191</v>
      </c>
      <c r="D305" s="81" t="s">
        <v>627</v>
      </c>
      <c r="E305" s="26" t="s">
        <v>2846</v>
      </c>
      <c r="F305" s="82">
        <v>800</v>
      </c>
      <c r="G305" s="83" t="s">
        <v>619</v>
      </c>
      <c r="H305" s="84">
        <v>800</v>
      </c>
      <c r="I305" s="80" t="s">
        <v>2607</v>
      </c>
      <c r="J305" s="80"/>
      <c r="L305" s="91"/>
      <c r="M305" s="148"/>
    </row>
    <row r="306" spans="1:13" x14ac:dyDescent="0.25">
      <c r="A306" s="78">
        <v>46041</v>
      </c>
      <c r="B306" s="79" t="s">
        <v>2606</v>
      </c>
      <c r="C306" s="80" t="s">
        <v>2312</v>
      </c>
      <c r="D306" s="81">
        <v>220131</v>
      </c>
      <c r="E306" s="26" t="s">
        <v>1395</v>
      </c>
      <c r="F306" s="82">
        <v>8333</v>
      </c>
      <c r="G306" s="83" t="s">
        <v>619</v>
      </c>
      <c r="H306" s="84">
        <v>8333</v>
      </c>
      <c r="I306" s="80" t="s">
        <v>2607</v>
      </c>
      <c r="J306" s="80"/>
      <c r="L306" s="91"/>
      <c r="M306" s="148"/>
    </row>
    <row r="307" spans="1:13" x14ac:dyDescent="0.25">
      <c r="A307" s="78">
        <v>46041</v>
      </c>
      <c r="B307" s="79" t="s">
        <v>2608</v>
      </c>
      <c r="C307" s="80" t="s">
        <v>2106</v>
      </c>
      <c r="D307" s="81">
        <v>7018</v>
      </c>
      <c r="E307" s="26" t="s">
        <v>1077</v>
      </c>
      <c r="F307" s="82">
        <v>105000</v>
      </c>
      <c r="G307" s="83" t="s">
        <v>622</v>
      </c>
      <c r="H307" s="84">
        <v>105000</v>
      </c>
      <c r="I307" s="80" t="s">
        <v>2609</v>
      </c>
      <c r="J307" s="80"/>
      <c r="L307" s="91"/>
      <c r="M307" s="148"/>
    </row>
    <row r="308" spans="1:13" x14ac:dyDescent="0.25">
      <c r="A308" s="78">
        <v>46041</v>
      </c>
      <c r="B308" s="79" t="s">
        <v>2608</v>
      </c>
      <c r="C308" s="80" t="s">
        <v>2120</v>
      </c>
      <c r="D308" s="81">
        <v>7121</v>
      </c>
      <c r="E308" s="26" t="s">
        <v>635</v>
      </c>
      <c r="F308" s="82">
        <v>95000</v>
      </c>
      <c r="G308" s="83" t="s">
        <v>622</v>
      </c>
      <c r="H308" s="84">
        <v>95000</v>
      </c>
      <c r="I308" s="80" t="s">
        <v>2609</v>
      </c>
      <c r="J308" s="80"/>
      <c r="L308" s="91"/>
      <c r="M308" s="148"/>
    </row>
    <row r="309" spans="1:13" x14ac:dyDescent="0.25">
      <c r="A309" s="78">
        <v>46041</v>
      </c>
      <c r="B309" s="79" t="s">
        <v>712</v>
      </c>
      <c r="C309" s="80" t="s">
        <v>1470</v>
      </c>
      <c r="D309" s="81" t="s">
        <v>1126</v>
      </c>
      <c r="E309" s="26" t="s">
        <v>808</v>
      </c>
      <c r="F309" s="82">
        <v>40000</v>
      </c>
      <c r="G309" s="83" t="s">
        <v>622</v>
      </c>
      <c r="H309" s="84">
        <v>40000</v>
      </c>
      <c r="I309" s="80" t="s">
        <v>2607</v>
      </c>
      <c r="J309" s="80"/>
      <c r="L309" s="91"/>
      <c r="M309" s="148"/>
    </row>
    <row r="310" spans="1:13" x14ac:dyDescent="0.25">
      <c r="A310" s="78">
        <v>46041</v>
      </c>
      <c r="B310" s="79" t="s">
        <v>2610</v>
      </c>
      <c r="C310" s="80" t="s">
        <v>2373</v>
      </c>
      <c r="D310" s="81">
        <v>520880</v>
      </c>
      <c r="E310" s="26" t="s">
        <v>1399</v>
      </c>
      <c r="F310" s="82">
        <v>14584</v>
      </c>
      <c r="G310" s="83" t="s">
        <v>619</v>
      </c>
      <c r="H310" s="84">
        <v>14584</v>
      </c>
      <c r="I310" s="80" t="s">
        <v>2607</v>
      </c>
      <c r="J310" s="80"/>
      <c r="L310" s="91"/>
      <c r="M310" s="148"/>
    </row>
    <row r="311" spans="1:13" x14ac:dyDescent="0.25">
      <c r="A311" s="78">
        <v>46041</v>
      </c>
      <c r="B311" s="79" t="s">
        <v>2608</v>
      </c>
      <c r="C311" s="80" t="s">
        <v>2105</v>
      </c>
      <c r="D311" s="81">
        <v>7016</v>
      </c>
      <c r="E311" s="26" t="s">
        <v>628</v>
      </c>
      <c r="F311" s="82">
        <v>105000</v>
      </c>
      <c r="G311" s="83" t="s">
        <v>622</v>
      </c>
      <c r="H311" s="84">
        <v>105000</v>
      </c>
      <c r="I311" s="80" t="s">
        <v>2609</v>
      </c>
      <c r="J311" s="80"/>
      <c r="L311" s="91"/>
      <c r="M311" s="148"/>
    </row>
    <row r="312" spans="1:13" x14ac:dyDescent="0.25">
      <c r="A312" s="78">
        <v>46041</v>
      </c>
      <c r="B312" s="79" t="s">
        <v>81</v>
      </c>
      <c r="C312" s="80" t="s">
        <v>2847</v>
      </c>
      <c r="D312" s="81" t="s">
        <v>1064</v>
      </c>
      <c r="E312" s="26" t="s">
        <v>1065</v>
      </c>
      <c r="F312" s="82">
        <v>12</v>
      </c>
      <c r="G312" s="83" t="s">
        <v>622</v>
      </c>
      <c r="H312" s="84">
        <v>12</v>
      </c>
      <c r="I312" s="80" t="s">
        <v>2607</v>
      </c>
      <c r="J312" s="80"/>
      <c r="L312" s="91"/>
      <c r="M312" s="148"/>
    </row>
    <row r="313" spans="1:13" x14ac:dyDescent="0.25">
      <c r="A313" s="78">
        <v>46041</v>
      </c>
      <c r="B313" s="79" t="s">
        <v>81</v>
      </c>
      <c r="C313" s="80" t="s">
        <v>2848</v>
      </c>
      <c r="D313" s="81" t="s">
        <v>1046</v>
      </c>
      <c r="E313" s="26" t="s">
        <v>1047</v>
      </c>
      <c r="F313" s="82">
        <v>12</v>
      </c>
      <c r="G313" s="83" t="s">
        <v>622</v>
      </c>
      <c r="H313" s="84">
        <v>12</v>
      </c>
      <c r="I313" s="80" t="s">
        <v>2607</v>
      </c>
      <c r="J313" s="80"/>
      <c r="L313" s="91"/>
      <c r="M313" s="148"/>
    </row>
    <row r="314" spans="1:13" x14ac:dyDescent="0.25">
      <c r="A314" s="78">
        <v>46041</v>
      </c>
      <c r="B314" s="79" t="s">
        <v>81</v>
      </c>
      <c r="C314" s="80" t="s">
        <v>2849</v>
      </c>
      <c r="D314" s="81" t="s">
        <v>2850</v>
      </c>
      <c r="E314" s="26" t="s">
        <v>2851</v>
      </c>
      <c r="F314" s="82">
        <v>12</v>
      </c>
      <c r="G314" s="83" t="s">
        <v>622</v>
      </c>
      <c r="H314" s="84">
        <v>12</v>
      </c>
      <c r="I314" s="80" t="s">
        <v>2607</v>
      </c>
      <c r="J314" s="80"/>
      <c r="L314" s="91"/>
      <c r="M314" s="148"/>
    </row>
    <row r="315" spans="1:13" x14ac:dyDescent="0.25">
      <c r="A315" s="78">
        <v>46041</v>
      </c>
      <c r="B315" s="79" t="s">
        <v>81</v>
      </c>
      <c r="C315" s="80" t="s">
        <v>2852</v>
      </c>
      <c r="D315" s="81">
        <v>2204</v>
      </c>
      <c r="E315" s="26" t="s">
        <v>747</v>
      </c>
      <c r="F315" s="82">
        <v>36</v>
      </c>
      <c r="G315" s="83" t="s">
        <v>622</v>
      </c>
      <c r="H315" s="84">
        <v>36</v>
      </c>
      <c r="I315" s="80" t="s">
        <v>2607</v>
      </c>
      <c r="J315" s="80"/>
      <c r="L315" s="91"/>
      <c r="M315" s="148"/>
    </row>
    <row r="316" spans="1:13" x14ac:dyDescent="0.25">
      <c r="A316" s="78">
        <v>46041</v>
      </c>
      <c r="B316" s="79" t="s">
        <v>81</v>
      </c>
      <c r="C316" s="80" t="s">
        <v>2853</v>
      </c>
      <c r="D316" s="81">
        <v>2256</v>
      </c>
      <c r="E316" s="26" t="s">
        <v>801</v>
      </c>
      <c r="F316" s="82">
        <v>168</v>
      </c>
      <c r="G316" s="83" t="s">
        <v>622</v>
      </c>
      <c r="H316" s="84">
        <v>168</v>
      </c>
      <c r="I316" s="80" t="s">
        <v>2607</v>
      </c>
      <c r="J316" s="80"/>
      <c r="L316" s="91"/>
      <c r="M316" s="148"/>
    </row>
    <row r="317" spans="1:13" x14ac:dyDescent="0.25">
      <c r="A317" s="78">
        <v>46041</v>
      </c>
      <c r="B317" s="79" t="s">
        <v>81</v>
      </c>
      <c r="C317" s="80" t="s">
        <v>2854</v>
      </c>
      <c r="D317" s="81">
        <v>2246</v>
      </c>
      <c r="E317" s="26" t="s">
        <v>764</v>
      </c>
      <c r="F317" s="82">
        <v>180</v>
      </c>
      <c r="G317" s="83" t="s">
        <v>622</v>
      </c>
      <c r="H317" s="84">
        <v>180</v>
      </c>
      <c r="I317" s="80" t="s">
        <v>2607</v>
      </c>
      <c r="J317" s="80"/>
      <c r="L317" s="91"/>
      <c r="M317" s="148"/>
    </row>
    <row r="318" spans="1:13" x14ac:dyDescent="0.25">
      <c r="A318" s="78">
        <v>46041</v>
      </c>
      <c r="B318" s="79" t="s">
        <v>2610</v>
      </c>
      <c r="C318" s="80" t="s">
        <v>2374</v>
      </c>
      <c r="D318" s="81">
        <v>520880</v>
      </c>
      <c r="E318" s="26" t="s">
        <v>1399</v>
      </c>
      <c r="F318" s="82">
        <v>14584</v>
      </c>
      <c r="G318" s="83" t="s">
        <v>619</v>
      </c>
      <c r="H318" s="84">
        <v>14584</v>
      </c>
      <c r="I318" s="80" t="s">
        <v>2607</v>
      </c>
      <c r="J318" s="80"/>
      <c r="L318" s="91"/>
      <c r="M318" s="148"/>
    </row>
    <row r="319" spans="1:13" x14ac:dyDescent="0.25">
      <c r="A319" s="78">
        <v>46041</v>
      </c>
      <c r="B319" s="79" t="s">
        <v>81</v>
      </c>
      <c r="C319" s="80" t="s">
        <v>2855</v>
      </c>
      <c r="D319" s="81">
        <v>2236</v>
      </c>
      <c r="E319" s="26" t="s">
        <v>791</v>
      </c>
      <c r="F319" s="82">
        <v>192</v>
      </c>
      <c r="G319" s="83" t="s">
        <v>622</v>
      </c>
      <c r="H319" s="84">
        <v>192</v>
      </c>
      <c r="I319" s="80" t="s">
        <v>2607</v>
      </c>
      <c r="J319" s="80"/>
      <c r="L319" s="91"/>
      <c r="M319" s="148"/>
    </row>
    <row r="320" spans="1:13" x14ac:dyDescent="0.25">
      <c r="A320" s="78">
        <v>46042</v>
      </c>
      <c r="B320" s="79" t="s">
        <v>2652</v>
      </c>
      <c r="C320" s="80" t="s">
        <v>2379</v>
      </c>
      <c r="D320" s="81">
        <v>2207</v>
      </c>
      <c r="E320" s="26" t="s">
        <v>887</v>
      </c>
      <c r="F320" s="82">
        <v>144</v>
      </c>
      <c r="G320" s="83" t="s">
        <v>622</v>
      </c>
      <c r="H320" s="84">
        <v>144</v>
      </c>
      <c r="I320" s="80" t="s">
        <v>2607</v>
      </c>
      <c r="J320" s="80"/>
      <c r="L320" s="91"/>
      <c r="M320" s="148"/>
    </row>
    <row r="321" spans="1:13" x14ac:dyDescent="0.25">
      <c r="A321" s="78">
        <v>46042</v>
      </c>
      <c r="B321" s="79" t="s">
        <v>81</v>
      </c>
      <c r="C321" s="80" t="s">
        <v>2856</v>
      </c>
      <c r="D321" s="81" t="s">
        <v>1030</v>
      </c>
      <c r="E321" s="26" t="s">
        <v>1031</v>
      </c>
      <c r="F321" s="82">
        <v>25</v>
      </c>
      <c r="G321" s="83" t="s">
        <v>622</v>
      </c>
      <c r="H321" s="84">
        <v>25</v>
      </c>
      <c r="I321" s="80" t="s">
        <v>2607</v>
      </c>
      <c r="J321" s="80"/>
      <c r="L321" s="91"/>
      <c r="M321" s="148"/>
    </row>
    <row r="322" spans="1:13" x14ac:dyDescent="0.25">
      <c r="A322" s="78">
        <v>46042</v>
      </c>
      <c r="B322" s="79" t="s">
        <v>81</v>
      </c>
      <c r="C322" s="80" t="s">
        <v>2857</v>
      </c>
      <c r="D322" s="81" t="s">
        <v>1040</v>
      </c>
      <c r="E322" s="26" t="s">
        <v>1041</v>
      </c>
      <c r="F322" s="82">
        <v>25</v>
      </c>
      <c r="G322" s="83" t="s">
        <v>622</v>
      </c>
      <c r="H322" s="84">
        <v>25</v>
      </c>
      <c r="I322" s="80" t="s">
        <v>2607</v>
      </c>
      <c r="J322" s="80"/>
      <c r="L322" s="91"/>
      <c r="M322" s="148"/>
    </row>
    <row r="323" spans="1:13" x14ac:dyDescent="0.25">
      <c r="A323" s="78">
        <v>46042</v>
      </c>
      <c r="B323" s="79" t="s">
        <v>81</v>
      </c>
      <c r="C323" s="80" t="s">
        <v>2858</v>
      </c>
      <c r="D323" s="81" t="s">
        <v>1218</v>
      </c>
      <c r="E323" s="26" t="s">
        <v>1219</v>
      </c>
      <c r="F323" s="82">
        <v>4</v>
      </c>
      <c r="G323" s="83" t="s">
        <v>622</v>
      </c>
      <c r="H323" s="84">
        <v>4</v>
      </c>
      <c r="I323" s="80" t="s">
        <v>2607</v>
      </c>
      <c r="J323" s="80"/>
      <c r="L323" s="91"/>
      <c r="M323" s="148"/>
    </row>
    <row r="324" spans="1:13" x14ac:dyDescent="0.25">
      <c r="A324" s="78">
        <v>46042</v>
      </c>
      <c r="B324" s="79" t="s">
        <v>81</v>
      </c>
      <c r="C324" s="80" t="s">
        <v>2859</v>
      </c>
      <c r="D324" s="81">
        <v>2238</v>
      </c>
      <c r="E324" s="26" t="s">
        <v>760</v>
      </c>
      <c r="F324" s="82">
        <v>180</v>
      </c>
      <c r="G324" s="83" t="s">
        <v>622</v>
      </c>
      <c r="H324" s="84">
        <v>180</v>
      </c>
      <c r="I324" s="80" t="s">
        <v>2607</v>
      </c>
      <c r="J324" s="136"/>
      <c r="L324" s="91"/>
      <c r="M324" s="148"/>
    </row>
    <row r="325" spans="1:13" x14ac:dyDescent="0.25">
      <c r="A325" s="78">
        <v>46042</v>
      </c>
      <c r="B325" s="79" t="s">
        <v>81</v>
      </c>
      <c r="C325" s="80" t="s">
        <v>2860</v>
      </c>
      <c r="D325" s="81">
        <v>2232</v>
      </c>
      <c r="E325" s="26" t="s">
        <v>778</v>
      </c>
      <c r="F325" s="82">
        <v>204</v>
      </c>
      <c r="G325" s="83" t="s">
        <v>622</v>
      </c>
      <c r="H325" s="84">
        <v>204</v>
      </c>
      <c r="I325" s="80" t="s">
        <v>2607</v>
      </c>
      <c r="J325" s="80"/>
      <c r="L325" s="91"/>
      <c r="M325" s="148"/>
    </row>
    <row r="326" spans="1:13" x14ac:dyDescent="0.25">
      <c r="A326" s="78">
        <v>46042</v>
      </c>
      <c r="B326" s="79" t="s">
        <v>2652</v>
      </c>
      <c r="C326" s="80" t="s">
        <v>2381</v>
      </c>
      <c r="D326" s="81">
        <v>2239</v>
      </c>
      <c r="E326" s="26" t="s">
        <v>892</v>
      </c>
      <c r="F326" s="82">
        <v>180</v>
      </c>
      <c r="G326" s="83" t="s">
        <v>622</v>
      </c>
      <c r="H326" s="84">
        <v>180</v>
      </c>
      <c r="I326" s="80" t="s">
        <v>2607</v>
      </c>
      <c r="J326" s="136"/>
      <c r="L326" s="91"/>
      <c r="M326" s="148"/>
    </row>
    <row r="327" spans="1:13" x14ac:dyDescent="0.25">
      <c r="A327" s="78">
        <v>46042</v>
      </c>
      <c r="B327" s="79" t="s">
        <v>2652</v>
      </c>
      <c r="C327" s="80" t="s">
        <v>2383</v>
      </c>
      <c r="D327" s="81">
        <v>2257</v>
      </c>
      <c r="E327" s="26" t="s">
        <v>2296</v>
      </c>
      <c r="F327" s="82">
        <v>126</v>
      </c>
      <c r="G327" s="83" t="s">
        <v>622</v>
      </c>
      <c r="H327" s="84">
        <v>126</v>
      </c>
      <c r="I327" s="80" t="s">
        <v>2607</v>
      </c>
      <c r="J327" s="80"/>
      <c r="L327" s="91"/>
      <c r="M327" s="148"/>
    </row>
    <row r="328" spans="1:13" x14ac:dyDescent="0.25">
      <c r="A328" s="78">
        <v>46042</v>
      </c>
      <c r="B328" s="79" t="s">
        <v>2652</v>
      </c>
      <c r="C328" s="80" t="s">
        <v>2382</v>
      </c>
      <c r="D328" s="81">
        <v>2243</v>
      </c>
      <c r="E328" s="26" t="s">
        <v>883</v>
      </c>
      <c r="F328" s="82">
        <v>192</v>
      </c>
      <c r="G328" s="83" t="s">
        <v>622</v>
      </c>
      <c r="H328" s="84">
        <v>192</v>
      </c>
      <c r="I328" s="80" t="s">
        <v>2607</v>
      </c>
      <c r="J328" s="80"/>
      <c r="L328" s="91"/>
      <c r="M328" s="148"/>
    </row>
    <row r="329" spans="1:13" x14ac:dyDescent="0.25">
      <c r="A329" s="78">
        <v>46042</v>
      </c>
      <c r="B329" s="79" t="s">
        <v>2652</v>
      </c>
      <c r="C329" s="80" t="s">
        <v>2377</v>
      </c>
      <c r="D329" s="81">
        <v>2203</v>
      </c>
      <c r="E329" s="26" t="s">
        <v>886</v>
      </c>
      <c r="F329" s="82">
        <v>168</v>
      </c>
      <c r="G329" s="83" t="s">
        <v>622</v>
      </c>
      <c r="H329" s="84">
        <v>168</v>
      </c>
      <c r="I329" s="80" t="s">
        <v>2607</v>
      </c>
      <c r="J329" s="80"/>
      <c r="L329" s="91"/>
      <c r="M329" s="148"/>
    </row>
    <row r="330" spans="1:13" x14ac:dyDescent="0.25">
      <c r="A330" s="78">
        <v>46042</v>
      </c>
      <c r="B330" s="79" t="s">
        <v>2652</v>
      </c>
      <c r="C330" s="80" t="s">
        <v>2376</v>
      </c>
      <c r="D330" s="81">
        <v>2201</v>
      </c>
      <c r="E330" s="26" t="s">
        <v>879</v>
      </c>
      <c r="F330" s="82">
        <v>144</v>
      </c>
      <c r="G330" s="83" t="s">
        <v>622</v>
      </c>
      <c r="H330" s="84">
        <v>144</v>
      </c>
      <c r="I330" s="80" t="s">
        <v>2607</v>
      </c>
      <c r="L330" s="91"/>
      <c r="M330" s="148"/>
    </row>
    <row r="331" spans="1:13" x14ac:dyDescent="0.25">
      <c r="A331" s="78">
        <v>46042</v>
      </c>
      <c r="B331" s="79" t="s">
        <v>2652</v>
      </c>
      <c r="C331" s="80" t="s">
        <v>2378</v>
      </c>
      <c r="D331" s="81">
        <v>2205</v>
      </c>
      <c r="E331" s="26" t="s">
        <v>880</v>
      </c>
      <c r="F331" s="82">
        <v>216</v>
      </c>
      <c r="G331" s="83" t="s">
        <v>622</v>
      </c>
      <c r="H331" s="84">
        <v>216</v>
      </c>
      <c r="I331" s="80" t="s">
        <v>2607</v>
      </c>
      <c r="L331" s="91"/>
      <c r="M331" s="148"/>
    </row>
    <row r="332" spans="1:13" x14ac:dyDescent="0.25">
      <c r="A332" s="78">
        <v>46042</v>
      </c>
      <c r="B332" s="79" t="s">
        <v>2617</v>
      </c>
      <c r="C332" s="80" t="s">
        <v>2861</v>
      </c>
      <c r="D332" s="81">
        <v>5150010451</v>
      </c>
      <c r="E332" s="26" t="s">
        <v>2706</v>
      </c>
      <c r="F332" s="82">
        <v>2256</v>
      </c>
      <c r="G332" s="83" t="s">
        <v>619</v>
      </c>
      <c r="H332" s="84">
        <v>2256</v>
      </c>
      <c r="I332" s="80" t="s">
        <v>2607</v>
      </c>
      <c r="L332" s="91"/>
      <c r="M332" s="148"/>
    </row>
    <row r="333" spans="1:13" x14ac:dyDescent="0.25">
      <c r="A333" s="78">
        <v>46042</v>
      </c>
      <c r="B333" s="79" t="s">
        <v>2614</v>
      </c>
      <c r="C333" s="80" t="s">
        <v>2862</v>
      </c>
      <c r="D333" s="81">
        <v>500401</v>
      </c>
      <c r="E333" s="123" t="s">
        <v>2863</v>
      </c>
      <c r="F333" s="82">
        <v>480</v>
      </c>
      <c r="G333" s="83" t="s">
        <v>619</v>
      </c>
      <c r="H333" s="84">
        <v>480</v>
      </c>
      <c r="I333" s="80" t="s">
        <v>2607</v>
      </c>
      <c r="L333" s="91"/>
      <c r="M333" s="148"/>
    </row>
    <row r="334" spans="1:13" x14ac:dyDescent="0.25">
      <c r="A334" s="78">
        <v>46042</v>
      </c>
      <c r="B334" s="79" t="s">
        <v>81</v>
      </c>
      <c r="C334" s="80" t="s">
        <v>2864</v>
      </c>
      <c r="D334" s="81" t="s">
        <v>1048</v>
      </c>
      <c r="E334" s="123" t="s">
        <v>1049</v>
      </c>
      <c r="F334" s="82">
        <v>12</v>
      </c>
      <c r="G334" s="83" t="s">
        <v>622</v>
      </c>
      <c r="H334" s="84">
        <v>12</v>
      </c>
      <c r="I334" s="80" t="s">
        <v>2607</v>
      </c>
      <c r="L334" s="91"/>
      <c r="M334" s="148"/>
    </row>
    <row r="335" spans="1:13" x14ac:dyDescent="0.25">
      <c r="A335" s="78">
        <v>46042</v>
      </c>
      <c r="B335" s="79" t="s">
        <v>2652</v>
      </c>
      <c r="C335" s="80" t="s">
        <v>2380</v>
      </c>
      <c r="D335" s="81">
        <v>2211</v>
      </c>
      <c r="E335" s="123" t="s">
        <v>881</v>
      </c>
      <c r="F335" s="82">
        <v>192</v>
      </c>
      <c r="G335" s="83" t="s">
        <v>622</v>
      </c>
      <c r="H335" s="84">
        <v>192</v>
      </c>
      <c r="I335" s="80" t="s">
        <v>2607</v>
      </c>
      <c r="L335" s="91"/>
      <c r="M335" s="148"/>
    </row>
    <row r="336" spans="1:13" x14ac:dyDescent="0.25">
      <c r="A336" s="78">
        <v>46042</v>
      </c>
      <c r="B336" s="79" t="s">
        <v>81</v>
      </c>
      <c r="C336" s="80" t="s">
        <v>2865</v>
      </c>
      <c r="D336" s="81" t="s">
        <v>1042</v>
      </c>
      <c r="E336" s="123" t="s">
        <v>1043</v>
      </c>
      <c r="F336" s="82">
        <v>25</v>
      </c>
      <c r="G336" s="83" t="s">
        <v>622</v>
      </c>
      <c r="H336" s="84">
        <v>25</v>
      </c>
      <c r="I336" s="80" t="s">
        <v>2607</v>
      </c>
      <c r="L336" s="91"/>
      <c r="M336" s="148"/>
    </row>
    <row r="337" spans="1:13" x14ac:dyDescent="0.25">
      <c r="A337" s="78">
        <v>46042</v>
      </c>
      <c r="B337" s="79" t="s">
        <v>81</v>
      </c>
      <c r="C337" s="80" t="s">
        <v>2866</v>
      </c>
      <c r="D337" s="81" t="s">
        <v>1036</v>
      </c>
      <c r="E337" s="123" t="s">
        <v>1037</v>
      </c>
      <c r="F337" s="82">
        <v>25</v>
      </c>
      <c r="G337" s="83" t="s">
        <v>622</v>
      </c>
      <c r="H337" s="84">
        <v>25</v>
      </c>
      <c r="I337" s="80" t="s">
        <v>2607</v>
      </c>
      <c r="L337" s="91"/>
      <c r="M337" s="148"/>
    </row>
    <row r="338" spans="1:13" x14ac:dyDescent="0.25">
      <c r="A338" s="78">
        <v>46042</v>
      </c>
      <c r="B338" s="79" t="s">
        <v>81</v>
      </c>
      <c r="C338" s="80" t="s">
        <v>2867</v>
      </c>
      <c r="D338" s="81" t="s">
        <v>1038</v>
      </c>
      <c r="E338" s="123" t="s">
        <v>1039</v>
      </c>
      <c r="F338" s="82">
        <v>25</v>
      </c>
      <c r="G338" s="83" t="s">
        <v>622</v>
      </c>
      <c r="H338" s="84">
        <v>25</v>
      </c>
      <c r="I338" s="80" t="s">
        <v>2607</v>
      </c>
      <c r="L338" s="91"/>
      <c r="M338" s="148"/>
    </row>
    <row r="339" spans="1:13" x14ac:dyDescent="0.25">
      <c r="A339" s="78">
        <v>46042</v>
      </c>
      <c r="B339" s="79">
        <v>7002</v>
      </c>
      <c r="C339" s="80" t="s">
        <v>2868</v>
      </c>
      <c r="D339" s="81">
        <v>961515</v>
      </c>
      <c r="E339" s="123" t="s">
        <v>2691</v>
      </c>
      <c r="F339" s="82">
        <v>325</v>
      </c>
      <c r="G339" s="83" t="s">
        <v>619</v>
      </c>
      <c r="H339" s="84">
        <v>325</v>
      </c>
      <c r="I339" s="80" t="s">
        <v>2607</v>
      </c>
      <c r="L339" s="91"/>
      <c r="M339" s="148"/>
    </row>
    <row r="340" spans="1:13" x14ac:dyDescent="0.25">
      <c r="A340" s="78">
        <v>46042</v>
      </c>
      <c r="B340" s="79" t="s">
        <v>2733</v>
      </c>
      <c r="C340" s="80" t="s">
        <v>2124</v>
      </c>
      <c r="D340" s="81">
        <v>7128</v>
      </c>
      <c r="E340" s="123" t="s">
        <v>633</v>
      </c>
      <c r="F340" s="82">
        <v>105000</v>
      </c>
      <c r="G340" s="83" t="s">
        <v>622</v>
      </c>
      <c r="H340" s="84">
        <v>105000</v>
      </c>
      <c r="I340" s="80" t="s">
        <v>2609</v>
      </c>
      <c r="L340" s="91"/>
      <c r="M340" s="148"/>
    </row>
    <row r="341" spans="1:13" x14ac:dyDescent="0.25">
      <c r="A341" s="78">
        <v>46042</v>
      </c>
      <c r="B341" s="79" t="s">
        <v>688</v>
      </c>
      <c r="C341" s="80" t="s">
        <v>2869</v>
      </c>
      <c r="D341" s="81">
        <v>7746</v>
      </c>
      <c r="E341" s="123" t="s">
        <v>692</v>
      </c>
      <c r="F341" s="82">
        <v>68000</v>
      </c>
      <c r="G341" s="83" t="s">
        <v>622</v>
      </c>
      <c r="H341" s="84">
        <v>68000</v>
      </c>
      <c r="I341" s="80" t="s">
        <v>2633</v>
      </c>
      <c r="L341" s="91"/>
      <c r="M341" s="148"/>
    </row>
    <row r="342" spans="1:13" x14ac:dyDescent="0.25">
      <c r="A342" s="78">
        <v>46042</v>
      </c>
      <c r="B342" s="79" t="s">
        <v>2870</v>
      </c>
      <c r="C342" s="80" t="s">
        <v>2871</v>
      </c>
      <c r="D342" s="81">
        <v>12152904</v>
      </c>
      <c r="E342" s="123" t="s">
        <v>2872</v>
      </c>
      <c r="F342" s="82">
        <v>1750</v>
      </c>
      <c r="G342" s="83" t="s">
        <v>619</v>
      </c>
      <c r="H342" s="84">
        <v>1750</v>
      </c>
      <c r="I342" s="80" t="s">
        <v>2607</v>
      </c>
      <c r="L342" s="91"/>
      <c r="M342" s="148"/>
    </row>
    <row r="343" spans="1:13" x14ac:dyDescent="0.25">
      <c r="A343" s="78">
        <v>46042</v>
      </c>
      <c r="B343" s="79" t="s">
        <v>712</v>
      </c>
      <c r="C343" s="80" t="s">
        <v>2873</v>
      </c>
      <c r="D343" s="81" t="s">
        <v>1128</v>
      </c>
      <c r="E343" s="123" t="s">
        <v>781</v>
      </c>
      <c r="F343" s="82">
        <v>1</v>
      </c>
      <c r="G343" s="83" t="s">
        <v>622</v>
      </c>
      <c r="H343" s="84">
        <v>1</v>
      </c>
      <c r="I343" s="80" t="s">
        <v>2607</v>
      </c>
      <c r="L343" s="91"/>
      <c r="M343" s="148"/>
    </row>
    <row r="344" spans="1:13" x14ac:dyDescent="0.25">
      <c r="A344" s="78">
        <v>46042</v>
      </c>
      <c r="B344" s="79" t="s">
        <v>712</v>
      </c>
      <c r="C344" s="80" t="s">
        <v>2874</v>
      </c>
      <c r="D344" s="81" t="s">
        <v>1128</v>
      </c>
      <c r="E344" s="123" t="s">
        <v>781</v>
      </c>
      <c r="F344" s="82">
        <v>40000</v>
      </c>
      <c r="G344" s="83" t="s">
        <v>622</v>
      </c>
      <c r="H344" s="84">
        <v>40000</v>
      </c>
      <c r="I344" s="80" t="s">
        <v>2607</v>
      </c>
      <c r="L344" s="91"/>
      <c r="M344" s="148"/>
    </row>
    <row r="345" spans="1:13" x14ac:dyDescent="0.25">
      <c r="A345" s="78">
        <v>46042</v>
      </c>
      <c r="B345" s="79" t="s">
        <v>2624</v>
      </c>
      <c r="C345" s="80" t="s">
        <v>2875</v>
      </c>
      <c r="D345" s="81" t="s">
        <v>2639</v>
      </c>
      <c r="E345" s="91" t="s">
        <v>2640</v>
      </c>
      <c r="F345" s="82">
        <v>3505</v>
      </c>
      <c r="G345" s="83" t="s">
        <v>619</v>
      </c>
      <c r="H345" s="84">
        <v>3505</v>
      </c>
      <c r="I345" s="80" t="s">
        <v>2607</v>
      </c>
      <c r="L345" s="91"/>
      <c r="M345" s="148"/>
    </row>
    <row r="346" spans="1:13" x14ac:dyDescent="0.25">
      <c r="A346" s="78">
        <v>46042</v>
      </c>
      <c r="B346" s="79" t="s">
        <v>682</v>
      </c>
      <c r="C346" s="80" t="s">
        <v>2876</v>
      </c>
      <c r="D346" s="81">
        <v>7304</v>
      </c>
      <c r="E346" s="91" t="s">
        <v>770</v>
      </c>
      <c r="F346" s="82">
        <v>27000</v>
      </c>
      <c r="G346" s="83" t="s">
        <v>622</v>
      </c>
      <c r="H346" s="84">
        <v>27000</v>
      </c>
      <c r="I346" s="80" t="s">
        <v>2633</v>
      </c>
      <c r="L346" s="91"/>
      <c r="M346" s="148"/>
    </row>
    <row r="347" spans="1:13" x14ac:dyDescent="0.25">
      <c r="A347" s="78">
        <v>46042</v>
      </c>
      <c r="B347" s="79" t="s">
        <v>685</v>
      </c>
      <c r="C347" s="80" t="s">
        <v>2877</v>
      </c>
      <c r="D347" s="81">
        <v>7374</v>
      </c>
      <c r="E347" s="91" t="s">
        <v>785</v>
      </c>
      <c r="F347" s="82">
        <v>25000</v>
      </c>
      <c r="G347" s="83" t="s">
        <v>622</v>
      </c>
      <c r="H347" s="84">
        <v>25000</v>
      </c>
      <c r="I347" s="80" t="s">
        <v>2633</v>
      </c>
      <c r="L347" s="91"/>
      <c r="M347" s="148"/>
    </row>
    <row r="348" spans="1:13" x14ac:dyDescent="0.25">
      <c r="A348" s="78">
        <v>46042</v>
      </c>
      <c r="B348" s="79" t="s">
        <v>2606</v>
      </c>
      <c r="C348" s="80" t="s">
        <v>2384</v>
      </c>
      <c r="D348" s="81">
        <v>220125</v>
      </c>
      <c r="E348" s="91" t="s">
        <v>2700</v>
      </c>
      <c r="F348" s="82">
        <v>4200</v>
      </c>
      <c r="G348" s="83" t="s">
        <v>619</v>
      </c>
      <c r="H348" s="84">
        <v>4200</v>
      </c>
      <c r="I348" s="80" t="s">
        <v>2607</v>
      </c>
      <c r="L348" s="91"/>
      <c r="M348" s="148"/>
    </row>
    <row r="349" spans="1:13" x14ac:dyDescent="0.25">
      <c r="A349" s="78">
        <v>46042</v>
      </c>
      <c r="B349" s="79" t="s">
        <v>81</v>
      </c>
      <c r="C349" s="80" t="s">
        <v>2878</v>
      </c>
      <c r="D349" s="81" t="s">
        <v>1209</v>
      </c>
      <c r="E349" s="91" t="s">
        <v>1210</v>
      </c>
      <c r="F349" s="82">
        <v>4</v>
      </c>
      <c r="G349" s="83" t="s">
        <v>622</v>
      </c>
      <c r="H349" s="84">
        <v>4</v>
      </c>
      <c r="I349" s="80" t="s">
        <v>2607</v>
      </c>
      <c r="L349" s="91"/>
      <c r="M349" s="148"/>
    </row>
    <row r="350" spans="1:13" x14ac:dyDescent="0.25">
      <c r="A350" s="78">
        <v>46042</v>
      </c>
      <c r="B350" s="79" t="s">
        <v>81</v>
      </c>
      <c r="C350" s="80" t="s">
        <v>2879</v>
      </c>
      <c r="D350" s="81" t="s">
        <v>1215</v>
      </c>
      <c r="E350" s="91" t="s">
        <v>1216</v>
      </c>
      <c r="F350" s="82">
        <v>4</v>
      </c>
      <c r="G350" s="83" t="s">
        <v>622</v>
      </c>
      <c r="H350" s="84">
        <v>4</v>
      </c>
      <c r="I350" s="80" t="s">
        <v>2607</v>
      </c>
      <c r="L350" s="91"/>
      <c r="M350" s="148"/>
    </row>
    <row r="351" spans="1:13" x14ac:dyDescent="0.25">
      <c r="A351" s="78">
        <v>46042</v>
      </c>
      <c r="B351" s="79" t="s">
        <v>81</v>
      </c>
      <c r="C351" s="80" t="s">
        <v>2880</v>
      </c>
      <c r="D351" s="81" t="s">
        <v>1052</v>
      </c>
      <c r="E351" s="91" t="s">
        <v>1053</v>
      </c>
      <c r="F351" s="82">
        <v>12</v>
      </c>
      <c r="G351" s="83" t="s">
        <v>622</v>
      </c>
      <c r="H351" s="84">
        <v>12</v>
      </c>
      <c r="I351" s="80" t="s">
        <v>2607</v>
      </c>
      <c r="L351" s="91"/>
      <c r="M351" s="148"/>
    </row>
    <row r="352" spans="1:13" x14ac:dyDescent="0.25">
      <c r="A352" s="78">
        <v>46042</v>
      </c>
      <c r="B352" s="79" t="s">
        <v>81</v>
      </c>
      <c r="C352" s="80" t="s">
        <v>2881</v>
      </c>
      <c r="D352" s="81" t="s">
        <v>1212</v>
      </c>
      <c r="E352" s="91" t="s">
        <v>1213</v>
      </c>
      <c r="F352" s="82">
        <v>4</v>
      </c>
      <c r="G352" s="83" t="s">
        <v>622</v>
      </c>
      <c r="H352" s="84">
        <v>4</v>
      </c>
      <c r="I352" s="80" t="s">
        <v>2607</v>
      </c>
      <c r="L352" s="91"/>
      <c r="M352" s="148"/>
    </row>
    <row r="353" spans="1:13" x14ac:dyDescent="0.25">
      <c r="A353" s="78">
        <v>46042</v>
      </c>
      <c r="B353" s="79" t="s">
        <v>2665</v>
      </c>
      <c r="C353" s="80" t="s">
        <v>2200</v>
      </c>
      <c r="D353" s="81" t="s">
        <v>624</v>
      </c>
      <c r="E353" s="91" t="s">
        <v>2797</v>
      </c>
      <c r="F353" s="82">
        <v>6500</v>
      </c>
      <c r="G353" s="83" t="s">
        <v>619</v>
      </c>
      <c r="H353" s="84">
        <v>6500</v>
      </c>
      <c r="I353" s="80" t="s">
        <v>2607</v>
      </c>
      <c r="L353" s="91"/>
      <c r="M353" s="148"/>
    </row>
    <row r="354" spans="1:13" x14ac:dyDescent="0.25">
      <c r="A354" s="78">
        <v>46043</v>
      </c>
      <c r="B354" s="79" t="s">
        <v>2652</v>
      </c>
      <c r="C354" s="80" t="s">
        <v>2241</v>
      </c>
      <c r="D354" s="81" t="s">
        <v>956</v>
      </c>
      <c r="E354" s="91" t="s">
        <v>957</v>
      </c>
      <c r="F354" s="82">
        <v>25</v>
      </c>
      <c r="G354" s="83" t="s">
        <v>622</v>
      </c>
      <c r="H354" s="84">
        <v>25</v>
      </c>
      <c r="I354" s="80" t="s">
        <v>2607</v>
      </c>
      <c r="L354" s="91"/>
      <c r="M354" s="148"/>
    </row>
    <row r="355" spans="1:13" x14ac:dyDescent="0.25">
      <c r="A355" s="78">
        <v>46043</v>
      </c>
      <c r="B355" s="79" t="s">
        <v>2652</v>
      </c>
      <c r="C355" s="80" t="s">
        <v>2249</v>
      </c>
      <c r="D355" s="81" t="s">
        <v>960</v>
      </c>
      <c r="E355" s="91" t="s">
        <v>961</v>
      </c>
      <c r="F355" s="82">
        <v>25</v>
      </c>
      <c r="G355" s="83" t="s">
        <v>622</v>
      </c>
      <c r="H355" s="84">
        <v>25</v>
      </c>
      <c r="I355" s="80" t="s">
        <v>2607</v>
      </c>
      <c r="L355" s="91"/>
      <c r="M355" s="148"/>
    </row>
    <row r="356" spans="1:13" x14ac:dyDescent="0.25">
      <c r="A356" s="78">
        <v>46043</v>
      </c>
      <c r="B356" s="79" t="s">
        <v>2652</v>
      </c>
      <c r="C356" s="80" t="s">
        <v>2396</v>
      </c>
      <c r="D356" s="81">
        <v>2249</v>
      </c>
      <c r="E356" s="91" t="s">
        <v>1015</v>
      </c>
      <c r="F356" s="82">
        <v>36</v>
      </c>
      <c r="G356" s="83" t="s">
        <v>622</v>
      </c>
      <c r="H356" s="84">
        <v>36</v>
      </c>
      <c r="I356" s="80" t="s">
        <v>2607</v>
      </c>
      <c r="L356" s="91"/>
      <c r="M356" s="148"/>
    </row>
    <row r="357" spans="1:13" x14ac:dyDescent="0.25">
      <c r="A357" s="78">
        <v>46043</v>
      </c>
      <c r="B357" s="79" t="s">
        <v>2652</v>
      </c>
      <c r="C357" s="80" t="s">
        <v>2245</v>
      </c>
      <c r="D357" s="81" t="s">
        <v>958</v>
      </c>
      <c r="E357" s="91" t="s">
        <v>959</v>
      </c>
      <c r="F357" s="82">
        <v>25</v>
      </c>
      <c r="G357" s="83" t="s">
        <v>622</v>
      </c>
      <c r="H357" s="84">
        <v>25</v>
      </c>
      <c r="I357" s="80" t="s">
        <v>2607</v>
      </c>
      <c r="L357" s="91"/>
      <c r="M357" s="148"/>
    </row>
    <row r="358" spans="1:13" x14ac:dyDescent="0.25">
      <c r="A358" s="78">
        <v>46043</v>
      </c>
      <c r="B358" s="79" t="s">
        <v>2652</v>
      </c>
      <c r="C358" s="80" t="s">
        <v>2394</v>
      </c>
      <c r="D358" s="81">
        <v>2245</v>
      </c>
      <c r="E358" s="91" t="s">
        <v>884</v>
      </c>
      <c r="F358" s="82">
        <v>144</v>
      </c>
      <c r="G358" s="83" t="s">
        <v>622</v>
      </c>
      <c r="H358" s="84">
        <v>144</v>
      </c>
      <c r="I358" s="80" t="s">
        <v>2607</v>
      </c>
      <c r="L358" s="91"/>
      <c r="M358" s="148"/>
    </row>
    <row r="359" spans="1:13" x14ac:dyDescent="0.25">
      <c r="A359" s="78">
        <v>46043</v>
      </c>
      <c r="B359" s="79" t="s">
        <v>2652</v>
      </c>
      <c r="C359" s="80" t="s">
        <v>2390</v>
      </c>
      <c r="D359" s="81">
        <v>2213</v>
      </c>
      <c r="E359" s="91" t="s">
        <v>889</v>
      </c>
      <c r="F359" s="82">
        <v>24</v>
      </c>
      <c r="G359" s="83" t="s">
        <v>622</v>
      </c>
      <c r="H359" s="84">
        <v>24</v>
      </c>
      <c r="I359" s="80" t="s">
        <v>2607</v>
      </c>
      <c r="L359" s="91"/>
      <c r="M359" s="148"/>
    </row>
    <row r="360" spans="1:13" x14ac:dyDescent="0.25">
      <c r="A360" s="78">
        <v>46043</v>
      </c>
      <c r="B360" s="79" t="s">
        <v>2652</v>
      </c>
      <c r="C360" s="80" t="s">
        <v>2395</v>
      </c>
      <c r="D360" s="81">
        <v>2247</v>
      </c>
      <c r="E360" s="91" t="s">
        <v>1014</v>
      </c>
      <c r="F360" s="82">
        <v>12</v>
      </c>
      <c r="G360" s="83" t="s">
        <v>622</v>
      </c>
      <c r="H360" s="84">
        <v>12</v>
      </c>
      <c r="I360" s="80" t="s">
        <v>2607</v>
      </c>
      <c r="L360" s="91"/>
      <c r="M360" s="148"/>
    </row>
    <row r="361" spans="1:13" x14ac:dyDescent="0.25">
      <c r="A361" s="91">
        <v>46043</v>
      </c>
      <c r="B361" s="79" t="s">
        <v>2652</v>
      </c>
      <c r="C361" t="s">
        <v>2391</v>
      </c>
      <c r="D361">
        <v>2233</v>
      </c>
      <c r="E361" s="91" t="s">
        <v>890</v>
      </c>
      <c r="F361">
        <v>36</v>
      </c>
      <c r="G361" t="s">
        <v>622</v>
      </c>
      <c r="H361">
        <v>36</v>
      </c>
      <c r="I361" t="s">
        <v>2607</v>
      </c>
      <c r="L361" s="91"/>
      <c r="M361" s="148"/>
    </row>
    <row r="362" spans="1:13" x14ac:dyDescent="0.25">
      <c r="A362" s="91">
        <v>46043</v>
      </c>
      <c r="B362" s="79" t="s">
        <v>2658</v>
      </c>
      <c r="C362" t="s">
        <v>2163</v>
      </c>
      <c r="D362" t="s">
        <v>637</v>
      </c>
      <c r="E362" s="91" t="s">
        <v>638</v>
      </c>
      <c r="F362">
        <v>2500</v>
      </c>
      <c r="G362" t="s">
        <v>619</v>
      </c>
      <c r="H362">
        <v>2500</v>
      </c>
      <c r="I362" t="s">
        <v>2607</v>
      </c>
      <c r="K362" s="28"/>
      <c r="L362" s="91"/>
      <c r="M362" s="148"/>
    </row>
    <row r="363" spans="1:13" x14ac:dyDescent="0.25">
      <c r="A363" s="91">
        <v>46043</v>
      </c>
      <c r="B363" s="79" t="s">
        <v>2652</v>
      </c>
      <c r="C363" t="s">
        <v>2298</v>
      </c>
      <c r="D363" t="s">
        <v>992</v>
      </c>
      <c r="E363" s="91" t="s">
        <v>993</v>
      </c>
      <c r="F363">
        <v>12</v>
      </c>
      <c r="G363" t="s">
        <v>622</v>
      </c>
      <c r="H363">
        <v>12</v>
      </c>
      <c r="I363" t="s">
        <v>2607</v>
      </c>
      <c r="L363" s="91"/>
      <c r="M363" s="148"/>
    </row>
    <row r="364" spans="1:13" x14ac:dyDescent="0.25">
      <c r="A364" s="91">
        <v>46043</v>
      </c>
      <c r="B364" s="79" t="s">
        <v>2617</v>
      </c>
      <c r="C364" t="s">
        <v>2882</v>
      </c>
      <c r="D364">
        <v>5150010451</v>
      </c>
      <c r="E364" s="91" t="s">
        <v>2706</v>
      </c>
      <c r="F364" s="148">
        <v>2256</v>
      </c>
      <c r="G364" s="148" t="s">
        <v>619</v>
      </c>
      <c r="H364" s="49">
        <v>2256</v>
      </c>
      <c r="I364" t="s">
        <v>2607</v>
      </c>
      <c r="L364" s="91"/>
      <c r="M364" s="148"/>
    </row>
    <row r="365" spans="1:13" x14ac:dyDescent="0.25">
      <c r="A365" s="91">
        <v>46043</v>
      </c>
      <c r="B365" s="79" t="s">
        <v>2614</v>
      </c>
      <c r="C365" t="s">
        <v>2883</v>
      </c>
      <c r="D365">
        <v>900105</v>
      </c>
      <c r="E365" s="91" t="s">
        <v>2884</v>
      </c>
      <c r="F365" s="148">
        <v>480</v>
      </c>
      <c r="G365" s="148" t="s">
        <v>619</v>
      </c>
      <c r="H365" s="49">
        <v>480</v>
      </c>
      <c r="I365" t="s">
        <v>2607</v>
      </c>
      <c r="L365" s="91"/>
      <c r="M365" s="148"/>
    </row>
    <row r="366" spans="1:13" x14ac:dyDescent="0.25">
      <c r="A366" s="91">
        <v>46043</v>
      </c>
      <c r="B366" s="79" t="s">
        <v>2680</v>
      </c>
      <c r="C366" t="s">
        <v>2885</v>
      </c>
      <c r="D366">
        <v>900402</v>
      </c>
      <c r="E366" s="91" t="s">
        <v>2886</v>
      </c>
      <c r="F366" s="148">
        <v>480</v>
      </c>
      <c r="G366" s="148" t="s">
        <v>619</v>
      </c>
      <c r="H366" s="49">
        <v>480</v>
      </c>
      <c r="I366" t="s">
        <v>2607</v>
      </c>
      <c r="L366" s="91"/>
      <c r="M366" s="148"/>
    </row>
    <row r="367" spans="1:13" x14ac:dyDescent="0.25">
      <c r="A367" s="91">
        <v>46043</v>
      </c>
      <c r="B367" s="79" t="s">
        <v>2611</v>
      </c>
      <c r="C367" t="s">
        <v>2887</v>
      </c>
      <c r="D367">
        <v>9011232</v>
      </c>
      <c r="E367" s="91" t="s">
        <v>2657</v>
      </c>
      <c r="F367" s="148">
        <v>500</v>
      </c>
      <c r="G367" s="148" t="s">
        <v>619</v>
      </c>
      <c r="H367" s="49">
        <v>500</v>
      </c>
      <c r="I367" t="s">
        <v>2607</v>
      </c>
      <c r="L367" s="91"/>
      <c r="M367" s="148"/>
    </row>
    <row r="368" spans="1:13" x14ac:dyDescent="0.25">
      <c r="A368" s="91">
        <v>46043</v>
      </c>
      <c r="B368" s="79" t="s">
        <v>2611</v>
      </c>
      <c r="C368" t="s">
        <v>2888</v>
      </c>
      <c r="D368">
        <v>9011232</v>
      </c>
      <c r="E368" s="91" t="s">
        <v>2657</v>
      </c>
      <c r="F368" s="148">
        <v>1250</v>
      </c>
      <c r="G368" s="148" t="s">
        <v>619</v>
      </c>
      <c r="H368" s="49">
        <v>1250</v>
      </c>
      <c r="I368" t="s">
        <v>2607</v>
      </c>
      <c r="L368" s="91"/>
      <c r="M368" s="148"/>
    </row>
    <row r="369" spans="1:13" x14ac:dyDescent="0.25">
      <c r="A369" s="91">
        <v>46043</v>
      </c>
      <c r="B369" s="79" t="s">
        <v>2652</v>
      </c>
      <c r="C369" t="s">
        <v>2392</v>
      </c>
      <c r="D369">
        <v>2235</v>
      </c>
      <c r="E369" s="91" t="s">
        <v>1013</v>
      </c>
      <c r="F369" s="148">
        <v>144</v>
      </c>
      <c r="G369" s="148" t="s">
        <v>622</v>
      </c>
      <c r="H369" s="49">
        <v>144</v>
      </c>
      <c r="I369" t="s">
        <v>2607</v>
      </c>
      <c r="L369" s="91"/>
      <c r="M369" s="148"/>
    </row>
    <row r="370" spans="1:13" x14ac:dyDescent="0.25">
      <c r="A370" s="91">
        <v>46043</v>
      </c>
      <c r="B370" s="79" t="s">
        <v>2652</v>
      </c>
      <c r="C370" t="s">
        <v>2389</v>
      </c>
      <c r="D370">
        <v>2209</v>
      </c>
      <c r="E370" s="91" t="s">
        <v>888</v>
      </c>
      <c r="F370">
        <v>144</v>
      </c>
      <c r="G370" t="s">
        <v>622</v>
      </c>
      <c r="H370">
        <v>144</v>
      </c>
      <c r="I370" t="s">
        <v>2607</v>
      </c>
      <c r="L370" s="91"/>
      <c r="M370" s="148"/>
    </row>
    <row r="371" spans="1:13" x14ac:dyDescent="0.25">
      <c r="A371" s="91">
        <v>46043</v>
      </c>
      <c r="B371" s="79" t="s">
        <v>2652</v>
      </c>
      <c r="C371" t="s">
        <v>2272</v>
      </c>
      <c r="D371" t="s">
        <v>974</v>
      </c>
      <c r="E371" s="91" t="s">
        <v>975</v>
      </c>
      <c r="F371">
        <v>12</v>
      </c>
      <c r="G371" t="s">
        <v>622</v>
      </c>
      <c r="H371">
        <v>12</v>
      </c>
      <c r="I371" t="s">
        <v>2607</v>
      </c>
      <c r="L371" s="91"/>
      <c r="M371" s="148"/>
    </row>
    <row r="372" spans="1:13" x14ac:dyDescent="0.25">
      <c r="A372" s="91">
        <v>46043</v>
      </c>
      <c r="B372" t="s">
        <v>2652</v>
      </c>
      <c r="C372" t="s">
        <v>2256</v>
      </c>
      <c r="D372" t="s">
        <v>964</v>
      </c>
      <c r="E372" s="91" t="s">
        <v>965</v>
      </c>
      <c r="F372">
        <v>25</v>
      </c>
      <c r="G372" t="s">
        <v>622</v>
      </c>
      <c r="H372">
        <v>25</v>
      </c>
      <c r="I372" t="s">
        <v>2607</v>
      </c>
      <c r="L372" s="91"/>
      <c r="M372" s="148"/>
    </row>
    <row r="373" spans="1:13" x14ac:dyDescent="0.25">
      <c r="A373" s="91">
        <v>46043</v>
      </c>
      <c r="B373" t="s">
        <v>2624</v>
      </c>
      <c r="C373" t="s">
        <v>2889</v>
      </c>
      <c r="D373" t="s">
        <v>2639</v>
      </c>
      <c r="E373" s="91" t="s">
        <v>2640</v>
      </c>
      <c r="F373">
        <v>3505</v>
      </c>
      <c r="G373" t="s">
        <v>619</v>
      </c>
      <c r="H373">
        <v>3505</v>
      </c>
      <c r="I373" t="s">
        <v>2607</v>
      </c>
      <c r="L373" s="91"/>
      <c r="M373" s="148"/>
    </row>
    <row r="374" spans="1:13" x14ac:dyDescent="0.25">
      <c r="A374" s="91">
        <v>46043</v>
      </c>
      <c r="B374" t="s">
        <v>2652</v>
      </c>
      <c r="C374" t="s">
        <v>2393</v>
      </c>
      <c r="D374">
        <v>2241</v>
      </c>
      <c r="E374" s="91" t="s">
        <v>893</v>
      </c>
      <c r="F374">
        <v>144</v>
      </c>
      <c r="G374" t="s">
        <v>622</v>
      </c>
      <c r="H374">
        <v>144</v>
      </c>
      <c r="I374" t="s">
        <v>2607</v>
      </c>
      <c r="L374" s="91"/>
      <c r="M374" s="148"/>
    </row>
    <row r="375" spans="1:13" x14ac:dyDescent="0.25">
      <c r="A375" s="91">
        <v>46043</v>
      </c>
      <c r="B375">
        <v>7002</v>
      </c>
      <c r="C375" t="s">
        <v>2890</v>
      </c>
      <c r="D375">
        <v>961515</v>
      </c>
      <c r="E375" t="s">
        <v>2691</v>
      </c>
      <c r="F375">
        <v>325</v>
      </c>
      <c r="G375" t="s">
        <v>619</v>
      </c>
      <c r="H375">
        <v>325</v>
      </c>
      <c r="I375" t="s">
        <v>2607</v>
      </c>
      <c r="L375" s="91"/>
      <c r="M375" s="148"/>
    </row>
    <row r="376" spans="1:13" x14ac:dyDescent="0.25">
      <c r="A376" s="91">
        <v>46043</v>
      </c>
      <c r="B376" t="s">
        <v>688</v>
      </c>
      <c r="C376" t="s">
        <v>2891</v>
      </c>
      <c r="D376">
        <v>7746</v>
      </c>
      <c r="E376" t="s">
        <v>692</v>
      </c>
      <c r="F376">
        <v>68000</v>
      </c>
      <c r="G376" t="s">
        <v>622</v>
      </c>
      <c r="H376">
        <v>68000</v>
      </c>
      <c r="I376" t="s">
        <v>2633</v>
      </c>
      <c r="L376" s="91"/>
      <c r="M376" s="148"/>
    </row>
    <row r="377" spans="1:13" x14ac:dyDescent="0.25">
      <c r="A377" s="91">
        <v>46043</v>
      </c>
      <c r="B377" t="s">
        <v>682</v>
      </c>
      <c r="C377" t="s">
        <v>2892</v>
      </c>
      <c r="D377">
        <v>7279</v>
      </c>
      <c r="E377" t="s">
        <v>754</v>
      </c>
      <c r="F377">
        <v>29000</v>
      </c>
      <c r="G377" t="s">
        <v>622</v>
      </c>
      <c r="H377">
        <v>29000</v>
      </c>
      <c r="I377" t="s">
        <v>2633</v>
      </c>
      <c r="L377" s="91"/>
      <c r="M377" s="148"/>
    </row>
    <row r="378" spans="1:13" x14ac:dyDescent="0.25">
      <c r="A378" s="91">
        <v>46043</v>
      </c>
      <c r="B378" t="s">
        <v>712</v>
      </c>
      <c r="C378" t="s">
        <v>2893</v>
      </c>
      <c r="D378" t="s">
        <v>1128</v>
      </c>
      <c r="E378" t="s">
        <v>781</v>
      </c>
      <c r="F378">
        <v>40000</v>
      </c>
      <c r="G378" t="s">
        <v>622</v>
      </c>
      <c r="H378">
        <v>40000</v>
      </c>
      <c r="I378" t="s">
        <v>2607</v>
      </c>
      <c r="L378" s="91"/>
      <c r="M378" s="148"/>
    </row>
    <row r="379" spans="1:13" x14ac:dyDescent="0.25">
      <c r="A379" s="91">
        <v>46043</v>
      </c>
      <c r="B379" t="s">
        <v>2621</v>
      </c>
      <c r="C379" t="s">
        <v>2894</v>
      </c>
      <c r="D379" t="s">
        <v>2713</v>
      </c>
      <c r="E379" t="s">
        <v>2714</v>
      </c>
      <c r="F379">
        <v>3505</v>
      </c>
      <c r="G379" t="s">
        <v>619</v>
      </c>
      <c r="H379">
        <v>3505</v>
      </c>
      <c r="I379" t="s">
        <v>2607</v>
      </c>
      <c r="L379" s="91"/>
      <c r="M379" s="148"/>
    </row>
    <row r="380" spans="1:13" x14ac:dyDescent="0.25">
      <c r="A380" s="91">
        <v>46043</v>
      </c>
      <c r="B380" t="s">
        <v>693</v>
      </c>
      <c r="C380" t="s">
        <v>2895</v>
      </c>
      <c r="D380">
        <v>910326</v>
      </c>
      <c r="E380" t="s">
        <v>1583</v>
      </c>
      <c r="F380">
        <v>9120</v>
      </c>
      <c r="G380" t="s">
        <v>619</v>
      </c>
      <c r="H380">
        <v>9120</v>
      </c>
      <c r="I380" t="s">
        <v>2607</v>
      </c>
      <c r="L380" s="91"/>
      <c r="M380" s="148"/>
    </row>
    <row r="381" spans="1:13" x14ac:dyDescent="0.25">
      <c r="A381" s="91">
        <v>46043</v>
      </c>
      <c r="B381" t="s">
        <v>715</v>
      </c>
      <c r="C381" t="s">
        <v>2896</v>
      </c>
      <c r="D381">
        <v>7193</v>
      </c>
      <c r="E381" t="s">
        <v>811</v>
      </c>
      <c r="F381">
        <v>20000</v>
      </c>
      <c r="G381" t="s">
        <v>622</v>
      </c>
      <c r="H381">
        <v>20000</v>
      </c>
      <c r="I381" t="s">
        <v>2633</v>
      </c>
      <c r="L381" s="91"/>
      <c r="M381" s="148"/>
    </row>
    <row r="382" spans="1:13" x14ac:dyDescent="0.25">
      <c r="A382" s="91">
        <v>46043</v>
      </c>
      <c r="B382" t="s">
        <v>693</v>
      </c>
      <c r="C382" t="s">
        <v>2897</v>
      </c>
      <c r="D382">
        <v>910526</v>
      </c>
      <c r="E382" t="s">
        <v>1602</v>
      </c>
      <c r="F382">
        <v>9120</v>
      </c>
      <c r="G382" t="s">
        <v>619</v>
      </c>
      <c r="H382">
        <v>9120</v>
      </c>
      <c r="I382" t="s">
        <v>2607</v>
      </c>
      <c r="L382" s="91"/>
      <c r="M382" s="148"/>
    </row>
    <row r="383" spans="1:13" x14ac:dyDescent="0.25">
      <c r="A383" s="91">
        <v>46043</v>
      </c>
      <c r="B383" t="s">
        <v>685</v>
      </c>
      <c r="C383" t="s">
        <v>2898</v>
      </c>
      <c r="D383">
        <v>7374</v>
      </c>
      <c r="E383" t="s">
        <v>785</v>
      </c>
      <c r="F383">
        <v>25000</v>
      </c>
      <c r="G383" t="s">
        <v>622</v>
      </c>
      <c r="H383">
        <v>25000</v>
      </c>
      <c r="I383" t="s">
        <v>2633</v>
      </c>
      <c r="L383" s="91"/>
      <c r="M383" s="148"/>
    </row>
    <row r="384" spans="1:13" x14ac:dyDescent="0.25">
      <c r="A384" s="91">
        <v>46043</v>
      </c>
      <c r="B384" t="s">
        <v>2606</v>
      </c>
      <c r="C384" t="s">
        <v>2114</v>
      </c>
      <c r="D384">
        <v>7037</v>
      </c>
      <c r="E384" t="s">
        <v>632</v>
      </c>
      <c r="F384">
        <v>105000</v>
      </c>
      <c r="G384" t="s">
        <v>622</v>
      </c>
      <c r="H384">
        <v>105000</v>
      </c>
      <c r="I384" t="s">
        <v>2609</v>
      </c>
      <c r="L384" s="91"/>
      <c r="M384" s="148"/>
    </row>
    <row r="385" spans="1:13" x14ac:dyDescent="0.25">
      <c r="A385" s="91">
        <v>46043</v>
      </c>
      <c r="B385" t="s">
        <v>2606</v>
      </c>
      <c r="C385" t="s">
        <v>2066</v>
      </c>
      <c r="D385" t="s">
        <v>1401</v>
      </c>
      <c r="E385" t="s">
        <v>2061</v>
      </c>
      <c r="F385">
        <v>8335</v>
      </c>
      <c r="G385" t="s">
        <v>619</v>
      </c>
      <c r="H385">
        <v>8335</v>
      </c>
      <c r="I385" t="s">
        <v>2607</v>
      </c>
      <c r="L385" s="91"/>
      <c r="M385" s="148"/>
    </row>
    <row r="386" spans="1:13" x14ac:dyDescent="0.25">
      <c r="A386" s="91">
        <v>46043</v>
      </c>
      <c r="B386" t="s">
        <v>2606</v>
      </c>
      <c r="C386" t="s">
        <v>2060</v>
      </c>
      <c r="D386" t="s">
        <v>1401</v>
      </c>
      <c r="E386" t="s">
        <v>2061</v>
      </c>
      <c r="F386">
        <v>7300</v>
      </c>
      <c r="G386" t="s">
        <v>619</v>
      </c>
      <c r="H386">
        <v>7300</v>
      </c>
      <c r="I386" t="s">
        <v>2607</v>
      </c>
      <c r="L386" s="91"/>
      <c r="M386" s="148"/>
    </row>
    <row r="387" spans="1:13" x14ac:dyDescent="0.25">
      <c r="A387" s="91">
        <v>46043</v>
      </c>
      <c r="B387" t="s">
        <v>2610</v>
      </c>
      <c r="C387" t="s">
        <v>2230</v>
      </c>
      <c r="D387">
        <v>520880</v>
      </c>
      <c r="E387" t="s">
        <v>1399</v>
      </c>
      <c r="F387">
        <v>14584</v>
      </c>
      <c r="G387" t="s">
        <v>619</v>
      </c>
      <c r="H387">
        <v>14584</v>
      </c>
      <c r="I387" t="s">
        <v>2607</v>
      </c>
      <c r="L387" s="91"/>
      <c r="M387" s="148"/>
    </row>
    <row r="388" spans="1:13" x14ac:dyDescent="0.25">
      <c r="A388" s="91">
        <v>46043</v>
      </c>
      <c r="B388" t="s">
        <v>2652</v>
      </c>
      <c r="C388" t="s">
        <v>2277</v>
      </c>
      <c r="D388" t="s">
        <v>978</v>
      </c>
      <c r="E388" t="s">
        <v>979</v>
      </c>
      <c r="F388">
        <v>12</v>
      </c>
      <c r="G388" t="s">
        <v>622</v>
      </c>
      <c r="H388">
        <v>12</v>
      </c>
      <c r="I388" t="s">
        <v>2607</v>
      </c>
      <c r="L388" s="91"/>
      <c r="M388" s="148"/>
    </row>
    <row r="389" spans="1:13" x14ac:dyDescent="0.25">
      <c r="A389" s="91">
        <v>46043</v>
      </c>
      <c r="B389" t="s">
        <v>2652</v>
      </c>
      <c r="C389" t="s">
        <v>2238</v>
      </c>
      <c r="D389" t="s">
        <v>954</v>
      </c>
      <c r="E389" t="s">
        <v>955</v>
      </c>
      <c r="F389">
        <v>25</v>
      </c>
      <c r="G389" t="s">
        <v>622</v>
      </c>
      <c r="H389">
        <v>25</v>
      </c>
      <c r="I389" t="s">
        <v>2607</v>
      </c>
      <c r="L389" s="91"/>
      <c r="M389" s="148"/>
    </row>
    <row r="390" spans="1:13" x14ac:dyDescent="0.25">
      <c r="A390" s="91">
        <v>46043</v>
      </c>
      <c r="B390" t="s">
        <v>2736</v>
      </c>
      <c r="C390" t="s">
        <v>2386</v>
      </c>
      <c r="D390" t="s">
        <v>2387</v>
      </c>
      <c r="E390" t="s">
        <v>2388</v>
      </c>
      <c r="F390">
        <v>200</v>
      </c>
      <c r="G390" t="s">
        <v>622</v>
      </c>
      <c r="H390">
        <v>200</v>
      </c>
      <c r="I390" t="s">
        <v>2607</v>
      </c>
      <c r="L390" s="91"/>
      <c r="M390" s="148"/>
    </row>
    <row r="391" spans="1:13" x14ac:dyDescent="0.25">
      <c r="A391" s="91">
        <v>46044</v>
      </c>
      <c r="B391" t="s">
        <v>2652</v>
      </c>
      <c r="C391" t="s">
        <v>2264</v>
      </c>
      <c r="D391" t="s">
        <v>968</v>
      </c>
      <c r="E391" t="s">
        <v>969</v>
      </c>
      <c r="F391">
        <v>12</v>
      </c>
      <c r="G391" t="s">
        <v>622</v>
      </c>
      <c r="H391">
        <v>12</v>
      </c>
      <c r="I391" t="s">
        <v>2607</v>
      </c>
      <c r="L391" s="91"/>
      <c r="M391" s="148"/>
    </row>
    <row r="392" spans="1:13" x14ac:dyDescent="0.25">
      <c r="A392" s="91">
        <v>46044</v>
      </c>
      <c r="B392" t="s">
        <v>2652</v>
      </c>
      <c r="C392" t="s">
        <v>2261</v>
      </c>
      <c r="D392" t="s">
        <v>966</v>
      </c>
      <c r="E392" t="s">
        <v>967</v>
      </c>
      <c r="F392">
        <v>12</v>
      </c>
      <c r="G392" t="s">
        <v>622</v>
      </c>
      <c r="H392">
        <v>12</v>
      </c>
      <c r="I392" t="s">
        <v>2607</v>
      </c>
      <c r="L392" s="91"/>
      <c r="M392" s="148"/>
    </row>
    <row r="393" spans="1:13" x14ac:dyDescent="0.25">
      <c r="A393" s="91">
        <v>46044</v>
      </c>
      <c r="B393" t="s">
        <v>2652</v>
      </c>
      <c r="C393" t="s">
        <v>2289</v>
      </c>
      <c r="D393" t="s">
        <v>988</v>
      </c>
      <c r="E393" t="s">
        <v>989</v>
      </c>
      <c r="F393">
        <v>12</v>
      </c>
      <c r="G393" t="s">
        <v>622</v>
      </c>
      <c r="H393">
        <v>12</v>
      </c>
      <c r="I393" t="s">
        <v>2607</v>
      </c>
      <c r="L393" s="91"/>
      <c r="M393" s="148"/>
    </row>
    <row r="394" spans="1:13" x14ac:dyDescent="0.25">
      <c r="A394" s="91">
        <v>46044</v>
      </c>
      <c r="B394" s="79" t="s">
        <v>2652</v>
      </c>
      <c r="C394" t="s">
        <v>2301</v>
      </c>
      <c r="D394" t="s">
        <v>1097</v>
      </c>
      <c r="E394" t="s">
        <v>1098</v>
      </c>
      <c r="F394" s="148">
        <v>4</v>
      </c>
      <c r="G394" s="148" t="s">
        <v>622</v>
      </c>
      <c r="H394" s="49">
        <v>4</v>
      </c>
      <c r="I394" t="s">
        <v>2607</v>
      </c>
      <c r="L394" s="91"/>
      <c r="M394" s="148"/>
    </row>
    <row r="395" spans="1:13" x14ac:dyDescent="0.25">
      <c r="A395" s="91">
        <v>46044</v>
      </c>
      <c r="B395" s="79" t="s">
        <v>2652</v>
      </c>
      <c r="C395" t="s">
        <v>2282</v>
      </c>
      <c r="D395" t="s">
        <v>982</v>
      </c>
      <c r="E395" t="s">
        <v>983</v>
      </c>
      <c r="F395" s="148">
        <v>12</v>
      </c>
      <c r="G395" s="148" t="s">
        <v>622</v>
      </c>
      <c r="H395" s="49">
        <v>12</v>
      </c>
      <c r="I395" t="s">
        <v>2607</v>
      </c>
      <c r="L395" s="91"/>
      <c r="M395" s="148"/>
    </row>
    <row r="396" spans="1:13" x14ac:dyDescent="0.25">
      <c r="A396" s="91">
        <v>46044</v>
      </c>
      <c r="B396" s="79" t="s">
        <v>2652</v>
      </c>
      <c r="C396" t="s">
        <v>2253</v>
      </c>
      <c r="D396" t="s">
        <v>962</v>
      </c>
      <c r="E396" t="s">
        <v>963</v>
      </c>
      <c r="F396" s="148">
        <v>25</v>
      </c>
      <c r="G396" s="148" t="s">
        <v>622</v>
      </c>
      <c r="H396" s="49">
        <v>25</v>
      </c>
      <c r="I396" t="s">
        <v>2607</v>
      </c>
      <c r="L396" s="91"/>
      <c r="M396" s="148"/>
    </row>
    <row r="397" spans="1:13" x14ac:dyDescent="0.25">
      <c r="A397" s="91">
        <v>46044</v>
      </c>
      <c r="B397" s="79" t="s">
        <v>2652</v>
      </c>
      <c r="C397" t="s">
        <v>2302</v>
      </c>
      <c r="D397" t="s">
        <v>1099</v>
      </c>
      <c r="E397" t="s">
        <v>1100</v>
      </c>
      <c r="F397">
        <v>4</v>
      </c>
      <c r="G397" t="s">
        <v>622</v>
      </c>
      <c r="H397">
        <v>4</v>
      </c>
      <c r="I397" t="s">
        <v>2607</v>
      </c>
      <c r="L397" s="91"/>
      <c r="M397" s="148"/>
    </row>
    <row r="398" spans="1:13" x14ac:dyDescent="0.25">
      <c r="A398" s="91">
        <v>46044</v>
      </c>
      <c r="B398" s="79" t="s">
        <v>2652</v>
      </c>
      <c r="C398" t="s">
        <v>2266</v>
      </c>
      <c r="D398" t="s">
        <v>970</v>
      </c>
      <c r="E398" t="s">
        <v>971</v>
      </c>
      <c r="F398">
        <v>12</v>
      </c>
      <c r="G398" t="s">
        <v>622</v>
      </c>
      <c r="H398">
        <v>12</v>
      </c>
      <c r="I398" t="s">
        <v>2607</v>
      </c>
    </row>
    <row r="399" spans="1:13" x14ac:dyDescent="0.25">
      <c r="A399" s="91">
        <v>46044</v>
      </c>
      <c r="B399" t="s">
        <v>2652</v>
      </c>
      <c r="C399" t="s">
        <v>2287</v>
      </c>
      <c r="D399" t="s">
        <v>986</v>
      </c>
      <c r="E399" t="s">
        <v>987</v>
      </c>
      <c r="F399">
        <v>12</v>
      </c>
      <c r="G399" t="s">
        <v>622</v>
      </c>
      <c r="H399" s="49">
        <v>12</v>
      </c>
      <c r="I399" t="s">
        <v>2607</v>
      </c>
    </row>
    <row r="400" spans="1:13" x14ac:dyDescent="0.25">
      <c r="A400" s="91">
        <v>46044</v>
      </c>
      <c r="B400" t="s">
        <v>2658</v>
      </c>
      <c r="C400" t="s">
        <v>2164</v>
      </c>
      <c r="D400" t="s">
        <v>637</v>
      </c>
      <c r="E400" t="s">
        <v>638</v>
      </c>
      <c r="F400">
        <v>2500</v>
      </c>
      <c r="G400" t="s">
        <v>619</v>
      </c>
      <c r="H400">
        <v>2500</v>
      </c>
      <c r="I400" t="s">
        <v>2607</v>
      </c>
    </row>
    <row r="401" spans="1:9" x14ac:dyDescent="0.25">
      <c r="A401" s="91">
        <v>46044</v>
      </c>
      <c r="B401" t="s">
        <v>2652</v>
      </c>
      <c r="C401" t="s">
        <v>2269</v>
      </c>
      <c r="D401" t="s">
        <v>972</v>
      </c>
      <c r="E401" t="s">
        <v>973</v>
      </c>
      <c r="F401">
        <v>12</v>
      </c>
      <c r="G401" t="s">
        <v>622</v>
      </c>
      <c r="H401">
        <v>12</v>
      </c>
      <c r="I401" t="s">
        <v>2607</v>
      </c>
    </row>
    <row r="402" spans="1:9" x14ac:dyDescent="0.25">
      <c r="A402" s="91">
        <v>46044</v>
      </c>
      <c r="B402" t="s">
        <v>2652</v>
      </c>
      <c r="C402" t="s">
        <v>2293</v>
      </c>
      <c r="D402" t="s">
        <v>990</v>
      </c>
      <c r="E402" t="s">
        <v>991</v>
      </c>
      <c r="F402">
        <v>12</v>
      </c>
      <c r="G402" t="s">
        <v>622</v>
      </c>
      <c r="H402">
        <v>12</v>
      </c>
      <c r="I402" t="s">
        <v>2607</v>
      </c>
    </row>
    <row r="403" spans="1:9" x14ac:dyDescent="0.25">
      <c r="A403" s="91">
        <v>46044</v>
      </c>
      <c r="B403" t="s">
        <v>2652</v>
      </c>
      <c r="C403" t="s">
        <v>2275</v>
      </c>
      <c r="D403" t="s">
        <v>976</v>
      </c>
      <c r="E403" t="s">
        <v>977</v>
      </c>
      <c r="F403">
        <v>12</v>
      </c>
      <c r="G403" t="s">
        <v>622</v>
      </c>
      <c r="H403">
        <v>12</v>
      </c>
      <c r="I403" t="s">
        <v>2607</v>
      </c>
    </row>
    <row r="404" spans="1:9" x14ac:dyDescent="0.25">
      <c r="A404" s="91">
        <v>46044</v>
      </c>
      <c r="B404" t="s">
        <v>2617</v>
      </c>
      <c r="C404" t="s">
        <v>2899</v>
      </c>
      <c r="D404">
        <v>5150010451</v>
      </c>
      <c r="E404" t="s">
        <v>2706</v>
      </c>
      <c r="F404">
        <v>2256</v>
      </c>
      <c r="G404" t="s">
        <v>619</v>
      </c>
      <c r="H404">
        <v>2256</v>
      </c>
      <c r="I404" t="s">
        <v>2607</v>
      </c>
    </row>
    <row r="405" spans="1:9" x14ac:dyDescent="0.25">
      <c r="A405" s="91">
        <v>46044</v>
      </c>
      <c r="B405" t="s">
        <v>2614</v>
      </c>
      <c r="C405" t="s">
        <v>2900</v>
      </c>
      <c r="D405">
        <v>900400</v>
      </c>
      <c r="E405" t="s">
        <v>2901</v>
      </c>
      <c r="F405">
        <v>480</v>
      </c>
      <c r="G405" t="s">
        <v>619</v>
      </c>
      <c r="H405">
        <v>480</v>
      </c>
      <c r="I405" t="s">
        <v>2607</v>
      </c>
    </row>
    <row r="406" spans="1:9" x14ac:dyDescent="0.25">
      <c r="A406" s="91">
        <v>46044</v>
      </c>
      <c r="B406" t="s">
        <v>2680</v>
      </c>
      <c r="C406" t="s">
        <v>2902</v>
      </c>
      <c r="D406">
        <v>900402</v>
      </c>
      <c r="E406" t="s">
        <v>2886</v>
      </c>
      <c r="F406">
        <v>480</v>
      </c>
      <c r="G406" t="s">
        <v>619</v>
      </c>
      <c r="H406">
        <v>480</v>
      </c>
      <c r="I406" t="s">
        <v>2607</v>
      </c>
    </row>
    <row r="407" spans="1:9" x14ac:dyDescent="0.25">
      <c r="A407" s="91">
        <v>46044</v>
      </c>
      <c r="B407" t="s">
        <v>2680</v>
      </c>
      <c r="C407" t="s">
        <v>2903</v>
      </c>
      <c r="D407">
        <v>900402</v>
      </c>
      <c r="E407" t="s">
        <v>2886</v>
      </c>
      <c r="F407">
        <v>1</v>
      </c>
      <c r="G407" t="s">
        <v>619</v>
      </c>
      <c r="H407">
        <v>1</v>
      </c>
      <c r="I407" t="s">
        <v>2607</v>
      </c>
    </row>
    <row r="408" spans="1:9" x14ac:dyDescent="0.25">
      <c r="A408" s="91">
        <v>46044</v>
      </c>
      <c r="B408" t="s">
        <v>2652</v>
      </c>
      <c r="C408" t="s">
        <v>2304</v>
      </c>
      <c r="D408" t="s">
        <v>1101</v>
      </c>
      <c r="E408" t="s">
        <v>1102</v>
      </c>
      <c r="F408">
        <v>4</v>
      </c>
      <c r="G408" t="s">
        <v>622</v>
      </c>
      <c r="H408">
        <v>4</v>
      </c>
      <c r="I408" t="s">
        <v>2607</v>
      </c>
    </row>
    <row r="409" spans="1:9" x14ac:dyDescent="0.25">
      <c r="A409" s="91">
        <v>46044</v>
      </c>
      <c r="B409" t="s">
        <v>2652</v>
      </c>
      <c r="C409" t="s">
        <v>2300</v>
      </c>
      <c r="D409" t="s">
        <v>1095</v>
      </c>
      <c r="E409" t="s">
        <v>1096</v>
      </c>
      <c r="F409">
        <v>4</v>
      </c>
      <c r="G409" t="s">
        <v>622</v>
      </c>
      <c r="H409">
        <v>4</v>
      </c>
      <c r="I409" t="s">
        <v>2607</v>
      </c>
    </row>
    <row r="410" spans="1:9" x14ac:dyDescent="0.25">
      <c r="A410" s="91">
        <v>46044</v>
      </c>
      <c r="B410" t="s">
        <v>2652</v>
      </c>
      <c r="C410" t="s">
        <v>2259</v>
      </c>
      <c r="D410" t="s">
        <v>1078</v>
      </c>
      <c r="E410" t="s">
        <v>1079</v>
      </c>
      <c r="F410">
        <v>25</v>
      </c>
      <c r="G410" t="s">
        <v>622</v>
      </c>
      <c r="H410">
        <v>25</v>
      </c>
      <c r="I410" t="s">
        <v>2607</v>
      </c>
    </row>
    <row r="411" spans="1:9" x14ac:dyDescent="0.25">
      <c r="A411" s="91">
        <v>46044</v>
      </c>
      <c r="B411" t="s">
        <v>2652</v>
      </c>
      <c r="C411" t="s">
        <v>2279</v>
      </c>
      <c r="D411" t="s">
        <v>980</v>
      </c>
      <c r="E411" t="s">
        <v>981</v>
      </c>
      <c r="F411">
        <v>12</v>
      </c>
      <c r="G411" t="s">
        <v>622</v>
      </c>
      <c r="H411">
        <v>12</v>
      </c>
      <c r="I411" t="s">
        <v>2607</v>
      </c>
    </row>
    <row r="412" spans="1:9" x14ac:dyDescent="0.25">
      <c r="A412" s="91">
        <v>46044</v>
      </c>
      <c r="B412">
        <v>7002</v>
      </c>
      <c r="C412" t="s">
        <v>2904</v>
      </c>
      <c r="D412">
        <v>961515</v>
      </c>
      <c r="E412" t="s">
        <v>2691</v>
      </c>
      <c r="F412">
        <v>325</v>
      </c>
      <c r="G412" t="s">
        <v>619</v>
      </c>
      <c r="H412">
        <v>325</v>
      </c>
      <c r="I412" t="s">
        <v>2607</v>
      </c>
    </row>
    <row r="413" spans="1:9" x14ac:dyDescent="0.25">
      <c r="A413" s="91">
        <v>46044</v>
      </c>
      <c r="B413" t="s">
        <v>688</v>
      </c>
      <c r="C413" t="s">
        <v>2905</v>
      </c>
      <c r="D413">
        <v>7746</v>
      </c>
      <c r="E413" t="s">
        <v>692</v>
      </c>
      <c r="F413">
        <v>68000</v>
      </c>
      <c r="G413" t="s">
        <v>622</v>
      </c>
      <c r="H413">
        <v>68000</v>
      </c>
      <c r="I413" t="s">
        <v>2633</v>
      </c>
    </row>
    <row r="414" spans="1:9" x14ac:dyDescent="0.25">
      <c r="A414" s="91">
        <v>46044</v>
      </c>
      <c r="B414" t="s">
        <v>682</v>
      </c>
      <c r="C414" t="s">
        <v>2906</v>
      </c>
      <c r="D414">
        <v>7297</v>
      </c>
      <c r="E414" t="s">
        <v>684</v>
      </c>
      <c r="F414">
        <v>30000</v>
      </c>
      <c r="G414" t="s">
        <v>622</v>
      </c>
      <c r="H414">
        <v>30000</v>
      </c>
      <c r="I414" t="s">
        <v>2633</v>
      </c>
    </row>
    <row r="415" spans="1:9" x14ac:dyDescent="0.25">
      <c r="A415" s="91">
        <v>46044</v>
      </c>
      <c r="B415" t="s">
        <v>712</v>
      </c>
      <c r="C415" t="s">
        <v>2907</v>
      </c>
      <c r="D415" t="s">
        <v>1127</v>
      </c>
      <c r="E415" t="s">
        <v>713</v>
      </c>
      <c r="F415">
        <v>40000</v>
      </c>
      <c r="G415" t="s">
        <v>622</v>
      </c>
      <c r="H415">
        <v>40000</v>
      </c>
      <c r="I415" t="s">
        <v>2607</v>
      </c>
    </row>
    <row r="416" spans="1:9" x14ac:dyDescent="0.25">
      <c r="A416" s="91">
        <v>46044</v>
      </c>
      <c r="B416" t="s">
        <v>2624</v>
      </c>
      <c r="C416" t="s">
        <v>2908</v>
      </c>
      <c r="D416" t="s">
        <v>2669</v>
      </c>
      <c r="E416" t="s">
        <v>2670</v>
      </c>
      <c r="F416">
        <v>3505</v>
      </c>
      <c r="G416" t="s">
        <v>619</v>
      </c>
      <c r="H416">
        <v>3505</v>
      </c>
      <c r="I416" t="s">
        <v>2607</v>
      </c>
    </row>
    <row r="417" spans="1:9" x14ac:dyDescent="0.25">
      <c r="A417" s="91">
        <v>46044</v>
      </c>
      <c r="B417" t="s">
        <v>2621</v>
      </c>
      <c r="C417" t="s">
        <v>2909</v>
      </c>
      <c r="D417" t="s">
        <v>2910</v>
      </c>
      <c r="E417" t="s">
        <v>2911</v>
      </c>
      <c r="F417">
        <v>3505</v>
      </c>
      <c r="G417" t="s">
        <v>619</v>
      </c>
      <c r="H417">
        <v>3505</v>
      </c>
      <c r="I417" t="s">
        <v>2607</v>
      </c>
    </row>
    <row r="418" spans="1:9" x14ac:dyDescent="0.25">
      <c r="A418" s="91">
        <v>46044</v>
      </c>
      <c r="B418" t="s">
        <v>693</v>
      </c>
      <c r="C418" t="s">
        <v>2912</v>
      </c>
      <c r="D418">
        <v>910326</v>
      </c>
      <c r="E418" t="s">
        <v>1583</v>
      </c>
      <c r="F418">
        <v>9120</v>
      </c>
      <c r="G418" t="s">
        <v>619</v>
      </c>
      <c r="H418">
        <v>9120</v>
      </c>
      <c r="I418" t="s">
        <v>2607</v>
      </c>
    </row>
    <row r="419" spans="1:9" x14ac:dyDescent="0.25">
      <c r="A419" s="91">
        <v>46044</v>
      </c>
      <c r="B419" t="s">
        <v>693</v>
      </c>
      <c r="C419" t="s">
        <v>2913</v>
      </c>
      <c r="D419">
        <v>910526</v>
      </c>
      <c r="E419" t="s">
        <v>1602</v>
      </c>
      <c r="F419">
        <v>9120</v>
      </c>
      <c r="G419" t="s">
        <v>619</v>
      </c>
      <c r="H419">
        <v>9120</v>
      </c>
      <c r="I419" t="s">
        <v>2607</v>
      </c>
    </row>
    <row r="420" spans="1:9" x14ac:dyDescent="0.25">
      <c r="A420" s="91">
        <v>46044</v>
      </c>
      <c r="B420" t="s">
        <v>715</v>
      </c>
      <c r="C420" t="s">
        <v>2914</v>
      </c>
      <c r="D420">
        <v>7185</v>
      </c>
      <c r="E420" t="s">
        <v>717</v>
      </c>
      <c r="F420">
        <v>55000</v>
      </c>
      <c r="G420" t="s">
        <v>622</v>
      </c>
      <c r="H420">
        <v>55000</v>
      </c>
      <c r="I420" t="s">
        <v>2633</v>
      </c>
    </row>
    <row r="421" spans="1:9" x14ac:dyDescent="0.25">
      <c r="A421" s="91">
        <v>46044</v>
      </c>
      <c r="B421" t="s">
        <v>2621</v>
      </c>
      <c r="C421" t="s">
        <v>2915</v>
      </c>
      <c r="D421" t="s">
        <v>2793</v>
      </c>
      <c r="E421" t="s">
        <v>2794</v>
      </c>
      <c r="F421">
        <v>3505</v>
      </c>
      <c r="G421" t="s">
        <v>619</v>
      </c>
      <c r="H421">
        <v>3505</v>
      </c>
      <c r="I421" t="s">
        <v>2607</v>
      </c>
    </row>
    <row r="422" spans="1:9" x14ac:dyDescent="0.25">
      <c r="A422" s="91">
        <v>46044</v>
      </c>
      <c r="B422" t="s">
        <v>2665</v>
      </c>
      <c r="C422" t="s">
        <v>2375</v>
      </c>
      <c r="D422" t="s">
        <v>894</v>
      </c>
      <c r="E422" t="s">
        <v>895</v>
      </c>
      <c r="F422">
        <v>6667</v>
      </c>
      <c r="G422" t="s">
        <v>619</v>
      </c>
      <c r="H422">
        <v>6667</v>
      </c>
      <c r="I422" t="s">
        <v>2607</v>
      </c>
    </row>
    <row r="423" spans="1:9" x14ac:dyDescent="0.25">
      <c r="A423" s="91">
        <v>46044</v>
      </c>
      <c r="B423" t="s">
        <v>2736</v>
      </c>
      <c r="C423" t="s">
        <v>2385</v>
      </c>
      <c r="D423" t="s">
        <v>2135</v>
      </c>
      <c r="E423" t="s">
        <v>2136</v>
      </c>
      <c r="F423">
        <v>1000</v>
      </c>
      <c r="G423" t="s">
        <v>622</v>
      </c>
      <c r="H423">
        <v>1000</v>
      </c>
      <c r="I423" t="s">
        <v>2607</v>
      </c>
    </row>
    <row r="424" spans="1:9" x14ac:dyDescent="0.25">
      <c r="A424" s="91">
        <v>46044</v>
      </c>
      <c r="B424" t="s">
        <v>2652</v>
      </c>
      <c r="C424" t="s">
        <v>2284</v>
      </c>
      <c r="D424" t="s">
        <v>984</v>
      </c>
      <c r="E424" t="s">
        <v>985</v>
      </c>
      <c r="F424">
        <v>12</v>
      </c>
      <c r="G424" t="s">
        <v>622</v>
      </c>
      <c r="H424">
        <v>12</v>
      </c>
      <c r="I424" t="s">
        <v>2607</v>
      </c>
    </row>
    <row r="425" spans="1:9" x14ac:dyDescent="0.25">
      <c r="A425" s="91">
        <v>46044</v>
      </c>
      <c r="B425" t="s">
        <v>2606</v>
      </c>
      <c r="C425" t="s">
        <v>2083</v>
      </c>
      <c r="D425" t="s">
        <v>102</v>
      </c>
      <c r="E425" t="s">
        <v>2631</v>
      </c>
      <c r="F425">
        <v>7300</v>
      </c>
      <c r="G425" t="s">
        <v>619</v>
      </c>
      <c r="H425">
        <v>7300</v>
      </c>
      <c r="I425" t="s">
        <v>2607</v>
      </c>
    </row>
    <row r="426" spans="1:9" x14ac:dyDescent="0.25">
      <c r="A426" s="91">
        <v>46044</v>
      </c>
      <c r="B426" t="s">
        <v>2606</v>
      </c>
      <c r="C426" t="s">
        <v>2063</v>
      </c>
      <c r="D426" t="s">
        <v>1401</v>
      </c>
      <c r="E426" t="s">
        <v>2061</v>
      </c>
      <c r="F426">
        <v>7300</v>
      </c>
      <c r="G426" t="s">
        <v>619</v>
      </c>
      <c r="H426">
        <v>7300</v>
      </c>
      <c r="I426" t="s">
        <v>2607</v>
      </c>
    </row>
    <row r="427" spans="1:9" x14ac:dyDescent="0.25">
      <c r="A427" s="91">
        <v>46044</v>
      </c>
      <c r="B427" t="s">
        <v>2608</v>
      </c>
      <c r="C427" t="s">
        <v>2102</v>
      </c>
      <c r="D427">
        <v>7010</v>
      </c>
      <c r="E427" t="s">
        <v>621</v>
      </c>
      <c r="F427">
        <v>105000</v>
      </c>
      <c r="G427" t="s">
        <v>622</v>
      </c>
      <c r="H427">
        <v>105000</v>
      </c>
      <c r="I427" t="s">
        <v>2609</v>
      </c>
    </row>
    <row r="428" spans="1:9" x14ac:dyDescent="0.25">
      <c r="A428" s="91">
        <v>46044</v>
      </c>
      <c r="B428" t="s">
        <v>2665</v>
      </c>
      <c r="C428" t="s">
        <v>2198</v>
      </c>
      <c r="D428" t="s">
        <v>994</v>
      </c>
      <c r="E428" t="s">
        <v>2916</v>
      </c>
      <c r="F428">
        <v>6500</v>
      </c>
      <c r="G428" t="s">
        <v>619</v>
      </c>
      <c r="H428">
        <v>6500</v>
      </c>
      <c r="I428" t="s">
        <v>2607</v>
      </c>
    </row>
    <row r="429" spans="1:9" x14ac:dyDescent="0.25">
      <c r="A429" s="91">
        <v>46044</v>
      </c>
      <c r="B429" t="s">
        <v>2665</v>
      </c>
      <c r="C429" t="s">
        <v>2207</v>
      </c>
      <c r="D429" t="s">
        <v>641</v>
      </c>
      <c r="E429" t="s">
        <v>2917</v>
      </c>
      <c r="F429">
        <v>6500</v>
      </c>
      <c r="G429" t="s">
        <v>619</v>
      </c>
      <c r="H429">
        <v>6500</v>
      </c>
      <c r="I429" t="s">
        <v>2607</v>
      </c>
    </row>
    <row r="430" spans="1:9" x14ac:dyDescent="0.25">
      <c r="A430" s="91">
        <v>46044</v>
      </c>
      <c r="B430" t="s">
        <v>685</v>
      </c>
      <c r="C430" t="s">
        <v>2918</v>
      </c>
      <c r="D430">
        <v>7374</v>
      </c>
      <c r="E430" t="s">
        <v>785</v>
      </c>
      <c r="F430">
        <v>25000</v>
      </c>
      <c r="G430" t="s">
        <v>622</v>
      </c>
      <c r="H430">
        <v>25000</v>
      </c>
      <c r="I430" t="s">
        <v>2633</v>
      </c>
    </row>
    <row r="431" spans="1:9" x14ac:dyDescent="0.25">
      <c r="A431" s="91">
        <v>46045</v>
      </c>
      <c r="B431" t="s">
        <v>2665</v>
      </c>
      <c r="C431" t="s">
        <v>2201</v>
      </c>
      <c r="D431" t="s">
        <v>624</v>
      </c>
      <c r="E431" t="s">
        <v>2797</v>
      </c>
      <c r="F431">
        <v>2833</v>
      </c>
      <c r="G431" t="s">
        <v>619</v>
      </c>
      <c r="H431">
        <v>2833</v>
      </c>
      <c r="I431" t="s">
        <v>2607</v>
      </c>
    </row>
    <row r="432" spans="1:9" x14ac:dyDescent="0.25">
      <c r="A432" s="91">
        <v>46045</v>
      </c>
      <c r="B432" t="s">
        <v>2658</v>
      </c>
      <c r="C432" t="s">
        <v>2165</v>
      </c>
      <c r="D432" t="s">
        <v>637</v>
      </c>
      <c r="E432" t="s">
        <v>638</v>
      </c>
      <c r="F432">
        <v>2500</v>
      </c>
      <c r="G432" t="s">
        <v>619</v>
      </c>
      <c r="H432">
        <v>2500</v>
      </c>
      <c r="I432" t="s">
        <v>2607</v>
      </c>
    </row>
    <row r="433" spans="1:9" x14ac:dyDescent="0.25">
      <c r="A433" s="91">
        <v>46045</v>
      </c>
      <c r="B433" t="s">
        <v>2680</v>
      </c>
      <c r="C433" t="s">
        <v>2919</v>
      </c>
      <c r="D433">
        <v>900402</v>
      </c>
      <c r="E433" t="s">
        <v>2886</v>
      </c>
      <c r="F433">
        <v>480</v>
      </c>
      <c r="G433" t="s">
        <v>619</v>
      </c>
      <c r="H433">
        <v>480</v>
      </c>
      <c r="I433" t="s">
        <v>2607</v>
      </c>
    </row>
    <row r="434" spans="1:9" x14ac:dyDescent="0.25">
      <c r="A434" s="91">
        <v>46045</v>
      </c>
      <c r="B434" t="s">
        <v>2614</v>
      </c>
      <c r="C434" t="s">
        <v>2920</v>
      </c>
      <c r="D434">
        <v>900400</v>
      </c>
      <c r="E434" t="s">
        <v>2901</v>
      </c>
      <c r="F434">
        <v>480</v>
      </c>
      <c r="G434" t="s">
        <v>619</v>
      </c>
      <c r="H434">
        <v>480</v>
      </c>
      <c r="I434" t="s">
        <v>2607</v>
      </c>
    </row>
    <row r="435" spans="1:9" x14ac:dyDescent="0.25">
      <c r="A435" s="91">
        <v>46045</v>
      </c>
      <c r="B435" t="s">
        <v>2608</v>
      </c>
      <c r="C435" t="s">
        <v>2118</v>
      </c>
      <c r="D435">
        <v>7076</v>
      </c>
      <c r="E435" t="s">
        <v>634</v>
      </c>
      <c r="F435">
        <v>95000</v>
      </c>
      <c r="G435" t="s">
        <v>622</v>
      </c>
      <c r="H435">
        <v>95000</v>
      </c>
      <c r="I435" t="s">
        <v>2609</v>
      </c>
    </row>
    <row r="436" spans="1:9" x14ac:dyDescent="0.25">
      <c r="A436" s="91">
        <v>46045</v>
      </c>
      <c r="B436" t="s">
        <v>685</v>
      </c>
      <c r="C436" t="s">
        <v>2921</v>
      </c>
      <c r="D436">
        <v>7373</v>
      </c>
      <c r="E436" t="s">
        <v>783</v>
      </c>
      <c r="F436">
        <v>25000</v>
      </c>
      <c r="G436" t="s">
        <v>622</v>
      </c>
      <c r="H436">
        <v>25000</v>
      </c>
      <c r="I436" t="s">
        <v>2633</v>
      </c>
    </row>
    <row r="437" spans="1:9" x14ac:dyDescent="0.25">
      <c r="A437" s="91">
        <v>46045</v>
      </c>
      <c r="B437" t="s">
        <v>2665</v>
      </c>
      <c r="C437" t="s">
        <v>2203</v>
      </c>
      <c r="D437" t="s">
        <v>1080</v>
      </c>
      <c r="E437" t="s">
        <v>2799</v>
      </c>
      <c r="F437">
        <v>800</v>
      </c>
      <c r="G437" t="s">
        <v>619</v>
      </c>
      <c r="H437">
        <v>800</v>
      </c>
      <c r="I437" t="s">
        <v>2607</v>
      </c>
    </row>
    <row r="438" spans="1:9" x14ac:dyDescent="0.25">
      <c r="A438" s="91">
        <v>46045</v>
      </c>
      <c r="B438" t="s">
        <v>2665</v>
      </c>
      <c r="C438" t="s">
        <v>2185</v>
      </c>
      <c r="D438" t="s">
        <v>623</v>
      </c>
      <c r="E438" t="s">
        <v>2703</v>
      </c>
      <c r="F438">
        <v>4500</v>
      </c>
      <c r="G438" t="s">
        <v>619</v>
      </c>
      <c r="H438">
        <v>4500</v>
      </c>
      <c r="I438" t="s">
        <v>2607</v>
      </c>
    </row>
    <row r="439" spans="1:9" x14ac:dyDescent="0.25">
      <c r="A439" s="91">
        <v>46045</v>
      </c>
      <c r="B439" t="s">
        <v>2665</v>
      </c>
      <c r="C439" t="s">
        <v>2182</v>
      </c>
      <c r="D439" t="s">
        <v>2183</v>
      </c>
      <c r="E439" t="s">
        <v>2922</v>
      </c>
      <c r="F439">
        <v>400</v>
      </c>
      <c r="G439" t="s">
        <v>619</v>
      </c>
      <c r="H439">
        <v>400</v>
      </c>
      <c r="I439" t="s">
        <v>2607</v>
      </c>
    </row>
    <row r="440" spans="1:9" x14ac:dyDescent="0.25">
      <c r="A440" s="91">
        <v>46045</v>
      </c>
      <c r="B440" t="s">
        <v>2728</v>
      </c>
      <c r="C440" t="s">
        <v>2923</v>
      </c>
      <c r="D440">
        <v>2130</v>
      </c>
      <c r="E440" t="s">
        <v>2730</v>
      </c>
      <c r="F440">
        <v>1866</v>
      </c>
      <c r="G440" t="s">
        <v>622</v>
      </c>
      <c r="H440">
        <v>1866</v>
      </c>
      <c r="I440" t="s">
        <v>2633</v>
      </c>
    </row>
    <row r="441" spans="1:9" x14ac:dyDescent="0.25">
      <c r="A441" s="91">
        <v>46045</v>
      </c>
      <c r="B441" t="s">
        <v>2621</v>
      </c>
      <c r="C441" t="s">
        <v>2924</v>
      </c>
      <c r="D441" t="s">
        <v>2910</v>
      </c>
      <c r="E441" t="s">
        <v>2911</v>
      </c>
      <c r="F441">
        <v>3505</v>
      </c>
      <c r="G441" t="s">
        <v>619</v>
      </c>
      <c r="H441">
        <v>3505</v>
      </c>
      <c r="I441" t="s">
        <v>2607</v>
      </c>
    </row>
    <row r="442" spans="1:9" x14ac:dyDescent="0.25">
      <c r="A442" s="91">
        <v>46045</v>
      </c>
      <c r="B442" t="s">
        <v>2624</v>
      </c>
      <c r="C442" t="s">
        <v>2925</v>
      </c>
      <c r="D442" t="s">
        <v>2669</v>
      </c>
      <c r="E442" t="s">
        <v>2670</v>
      </c>
      <c r="F442">
        <v>3505</v>
      </c>
      <c r="G442" t="s">
        <v>619</v>
      </c>
      <c r="H442">
        <v>3505</v>
      </c>
      <c r="I442" t="s">
        <v>2607</v>
      </c>
    </row>
    <row r="443" spans="1:9" x14ac:dyDescent="0.25">
      <c r="A443" s="91">
        <v>46045</v>
      </c>
      <c r="B443" t="s">
        <v>712</v>
      </c>
      <c r="C443" t="s">
        <v>1441</v>
      </c>
      <c r="D443" t="s">
        <v>1127</v>
      </c>
      <c r="E443" t="s">
        <v>713</v>
      </c>
      <c r="F443">
        <v>40000</v>
      </c>
      <c r="G443" t="s">
        <v>622</v>
      </c>
      <c r="H443">
        <v>40000</v>
      </c>
      <c r="I443" t="s">
        <v>2607</v>
      </c>
    </row>
    <row r="444" spans="1:9" x14ac:dyDescent="0.25">
      <c r="A444" s="91">
        <v>46045</v>
      </c>
      <c r="B444" t="s">
        <v>682</v>
      </c>
      <c r="C444" t="s">
        <v>2926</v>
      </c>
      <c r="D444" t="s">
        <v>806</v>
      </c>
      <c r="E444" t="s">
        <v>807</v>
      </c>
      <c r="F444">
        <v>28000</v>
      </c>
      <c r="G444" t="s">
        <v>622</v>
      </c>
      <c r="H444">
        <v>28000</v>
      </c>
      <c r="I444" t="s">
        <v>2633</v>
      </c>
    </row>
    <row r="445" spans="1:9" x14ac:dyDescent="0.25">
      <c r="A445" s="91">
        <v>46045</v>
      </c>
      <c r="B445" t="s">
        <v>2870</v>
      </c>
      <c r="C445" t="s">
        <v>2927</v>
      </c>
      <c r="D445">
        <v>12152904</v>
      </c>
      <c r="E445" t="s">
        <v>2872</v>
      </c>
      <c r="F445">
        <v>1750</v>
      </c>
      <c r="G445" t="s">
        <v>619</v>
      </c>
      <c r="H445">
        <v>1750</v>
      </c>
      <c r="I445" t="s">
        <v>2607</v>
      </c>
    </row>
    <row r="446" spans="1:9" x14ac:dyDescent="0.25">
      <c r="A446" s="91">
        <v>46045</v>
      </c>
      <c r="B446" t="s">
        <v>688</v>
      </c>
      <c r="C446" t="s">
        <v>2928</v>
      </c>
      <c r="D446">
        <v>7746</v>
      </c>
      <c r="E446" t="s">
        <v>692</v>
      </c>
      <c r="F446">
        <v>68000</v>
      </c>
      <c r="G446" t="s">
        <v>622</v>
      </c>
      <c r="H446">
        <v>68000</v>
      </c>
      <c r="I446" t="s">
        <v>2633</v>
      </c>
    </row>
    <row r="447" spans="1:9" x14ac:dyDescent="0.25">
      <c r="A447" s="91">
        <v>46045</v>
      </c>
      <c r="B447">
        <v>7002</v>
      </c>
      <c r="C447" t="s">
        <v>2929</v>
      </c>
      <c r="D447">
        <v>961515</v>
      </c>
      <c r="E447" t="s">
        <v>2691</v>
      </c>
      <c r="F447">
        <v>325</v>
      </c>
      <c r="G447" t="s">
        <v>619</v>
      </c>
      <c r="H447">
        <v>325</v>
      </c>
      <c r="I447" t="s">
        <v>2607</v>
      </c>
    </row>
    <row r="448" spans="1:9" x14ac:dyDescent="0.25">
      <c r="A448" s="91">
        <v>46045</v>
      </c>
      <c r="B448" t="s">
        <v>2736</v>
      </c>
      <c r="C448" t="s">
        <v>2153</v>
      </c>
      <c r="D448" t="s">
        <v>1403</v>
      </c>
      <c r="E448" t="s">
        <v>1404</v>
      </c>
      <c r="F448">
        <v>5300</v>
      </c>
      <c r="G448" t="s">
        <v>622</v>
      </c>
      <c r="H448">
        <v>5300</v>
      </c>
      <c r="I448" t="s">
        <v>2607</v>
      </c>
    </row>
    <row r="449" spans="1:9" x14ac:dyDescent="0.25">
      <c r="A449" s="91">
        <v>46049</v>
      </c>
      <c r="B449" t="s">
        <v>2610</v>
      </c>
      <c r="C449" t="s">
        <v>2223</v>
      </c>
      <c r="D449">
        <v>520860</v>
      </c>
      <c r="E449" t="s">
        <v>1388</v>
      </c>
      <c r="F449">
        <v>14584</v>
      </c>
      <c r="G449" t="s">
        <v>619</v>
      </c>
      <c r="H449">
        <v>14584</v>
      </c>
      <c r="I449" t="s">
        <v>2607</v>
      </c>
    </row>
    <row r="450" spans="1:9" x14ac:dyDescent="0.25">
      <c r="A450" s="91">
        <v>46049</v>
      </c>
      <c r="B450" t="s">
        <v>2658</v>
      </c>
      <c r="C450" t="s">
        <v>2166</v>
      </c>
      <c r="D450" t="s">
        <v>637</v>
      </c>
      <c r="E450" t="s">
        <v>638</v>
      </c>
      <c r="F450">
        <v>2500</v>
      </c>
      <c r="G450" t="s">
        <v>619</v>
      </c>
      <c r="H450">
        <v>2500</v>
      </c>
      <c r="I450" t="s">
        <v>2607</v>
      </c>
    </row>
    <row r="451" spans="1:9" x14ac:dyDescent="0.25">
      <c r="A451" s="91">
        <v>46049</v>
      </c>
      <c r="B451" t="s">
        <v>2614</v>
      </c>
      <c r="C451" t="s">
        <v>2930</v>
      </c>
      <c r="D451">
        <v>900114</v>
      </c>
      <c r="E451" t="s">
        <v>2655</v>
      </c>
      <c r="F451">
        <v>240</v>
      </c>
      <c r="G451" t="s">
        <v>619</v>
      </c>
      <c r="H451">
        <v>240</v>
      </c>
      <c r="I451" t="s">
        <v>2607</v>
      </c>
    </row>
    <row r="452" spans="1:9" x14ac:dyDescent="0.25">
      <c r="A452" s="91">
        <v>46049</v>
      </c>
      <c r="B452" t="s">
        <v>2614</v>
      </c>
      <c r="C452" t="s">
        <v>2931</v>
      </c>
      <c r="D452">
        <v>900114</v>
      </c>
      <c r="E452" t="s">
        <v>2655</v>
      </c>
      <c r="F452">
        <v>480</v>
      </c>
      <c r="G452" t="s">
        <v>619</v>
      </c>
      <c r="H452">
        <v>480</v>
      </c>
      <c r="I452" t="s">
        <v>2607</v>
      </c>
    </row>
    <row r="453" spans="1:9" x14ac:dyDescent="0.25">
      <c r="A453" s="91">
        <v>46049</v>
      </c>
      <c r="B453" t="s">
        <v>2617</v>
      </c>
      <c r="C453" t="s">
        <v>2932</v>
      </c>
      <c r="D453">
        <v>5150010451</v>
      </c>
      <c r="E453" t="s">
        <v>2706</v>
      </c>
      <c r="F453">
        <v>2256</v>
      </c>
      <c r="G453" t="s">
        <v>619</v>
      </c>
      <c r="H453">
        <v>2256</v>
      </c>
      <c r="I453" t="s">
        <v>2607</v>
      </c>
    </row>
    <row r="454" spans="1:9" x14ac:dyDescent="0.25">
      <c r="A454" s="91">
        <v>46049</v>
      </c>
      <c r="B454" t="s">
        <v>2608</v>
      </c>
      <c r="C454" t="s">
        <v>2053</v>
      </c>
      <c r="D454">
        <v>79502</v>
      </c>
      <c r="E454" t="s">
        <v>885</v>
      </c>
      <c r="F454">
        <v>105000</v>
      </c>
      <c r="G454" t="s">
        <v>622</v>
      </c>
      <c r="H454">
        <v>105000</v>
      </c>
      <c r="I454" t="s">
        <v>2609</v>
      </c>
    </row>
    <row r="455" spans="1:9" x14ac:dyDescent="0.25">
      <c r="A455" s="91">
        <v>46049</v>
      </c>
      <c r="B455">
        <v>7002</v>
      </c>
      <c r="C455" t="s">
        <v>2933</v>
      </c>
      <c r="D455">
        <v>961515</v>
      </c>
      <c r="E455" t="s">
        <v>2691</v>
      </c>
      <c r="F455">
        <v>325</v>
      </c>
      <c r="G455" t="s">
        <v>619</v>
      </c>
      <c r="H455">
        <v>325</v>
      </c>
      <c r="I455" t="s">
        <v>2607</v>
      </c>
    </row>
    <row r="456" spans="1:9" x14ac:dyDescent="0.25">
      <c r="A456" s="91">
        <v>46049</v>
      </c>
      <c r="B456" t="s">
        <v>2606</v>
      </c>
      <c r="C456" t="s">
        <v>2062</v>
      </c>
      <c r="D456" t="s">
        <v>1401</v>
      </c>
      <c r="E456" t="s">
        <v>2061</v>
      </c>
      <c r="F456">
        <v>7300</v>
      </c>
      <c r="G456" t="s">
        <v>619</v>
      </c>
      <c r="H456">
        <v>7300</v>
      </c>
      <c r="I456" t="s">
        <v>2607</v>
      </c>
    </row>
    <row r="457" spans="1:9" x14ac:dyDescent="0.25">
      <c r="A457" s="91">
        <v>46049</v>
      </c>
      <c r="B457" t="s">
        <v>2665</v>
      </c>
      <c r="C457" t="s">
        <v>2195</v>
      </c>
      <c r="D457" t="s">
        <v>1105</v>
      </c>
      <c r="E457" t="s">
        <v>2934</v>
      </c>
      <c r="F457">
        <v>800</v>
      </c>
      <c r="G457" t="s">
        <v>619</v>
      </c>
      <c r="H457">
        <v>800</v>
      </c>
      <c r="I457" t="s">
        <v>2607</v>
      </c>
    </row>
    <row r="458" spans="1:9" x14ac:dyDescent="0.25">
      <c r="A458" s="91">
        <v>46049</v>
      </c>
      <c r="B458" t="s">
        <v>2736</v>
      </c>
      <c r="C458" t="s">
        <v>2137</v>
      </c>
      <c r="D458" t="s">
        <v>1114</v>
      </c>
      <c r="E458" t="s">
        <v>1115</v>
      </c>
      <c r="F458">
        <v>5200</v>
      </c>
      <c r="G458" t="s">
        <v>622</v>
      </c>
      <c r="H458">
        <v>5200</v>
      </c>
      <c r="I458" t="s">
        <v>2607</v>
      </c>
    </row>
    <row r="459" spans="1:9" x14ac:dyDescent="0.25">
      <c r="A459" s="91">
        <v>46049</v>
      </c>
      <c r="B459" t="s">
        <v>2621</v>
      </c>
      <c r="C459" t="s">
        <v>2935</v>
      </c>
      <c r="D459" t="s">
        <v>2910</v>
      </c>
      <c r="E459" t="s">
        <v>2911</v>
      </c>
      <c r="F459">
        <v>3505</v>
      </c>
      <c r="G459" t="s">
        <v>619</v>
      </c>
      <c r="H459">
        <v>3505</v>
      </c>
      <c r="I459" t="s">
        <v>2607</v>
      </c>
    </row>
    <row r="460" spans="1:9" x14ac:dyDescent="0.25">
      <c r="A460" s="91">
        <v>46049</v>
      </c>
      <c r="B460" t="s">
        <v>2624</v>
      </c>
      <c r="C460" t="s">
        <v>2936</v>
      </c>
      <c r="D460" t="s">
        <v>2937</v>
      </c>
      <c r="E460" t="s">
        <v>2938</v>
      </c>
      <c r="F460">
        <v>5208</v>
      </c>
      <c r="G460" t="s">
        <v>619</v>
      </c>
      <c r="H460">
        <v>5208</v>
      </c>
      <c r="I460" t="s">
        <v>2939</v>
      </c>
    </row>
    <row r="461" spans="1:9" x14ac:dyDescent="0.25">
      <c r="A461" s="91">
        <v>46049</v>
      </c>
      <c r="B461" t="s">
        <v>2606</v>
      </c>
      <c r="C461" t="s">
        <v>2940</v>
      </c>
      <c r="D461" t="s">
        <v>1400</v>
      </c>
      <c r="E461" t="s">
        <v>2941</v>
      </c>
      <c r="F461">
        <v>7300</v>
      </c>
      <c r="G461" t="s">
        <v>619</v>
      </c>
      <c r="H461">
        <v>7300</v>
      </c>
      <c r="I461" t="s">
        <v>2607</v>
      </c>
    </row>
    <row r="462" spans="1:9" x14ac:dyDescent="0.25">
      <c r="A462" s="91">
        <v>46050</v>
      </c>
      <c r="B462" t="s">
        <v>2611</v>
      </c>
      <c r="C462" t="s">
        <v>2942</v>
      </c>
      <c r="D462">
        <v>9011231</v>
      </c>
      <c r="E462" t="s">
        <v>2739</v>
      </c>
      <c r="F462">
        <v>455</v>
      </c>
      <c r="G462" t="s">
        <v>619</v>
      </c>
      <c r="H462">
        <v>455</v>
      </c>
      <c r="I462" t="s">
        <v>2607</v>
      </c>
    </row>
    <row r="463" spans="1:9" x14ac:dyDescent="0.25">
      <c r="A463" s="91">
        <v>46050</v>
      </c>
      <c r="B463" t="s">
        <v>2680</v>
      </c>
      <c r="C463" t="s">
        <v>2943</v>
      </c>
      <c r="D463">
        <v>900402</v>
      </c>
      <c r="E463" t="s">
        <v>2886</v>
      </c>
      <c r="F463">
        <v>480</v>
      </c>
      <c r="G463" t="s">
        <v>619</v>
      </c>
      <c r="H463">
        <v>480</v>
      </c>
      <c r="I463" t="s">
        <v>2607</v>
      </c>
    </row>
    <row r="464" spans="1:9" x14ac:dyDescent="0.25">
      <c r="A464" s="91">
        <v>46050</v>
      </c>
      <c r="B464" t="s">
        <v>2680</v>
      </c>
      <c r="C464" t="s">
        <v>2944</v>
      </c>
      <c r="D464">
        <v>800500</v>
      </c>
      <c r="E464" t="s">
        <v>2945</v>
      </c>
      <c r="F464">
        <v>900</v>
      </c>
      <c r="G464" t="s">
        <v>619</v>
      </c>
      <c r="H464">
        <v>900</v>
      </c>
      <c r="I464" t="s">
        <v>2939</v>
      </c>
    </row>
    <row r="465" spans="1:9" x14ac:dyDescent="0.25">
      <c r="A465" s="91">
        <v>46050</v>
      </c>
      <c r="B465" t="s">
        <v>2606</v>
      </c>
      <c r="C465" t="s">
        <v>2309</v>
      </c>
      <c r="D465">
        <v>220125</v>
      </c>
      <c r="E465" t="s">
        <v>2700</v>
      </c>
      <c r="F465">
        <v>4250</v>
      </c>
      <c r="G465" t="s">
        <v>619</v>
      </c>
      <c r="H465">
        <v>4250</v>
      </c>
      <c r="I465" t="s">
        <v>2607</v>
      </c>
    </row>
    <row r="466" spans="1:9" x14ac:dyDescent="0.25">
      <c r="A466" s="91">
        <v>46050</v>
      </c>
      <c r="B466" t="s">
        <v>2606</v>
      </c>
      <c r="C466" t="s">
        <v>2946</v>
      </c>
      <c r="D466">
        <v>85201</v>
      </c>
      <c r="E466" t="s">
        <v>2068</v>
      </c>
      <c r="F466">
        <v>6250</v>
      </c>
      <c r="G466" t="s">
        <v>619</v>
      </c>
      <c r="H466">
        <v>6250</v>
      </c>
      <c r="I466" t="s">
        <v>2607</v>
      </c>
    </row>
    <row r="467" spans="1:9" x14ac:dyDescent="0.25">
      <c r="A467" s="91">
        <v>46050</v>
      </c>
      <c r="B467" t="s">
        <v>685</v>
      </c>
      <c r="C467" t="s">
        <v>2947</v>
      </c>
      <c r="D467">
        <v>7374</v>
      </c>
      <c r="E467" t="s">
        <v>785</v>
      </c>
      <c r="F467">
        <v>25000</v>
      </c>
      <c r="G467" t="s">
        <v>622</v>
      </c>
      <c r="H467">
        <v>25000</v>
      </c>
      <c r="I467" t="s">
        <v>2633</v>
      </c>
    </row>
    <row r="468" spans="1:9" x14ac:dyDescent="0.25">
      <c r="A468" s="91">
        <v>46050</v>
      </c>
      <c r="B468" t="s">
        <v>2608</v>
      </c>
      <c r="C468" t="s">
        <v>2127</v>
      </c>
      <c r="D468">
        <v>7154</v>
      </c>
      <c r="E468" t="s">
        <v>631</v>
      </c>
      <c r="F468">
        <v>95000</v>
      </c>
      <c r="G468" t="s">
        <v>622</v>
      </c>
      <c r="H468">
        <v>95000</v>
      </c>
      <c r="I468" t="s">
        <v>2609</v>
      </c>
    </row>
    <row r="469" spans="1:9" x14ac:dyDescent="0.25">
      <c r="A469" s="91">
        <v>46050</v>
      </c>
      <c r="B469" t="s">
        <v>2665</v>
      </c>
      <c r="C469" t="s">
        <v>2398</v>
      </c>
      <c r="D469" t="s">
        <v>2399</v>
      </c>
      <c r="E469" t="s">
        <v>2400</v>
      </c>
      <c r="F469">
        <v>250</v>
      </c>
      <c r="G469" t="s">
        <v>619</v>
      </c>
      <c r="H469">
        <v>250</v>
      </c>
      <c r="I469" t="s">
        <v>2607</v>
      </c>
    </row>
    <row r="470" spans="1:9" x14ac:dyDescent="0.25">
      <c r="A470" s="91">
        <v>46050</v>
      </c>
      <c r="B470" t="s">
        <v>693</v>
      </c>
      <c r="C470" t="s">
        <v>2948</v>
      </c>
      <c r="D470">
        <v>910526</v>
      </c>
      <c r="E470" t="s">
        <v>1602</v>
      </c>
      <c r="F470">
        <v>9120</v>
      </c>
      <c r="G470" t="s">
        <v>619</v>
      </c>
      <c r="H470">
        <v>9120</v>
      </c>
      <c r="I470" t="s">
        <v>2607</v>
      </c>
    </row>
    <row r="471" spans="1:9" x14ac:dyDescent="0.25">
      <c r="A471" s="91">
        <v>46050</v>
      </c>
      <c r="B471" t="s">
        <v>693</v>
      </c>
      <c r="C471" t="s">
        <v>2949</v>
      </c>
      <c r="D471">
        <v>910326</v>
      </c>
      <c r="E471" t="s">
        <v>1583</v>
      </c>
      <c r="F471">
        <v>9120</v>
      </c>
      <c r="G471" t="s">
        <v>619</v>
      </c>
      <c r="H471">
        <v>9120</v>
      </c>
      <c r="I471" t="s">
        <v>2607</v>
      </c>
    </row>
    <row r="472" spans="1:9" x14ac:dyDescent="0.25">
      <c r="A472" s="91">
        <v>46050</v>
      </c>
      <c r="B472" t="s">
        <v>712</v>
      </c>
      <c r="C472" t="s">
        <v>1443</v>
      </c>
      <c r="D472" t="s">
        <v>1127</v>
      </c>
      <c r="E472" t="s">
        <v>713</v>
      </c>
      <c r="F472">
        <v>40000</v>
      </c>
      <c r="G472" t="s">
        <v>622</v>
      </c>
      <c r="H472">
        <v>40000</v>
      </c>
      <c r="I472" t="s">
        <v>2607</v>
      </c>
    </row>
    <row r="473" spans="1:9" x14ac:dyDescent="0.25">
      <c r="A473" s="91">
        <v>46050</v>
      </c>
      <c r="B473" t="s">
        <v>682</v>
      </c>
      <c r="C473" t="s">
        <v>2950</v>
      </c>
      <c r="D473">
        <v>7304</v>
      </c>
      <c r="E473" t="s">
        <v>770</v>
      </c>
      <c r="F473">
        <v>27000</v>
      </c>
      <c r="G473" t="s">
        <v>622</v>
      </c>
      <c r="H473">
        <v>27000</v>
      </c>
      <c r="I473" t="s">
        <v>2633</v>
      </c>
    </row>
    <row r="474" spans="1:9" x14ac:dyDescent="0.25">
      <c r="A474" s="91">
        <v>46050</v>
      </c>
      <c r="B474" t="s">
        <v>688</v>
      </c>
      <c r="C474" t="s">
        <v>2951</v>
      </c>
      <c r="D474">
        <v>7741</v>
      </c>
      <c r="E474" t="s">
        <v>690</v>
      </c>
      <c r="F474">
        <v>68000</v>
      </c>
      <c r="G474" t="s">
        <v>622</v>
      </c>
      <c r="H474">
        <v>68000</v>
      </c>
      <c r="I474" t="s">
        <v>2633</v>
      </c>
    </row>
    <row r="475" spans="1:9" x14ac:dyDescent="0.25">
      <c r="A475" s="91">
        <v>46050</v>
      </c>
      <c r="B475" t="s">
        <v>2665</v>
      </c>
      <c r="C475" t="s">
        <v>2194</v>
      </c>
      <c r="D475" t="s">
        <v>1104</v>
      </c>
      <c r="E475" t="s">
        <v>2952</v>
      </c>
      <c r="F475">
        <v>2833</v>
      </c>
      <c r="G475" t="s">
        <v>619</v>
      </c>
      <c r="H475">
        <v>2833</v>
      </c>
      <c r="I475" t="s">
        <v>2607</v>
      </c>
    </row>
    <row r="476" spans="1:9" x14ac:dyDescent="0.25">
      <c r="A476" s="91">
        <v>46051</v>
      </c>
      <c r="B476" t="s">
        <v>2608</v>
      </c>
      <c r="C476" t="s">
        <v>2407</v>
      </c>
      <c r="D476">
        <v>7046</v>
      </c>
      <c r="E476" t="s">
        <v>1110</v>
      </c>
      <c r="F476">
        <v>105000</v>
      </c>
      <c r="G476" t="s">
        <v>622</v>
      </c>
      <c r="H476">
        <v>105000</v>
      </c>
      <c r="I476" t="s">
        <v>2609</v>
      </c>
    </row>
    <row r="477" spans="1:9" x14ac:dyDescent="0.25">
      <c r="A477" s="91">
        <v>46051</v>
      </c>
      <c r="B477" t="s">
        <v>2652</v>
      </c>
      <c r="C477" t="s">
        <v>2421</v>
      </c>
      <c r="D477">
        <v>2207</v>
      </c>
      <c r="E477" t="s">
        <v>887</v>
      </c>
      <c r="F477">
        <v>84</v>
      </c>
      <c r="G477" t="s">
        <v>622</v>
      </c>
      <c r="H477">
        <v>84</v>
      </c>
      <c r="I477" t="s">
        <v>2607</v>
      </c>
    </row>
    <row r="478" spans="1:9" x14ac:dyDescent="0.25">
      <c r="A478" s="91">
        <v>46051</v>
      </c>
      <c r="B478" t="s">
        <v>2652</v>
      </c>
      <c r="C478" t="s">
        <v>2419</v>
      </c>
      <c r="D478">
        <v>2203</v>
      </c>
      <c r="E478" t="s">
        <v>886</v>
      </c>
      <c r="F478">
        <v>204</v>
      </c>
      <c r="G478" t="s">
        <v>622</v>
      </c>
      <c r="H478">
        <v>204</v>
      </c>
      <c r="I478" t="s">
        <v>2607</v>
      </c>
    </row>
    <row r="479" spans="1:9" x14ac:dyDescent="0.25">
      <c r="A479" s="91">
        <v>46051</v>
      </c>
      <c r="B479" t="s">
        <v>2652</v>
      </c>
      <c r="C479" t="s">
        <v>2426</v>
      </c>
      <c r="D479">
        <v>2237</v>
      </c>
      <c r="E479" t="s">
        <v>891</v>
      </c>
      <c r="F479">
        <v>108</v>
      </c>
      <c r="G479" t="s">
        <v>622</v>
      </c>
      <c r="H479">
        <v>108</v>
      </c>
      <c r="I479" t="s">
        <v>2607</v>
      </c>
    </row>
    <row r="480" spans="1:9" x14ac:dyDescent="0.25">
      <c r="A480" s="91">
        <v>46051</v>
      </c>
      <c r="B480" t="s">
        <v>2652</v>
      </c>
      <c r="C480" t="s">
        <v>2418</v>
      </c>
      <c r="D480">
        <v>2201</v>
      </c>
      <c r="E480" t="s">
        <v>879</v>
      </c>
      <c r="F480">
        <v>24</v>
      </c>
      <c r="G480" t="s">
        <v>622</v>
      </c>
      <c r="H480">
        <v>24</v>
      </c>
      <c r="I480" t="s">
        <v>2607</v>
      </c>
    </row>
    <row r="481" spans="1:9" x14ac:dyDescent="0.25">
      <c r="A481" s="91">
        <v>46051</v>
      </c>
      <c r="B481" t="s">
        <v>2652</v>
      </c>
      <c r="C481" t="s">
        <v>2424</v>
      </c>
      <c r="D481">
        <v>2231</v>
      </c>
      <c r="E481" t="s">
        <v>882</v>
      </c>
      <c r="F481">
        <v>132</v>
      </c>
      <c r="G481" t="s">
        <v>622</v>
      </c>
      <c r="H481">
        <v>132</v>
      </c>
      <c r="I481" t="s">
        <v>2607</v>
      </c>
    </row>
    <row r="482" spans="1:9" x14ac:dyDescent="0.25">
      <c r="A482" s="91">
        <v>46051</v>
      </c>
      <c r="B482" t="s">
        <v>2652</v>
      </c>
      <c r="C482" t="s">
        <v>2428</v>
      </c>
      <c r="D482">
        <v>2243</v>
      </c>
      <c r="E482" t="s">
        <v>883</v>
      </c>
      <c r="F482">
        <v>132</v>
      </c>
      <c r="G482" t="s">
        <v>622</v>
      </c>
      <c r="H482">
        <v>132</v>
      </c>
      <c r="I482" t="s">
        <v>2607</v>
      </c>
    </row>
    <row r="483" spans="1:9" x14ac:dyDescent="0.25">
      <c r="A483" s="91">
        <v>46051</v>
      </c>
      <c r="B483" t="s">
        <v>2652</v>
      </c>
      <c r="C483" t="s">
        <v>2420</v>
      </c>
      <c r="D483">
        <v>2205</v>
      </c>
      <c r="E483" t="s">
        <v>880</v>
      </c>
      <c r="F483">
        <v>248</v>
      </c>
      <c r="G483" t="s">
        <v>622</v>
      </c>
      <c r="H483">
        <v>248</v>
      </c>
      <c r="I483" t="s">
        <v>2607</v>
      </c>
    </row>
    <row r="484" spans="1:9" x14ac:dyDescent="0.25">
      <c r="A484" s="91">
        <v>46051</v>
      </c>
      <c r="B484" t="s">
        <v>2617</v>
      </c>
      <c r="C484" t="s">
        <v>2953</v>
      </c>
      <c r="D484">
        <v>5150010450</v>
      </c>
      <c r="E484" t="s">
        <v>2619</v>
      </c>
      <c r="F484">
        <v>2256</v>
      </c>
      <c r="G484" t="s">
        <v>619</v>
      </c>
      <c r="H484">
        <v>2256</v>
      </c>
      <c r="I484" t="s">
        <v>2607</v>
      </c>
    </row>
    <row r="485" spans="1:9" x14ac:dyDescent="0.25">
      <c r="A485" s="91">
        <v>46051</v>
      </c>
      <c r="B485" t="s">
        <v>2614</v>
      </c>
      <c r="C485" t="s">
        <v>2954</v>
      </c>
      <c r="D485">
        <v>900400</v>
      </c>
      <c r="E485" t="s">
        <v>2901</v>
      </c>
      <c r="F485">
        <v>480</v>
      </c>
      <c r="G485" t="s">
        <v>619</v>
      </c>
      <c r="H485">
        <v>480</v>
      </c>
      <c r="I485" t="s">
        <v>2607</v>
      </c>
    </row>
    <row r="486" spans="1:9" x14ac:dyDescent="0.25">
      <c r="A486" s="91">
        <v>46051</v>
      </c>
      <c r="B486" t="s">
        <v>2606</v>
      </c>
      <c r="C486" t="s">
        <v>2065</v>
      </c>
      <c r="D486" t="s">
        <v>1401</v>
      </c>
      <c r="E486" t="s">
        <v>2061</v>
      </c>
      <c r="F486">
        <v>7300</v>
      </c>
      <c r="G486" t="s">
        <v>619</v>
      </c>
      <c r="H486">
        <v>7300</v>
      </c>
      <c r="I486" t="s">
        <v>2607</v>
      </c>
    </row>
    <row r="487" spans="1:9" x14ac:dyDescent="0.25">
      <c r="A487" s="91">
        <v>46051</v>
      </c>
      <c r="B487" t="s">
        <v>2652</v>
      </c>
      <c r="C487" t="s">
        <v>2430</v>
      </c>
      <c r="D487">
        <v>2253</v>
      </c>
      <c r="E487" t="s">
        <v>1016</v>
      </c>
      <c r="F487">
        <v>72</v>
      </c>
      <c r="G487" t="s">
        <v>622</v>
      </c>
      <c r="H487">
        <v>72</v>
      </c>
      <c r="I487" t="s">
        <v>2607</v>
      </c>
    </row>
    <row r="488" spans="1:9" x14ac:dyDescent="0.25">
      <c r="A488" s="91">
        <v>46051</v>
      </c>
      <c r="B488" t="s">
        <v>2606</v>
      </c>
      <c r="C488" t="s">
        <v>2310</v>
      </c>
      <c r="D488">
        <v>220125</v>
      </c>
      <c r="E488" t="s">
        <v>2700</v>
      </c>
      <c r="F488">
        <v>3000</v>
      </c>
      <c r="G488" t="s">
        <v>619</v>
      </c>
      <c r="H488">
        <v>3000</v>
      </c>
      <c r="I488" t="s">
        <v>2607</v>
      </c>
    </row>
    <row r="489" spans="1:9" x14ac:dyDescent="0.25">
      <c r="A489" s="91">
        <v>46051</v>
      </c>
      <c r="B489" t="s">
        <v>2680</v>
      </c>
      <c r="C489" t="s">
        <v>2955</v>
      </c>
      <c r="D489">
        <v>800500</v>
      </c>
      <c r="E489" t="s">
        <v>2945</v>
      </c>
      <c r="F489">
        <v>900</v>
      </c>
      <c r="G489" t="s">
        <v>619</v>
      </c>
      <c r="H489">
        <v>900</v>
      </c>
      <c r="I489" t="s">
        <v>2939</v>
      </c>
    </row>
    <row r="490" spans="1:9" x14ac:dyDescent="0.25">
      <c r="A490" s="91">
        <v>46051</v>
      </c>
      <c r="B490" t="s">
        <v>2606</v>
      </c>
      <c r="C490" t="s">
        <v>2064</v>
      </c>
      <c r="D490" t="s">
        <v>1401</v>
      </c>
      <c r="E490" t="s">
        <v>2061</v>
      </c>
      <c r="F490">
        <v>7300</v>
      </c>
      <c r="G490" t="s">
        <v>619</v>
      </c>
      <c r="H490">
        <v>7300</v>
      </c>
      <c r="I490" t="s">
        <v>2607</v>
      </c>
    </row>
    <row r="491" spans="1:9" x14ac:dyDescent="0.25">
      <c r="A491" s="91">
        <v>46051</v>
      </c>
      <c r="B491" t="s">
        <v>2606</v>
      </c>
      <c r="C491" t="s">
        <v>2069</v>
      </c>
      <c r="D491">
        <v>85202</v>
      </c>
      <c r="E491" t="s">
        <v>2070</v>
      </c>
      <c r="F491">
        <v>6250</v>
      </c>
      <c r="G491" t="s">
        <v>619</v>
      </c>
      <c r="H491">
        <v>6250</v>
      </c>
      <c r="I491" t="s">
        <v>2607</v>
      </c>
    </row>
    <row r="492" spans="1:9" x14ac:dyDescent="0.25">
      <c r="A492" s="91">
        <v>46051</v>
      </c>
      <c r="B492" t="s">
        <v>688</v>
      </c>
      <c r="C492" t="s">
        <v>2956</v>
      </c>
      <c r="D492">
        <v>7741</v>
      </c>
      <c r="E492" t="s">
        <v>690</v>
      </c>
      <c r="F492">
        <v>68000</v>
      </c>
      <c r="G492" t="s">
        <v>622</v>
      </c>
      <c r="H492">
        <v>68000</v>
      </c>
      <c r="I492" t="s">
        <v>2633</v>
      </c>
    </row>
    <row r="493" spans="1:9" x14ac:dyDescent="0.25">
      <c r="A493" s="91">
        <v>46051</v>
      </c>
      <c r="B493" t="s">
        <v>682</v>
      </c>
      <c r="C493" t="s">
        <v>2957</v>
      </c>
      <c r="D493">
        <v>7302</v>
      </c>
      <c r="E493" t="s">
        <v>768</v>
      </c>
      <c r="F493">
        <v>27000</v>
      </c>
      <c r="G493" t="s">
        <v>622</v>
      </c>
      <c r="H493">
        <v>27000</v>
      </c>
      <c r="I493" t="s">
        <v>2633</v>
      </c>
    </row>
    <row r="494" spans="1:9" x14ac:dyDescent="0.25">
      <c r="A494" s="91">
        <v>46051</v>
      </c>
      <c r="B494" t="s">
        <v>679</v>
      </c>
      <c r="C494" t="s">
        <v>2958</v>
      </c>
      <c r="D494">
        <v>7212</v>
      </c>
      <c r="E494" t="s">
        <v>681</v>
      </c>
      <c r="F494">
        <v>85000</v>
      </c>
      <c r="G494" t="s">
        <v>622</v>
      </c>
      <c r="H494">
        <v>85000</v>
      </c>
      <c r="I494" t="s">
        <v>2633</v>
      </c>
    </row>
    <row r="495" spans="1:9" x14ac:dyDescent="0.25">
      <c r="A495" s="91">
        <v>46051</v>
      </c>
      <c r="B495" t="s">
        <v>712</v>
      </c>
      <c r="C495" t="s">
        <v>1444</v>
      </c>
      <c r="D495" t="s">
        <v>1127</v>
      </c>
      <c r="E495" t="s">
        <v>713</v>
      </c>
      <c r="F495">
        <v>40000</v>
      </c>
      <c r="G495" t="s">
        <v>622</v>
      </c>
      <c r="H495">
        <v>40000</v>
      </c>
      <c r="I495" t="s">
        <v>2607</v>
      </c>
    </row>
    <row r="496" spans="1:9" x14ac:dyDescent="0.25">
      <c r="A496" s="91">
        <v>46051</v>
      </c>
      <c r="B496">
        <v>7002</v>
      </c>
      <c r="C496" t="s">
        <v>2959</v>
      </c>
      <c r="D496">
        <v>961517</v>
      </c>
      <c r="E496" t="s">
        <v>2960</v>
      </c>
      <c r="F496">
        <v>345</v>
      </c>
      <c r="G496" t="s">
        <v>619</v>
      </c>
      <c r="H496">
        <v>345</v>
      </c>
      <c r="I496" t="s">
        <v>2607</v>
      </c>
    </row>
    <row r="497" spans="1:9" x14ac:dyDescent="0.25">
      <c r="A497" s="91">
        <v>46051</v>
      </c>
      <c r="B497" t="s">
        <v>2621</v>
      </c>
      <c r="C497" t="s">
        <v>2961</v>
      </c>
      <c r="D497" t="s">
        <v>2669</v>
      </c>
      <c r="E497" t="s">
        <v>2670</v>
      </c>
      <c r="F497">
        <v>3505</v>
      </c>
      <c r="G497" t="s">
        <v>619</v>
      </c>
      <c r="H497">
        <v>3505</v>
      </c>
      <c r="I497" t="s">
        <v>2607</v>
      </c>
    </row>
    <row r="498" spans="1:9" x14ac:dyDescent="0.25">
      <c r="A498" s="91">
        <v>46051</v>
      </c>
      <c r="B498" t="s">
        <v>2621</v>
      </c>
      <c r="C498" t="s">
        <v>2962</v>
      </c>
      <c r="D498" t="s">
        <v>2713</v>
      </c>
      <c r="E498" t="s">
        <v>2714</v>
      </c>
      <c r="F498">
        <v>3505</v>
      </c>
      <c r="G498" t="s">
        <v>619</v>
      </c>
      <c r="H498">
        <v>3505</v>
      </c>
      <c r="I498" t="s">
        <v>2607</v>
      </c>
    </row>
    <row r="499" spans="1:9" x14ac:dyDescent="0.25">
      <c r="A499" s="91">
        <v>46051</v>
      </c>
      <c r="B499" t="s">
        <v>2665</v>
      </c>
      <c r="C499" t="s">
        <v>2208</v>
      </c>
      <c r="D499" t="s">
        <v>641</v>
      </c>
      <c r="E499" t="s">
        <v>2917</v>
      </c>
      <c r="F499">
        <v>4500</v>
      </c>
      <c r="G499" t="s">
        <v>619</v>
      </c>
      <c r="H499">
        <v>4500</v>
      </c>
      <c r="I499" t="s">
        <v>2607</v>
      </c>
    </row>
    <row r="500" spans="1:9" x14ac:dyDescent="0.25">
      <c r="A500" s="91">
        <v>46051</v>
      </c>
      <c r="B500" t="s">
        <v>2665</v>
      </c>
      <c r="C500" t="s">
        <v>2209</v>
      </c>
      <c r="D500" t="s">
        <v>2210</v>
      </c>
      <c r="E500" t="s">
        <v>2963</v>
      </c>
      <c r="F500">
        <v>400</v>
      </c>
      <c r="G500" t="s">
        <v>619</v>
      </c>
      <c r="H500">
        <v>400</v>
      </c>
      <c r="I500" t="s">
        <v>2607</v>
      </c>
    </row>
    <row r="501" spans="1:9" x14ac:dyDescent="0.25">
      <c r="A501" s="91">
        <v>46051</v>
      </c>
      <c r="B501" t="s">
        <v>685</v>
      </c>
      <c r="C501" t="s">
        <v>2964</v>
      </c>
      <c r="D501">
        <v>7374</v>
      </c>
      <c r="E501" t="s">
        <v>785</v>
      </c>
      <c r="F501">
        <v>25000</v>
      </c>
      <c r="G501" t="s">
        <v>622</v>
      </c>
      <c r="H501">
        <v>25000</v>
      </c>
      <c r="I501" t="s">
        <v>2633</v>
      </c>
    </row>
    <row r="502" spans="1:9" x14ac:dyDescent="0.25">
      <c r="A502" s="91">
        <v>46051</v>
      </c>
      <c r="B502" t="s">
        <v>2624</v>
      </c>
      <c r="C502" t="s">
        <v>2965</v>
      </c>
      <c r="D502" t="s">
        <v>2937</v>
      </c>
      <c r="E502" t="s">
        <v>2938</v>
      </c>
      <c r="F502">
        <v>3191</v>
      </c>
      <c r="G502" t="s">
        <v>619</v>
      </c>
      <c r="H502">
        <v>3191</v>
      </c>
      <c r="I502" t="s">
        <v>2939</v>
      </c>
    </row>
    <row r="503" spans="1:9" x14ac:dyDescent="0.25">
      <c r="A503" s="91">
        <v>46052</v>
      </c>
      <c r="B503" t="s">
        <v>81</v>
      </c>
      <c r="C503" t="s">
        <v>2966</v>
      </c>
      <c r="D503" t="s">
        <v>2850</v>
      </c>
      <c r="E503" t="s">
        <v>2851</v>
      </c>
      <c r="F503">
        <v>24</v>
      </c>
      <c r="G503" t="s">
        <v>622</v>
      </c>
      <c r="H503">
        <v>24</v>
      </c>
      <c r="I503" t="s">
        <v>2607</v>
      </c>
    </row>
    <row r="504" spans="1:9" x14ac:dyDescent="0.25">
      <c r="A504" s="91">
        <v>46052</v>
      </c>
      <c r="B504" t="s">
        <v>81</v>
      </c>
      <c r="C504" t="s">
        <v>2967</v>
      </c>
      <c r="D504" t="s">
        <v>2822</v>
      </c>
      <c r="E504" t="s">
        <v>2823</v>
      </c>
      <c r="F504">
        <v>48</v>
      </c>
      <c r="G504" t="s">
        <v>622</v>
      </c>
      <c r="H504">
        <v>48</v>
      </c>
      <c r="I504" t="s">
        <v>2607</v>
      </c>
    </row>
    <row r="505" spans="1:9" x14ac:dyDescent="0.25">
      <c r="A505" s="91">
        <v>46052</v>
      </c>
      <c r="B505" t="s">
        <v>81</v>
      </c>
      <c r="C505" t="s">
        <v>2968</v>
      </c>
      <c r="D505">
        <v>2200</v>
      </c>
      <c r="E505" t="s">
        <v>745</v>
      </c>
      <c r="F505">
        <v>168</v>
      </c>
      <c r="G505" t="s">
        <v>622</v>
      </c>
      <c r="H505">
        <v>168</v>
      </c>
      <c r="I505" t="s">
        <v>2607</v>
      </c>
    </row>
    <row r="506" spans="1:9" x14ac:dyDescent="0.25">
      <c r="A506" s="91">
        <v>46052</v>
      </c>
      <c r="B506" t="s">
        <v>81</v>
      </c>
      <c r="C506" t="s">
        <v>2969</v>
      </c>
      <c r="D506" t="s">
        <v>1036</v>
      </c>
      <c r="E506" t="s">
        <v>1037</v>
      </c>
      <c r="F506">
        <v>24</v>
      </c>
      <c r="G506" t="s">
        <v>622</v>
      </c>
      <c r="H506">
        <v>24</v>
      </c>
      <c r="I506" t="s">
        <v>2607</v>
      </c>
    </row>
    <row r="507" spans="1:9" x14ac:dyDescent="0.25">
      <c r="A507" s="91">
        <v>46052</v>
      </c>
      <c r="B507" t="s">
        <v>81</v>
      </c>
      <c r="C507" t="s">
        <v>2970</v>
      </c>
      <c r="D507">
        <v>2236</v>
      </c>
      <c r="E507" t="s">
        <v>791</v>
      </c>
      <c r="F507">
        <v>120</v>
      </c>
      <c r="G507" t="s">
        <v>622</v>
      </c>
      <c r="H507">
        <v>120</v>
      </c>
      <c r="I507" t="s">
        <v>2607</v>
      </c>
    </row>
    <row r="508" spans="1:9" x14ac:dyDescent="0.25">
      <c r="A508" s="91">
        <v>46052</v>
      </c>
      <c r="B508" t="s">
        <v>81</v>
      </c>
      <c r="C508" t="s">
        <v>2971</v>
      </c>
      <c r="D508" t="s">
        <v>1032</v>
      </c>
      <c r="E508" t="s">
        <v>1033</v>
      </c>
      <c r="F508">
        <v>24</v>
      </c>
      <c r="G508" t="s">
        <v>622</v>
      </c>
      <c r="H508">
        <v>24</v>
      </c>
      <c r="I508" t="s">
        <v>2607</v>
      </c>
    </row>
    <row r="509" spans="1:9" x14ac:dyDescent="0.25">
      <c r="A509" s="91">
        <v>46052</v>
      </c>
      <c r="B509" t="s">
        <v>81</v>
      </c>
      <c r="C509" t="s">
        <v>2972</v>
      </c>
      <c r="D509">
        <v>2206</v>
      </c>
      <c r="E509" t="s">
        <v>787</v>
      </c>
      <c r="F509">
        <v>216</v>
      </c>
      <c r="G509" t="s">
        <v>622</v>
      </c>
      <c r="H509">
        <v>216</v>
      </c>
      <c r="I509" t="s">
        <v>2607</v>
      </c>
    </row>
    <row r="510" spans="1:9" x14ac:dyDescent="0.25">
      <c r="A510" s="91">
        <v>46052</v>
      </c>
      <c r="B510" t="s">
        <v>81</v>
      </c>
      <c r="C510" t="s">
        <v>2973</v>
      </c>
      <c r="D510">
        <v>2244</v>
      </c>
      <c r="E510" t="s">
        <v>795</v>
      </c>
      <c r="F510">
        <v>22</v>
      </c>
      <c r="G510" t="s">
        <v>622</v>
      </c>
      <c r="H510">
        <v>22</v>
      </c>
      <c r="I510" t="s">
        <v>2607</v>
      </c>
    </row>
    <row r="511" spans="1:9" x14ac:dyDescent="0.25">
      <c r="A511" s="91">
        <v>46052</v>
      </c>
      <c r="B511" t="s">
        <v>81</v>
      </c>
      <c r="C511" t="s">
        <v>2974</v>
      </c>
      <c r="D511" t="s">
        <v>1034</v>
      </c>
      <c r="E511" t="s">
        <v>1035</v>
      </c>
      <c r="F511">
        <v>48</v>
      </c>
      <c r="G511" t="s">
        <v>622</v>
      </c>
      <c r="H511">
        <v>48</v>
      </c>
      <c r="I511" t="s">
        <v>2607</v>
      </c>
    </row>
    <row r="512" spans="1:9" x14ac:dyDescent="0.25">
      <c r="A512" s="91">
        <v>46052</v>
      </c>
      <c r="B512" t="s">
        <v>81</v>
      </c>
      <c r="C512" t="s">
        <v>2975</v>
      </c>
      <c r="D512" t="s">
        <v>1030</v>
      </c>
      <c r="E512" t="s">
        <v>1031</v>
      </c>
      <c r="F512">
        <v>48</v>
      </c>
      <c r="G512" t="s">
        <v>622</v>
      </c>
      <c r="H512">
        <v>48</v>
      </c>
      <c r="I512" t="s">
        <v>2607</v>
      </c>
    </row>
    <row r="513" spans="1:9" x14ac:dyDescent="0.25">
      <c r="A513" s="91">
        <v>46052</v>
      </c>
      <c r="B513" t="s">
        <v>2652</v>
      </c>
      <c r="C513" t="s">
        <v>2423</v>
      </c>
      <c r="D513">
        <v>2213</v>
      </c>
      <c r="E513" t="s">
        <v>889</v>
      </c>
      <c r="F513">
        <v>173</v>
      </c>
      <c r="G513" t="s">
        <v>622</v>
      </c>
      <c r="H513">
        <v>173</v>
      </c>
      <c r="I513" t="s">
        <v>2607</v>
      </c>
    </row>
    <row r="514" spans="1:9" x14ac:dyDescent="0.25">
      <c r="A514" s="91">
        <v>46052</v>
      </c>
      <c r="B514" t="s">
        <v>81</v>
      </c>
      <c r="C514" t="s">
        <v>2976</v>
      </c>
      <c r="D514" t="s">
        <v>1066</v>
      </c>
      <c r="E514" t="s">
        <v>1067</v>
      </c>
      <c r="F514">
        <v>24</v>
      </c>
      <c r="G514" t="s">
        <v>622</v>
      </c>
      <c r="H514">
        <v>24</v>
      </c>
      <c r="I514" t="s">
        <v>2607</v>
      </c>
    </row>
    <row r="515" spans="1:9" x14ac:dyDescent="0.25">
      <c r="A515" s="91">
        <v>46052</v>
      </c>
      <c r="B515" t="s">
        <v>2652</v>
      </c>
      <c r="C515" t="s">
        <v>2422</v>
      </c>
      <c r="D515">
        <v>2211</v>
      </c>
      <c r="E515" t="s">
        <v>881</v>
      </c>
      <c r="F515">
        <v>229</v>
      </c>
      <c r="G515" t="s">
        <v>622</v>
      </c>
      <c r="H515">
        <v>229</v>
      </c>
      <c r="I515" t="s">
        <v>2607</v>
      </c>
    </row>
    <row r="516" spans="1:9" x14ac:dyDescent="0.25">
      <c r="A516" s="91">
        <v>46052</v>
      </c>
      <c r="B516" t="s">
        <v>2652</v>
      </c>
      <c r="C516" t="s">
        <v>2425</v>
      </c>
      <c r="D516">
        <v>2233</v>
      </c>
      <c r="E516" t="s">
        <v>890</v>
      </c>
      <c r="F516">
        <v>144</v>
      </c>
      <c r="G516" t="s">
        <v>622</v>
      </c>
      <c r="H516">
        <v>144</v>
      </c>
      <c r="I516" t="s">
        <v>2607</v>
      </c>
    </row>
    <row r="517" spans="1:9" x14ac:dyDescent="0.25">
      <c r="A517" s="91">
        <v>46052</v>
      </c>
      <c r="B517" t="s">
        <v>2652</v>
      </c>
      <c r="C517" t="s">
        <v>2429</v>
      </c>
      <c r="D517">
        <v>2247</v>
      </c>
      <c r="E517" t="s">
        <v>1014</v>
      </c>
      <c r="F517">
        <v>108</v>
      </c>
      <c r="G517" t="s">
        <v>622</v>
      </c>
      <c r="H517">
        <v>108</v>
      </c>
      <c r="I517" t="s">
        <v>2607</v>
      </c>
    </row>
    <row r="518" spans="1:9" x14ac:dyDescent="0.25">
      <c r="A518" s="91">
        <v>46052</v>
      </c>
      <c r="B518" t="s">
        <v>2652</v>
      </c>
      <c r="C518" t="s">
        <v>2427</v>
      </c>
      <c r="D518">
        <v>2239</v>
      </c>
      <c r="E518" t="s">
        <v>892</v>
      </c>
      <c r="F518">
        <v>160</v>
      </c>
      <c r="G518" t="s">
        <v>622</v>
      </c>
      <c r="H518">
        <v>160</v>
      </c>
      <c r="I518" t="s">
        <v>2607</v>
      </c>
    </row>
    <row r="519" spans="1:9" x14ac:dyDescent="0.25">
      <c r="A519" s="91">
        <v>46052</v>
      </c>
      <c r="B519" t="s">
        <v>81</v>
      </c>
      <c r="C519" t="s">
        <v>2977</v>
      </c>
      <c r="D519">
        <v>2202</v>
      </c>
      <c r="E519" t="s">
        <v>772</v>
      </c>
      <c r="F519">
        <v>204</v>
      </c>
      <c r="G519" t="s">
        <v>622</v>
      </c>
      <c r="H519">
        <v>204</v>
      </c>
      <c r="I519" t="s">
        <v>2607</v>
      </c>
    </row>
    <row r="520" spans="1:9" x14ac:dyDescent="0.25">
      <c r="A520" s="91">
        <v>46052</v>
      </c>
      <c r="B520" t="s">
        <v>2652</v>
      </c>
      <c r="C520" t="s">
        <v>2978</v>
      </c>
      <c r="D520">
        <v>2249</v>
      </c>
      <c r="E520" t="s">
        <v>1015</v>
      </c>
      <c r="F520">
        <v>144</v>
      </c>
      <c r="G520" t="s">
        <v>622</v>
      </c>
      <c r="H520">
        <v>144</v>
      </c>
      <c r="I520" t="s">
        <v>2607</v>
      </c>
    </row>
    <row r="521" spans="1:9" x14ac:dyDescent="0.25">
      <c r="A521" s="91">
        <v>46052</v>
      </c>
      <c r="B521" t="s">
        <v>2652</v>
      </c>
      <c r="C521" t="s">
        <v>2431</v>
      </c>
      <c r="D521">
        <v>2257</v>
      </c>
      <c r="E521" t="s">
        <v>2296</v>
      </c>
      <c r="F521">
        <v>120</v>
      </c>
      <c r="G521" t="s">
        <v>622</v>
      </c>
      <c r="H521">
        <v>120</v>
      </c>
      <c r="I521" t="s">
        <v>2607</v>
      </c>
    </row>
    <row r="522" spans="1:9" x14ac:dyDescent="0.25">
      <c r="A522" s="91">
        <v>46052</v>
      </c>
      <c r="B522" t="s">
        <v>2614</v>
      </c>
      <c r="C522" t="s">
        <v>2979</v>
      </c>
      <c r="D522">
        <v>900400</v>
      </c>
      <c r="E522" t="s">
        <v>2901</v>
      </c>
      <c r="F522">
        <v>480</v>
      </c>
      <c r="G522" t="s">
        <v>619</v>
      </c>
      <c r="H522">
        <v>480</v>
      </c>
      <c r="I522" t="s">
        <v>2607</v>
      </c>
    </row>
    <row r="523" spans="1:9" x14ac:dyDescent="0.25">
      <c r="A523" s="91">
        <v>46052</v>
      </c>
      <c r="B523" t="s">
        <v>2680</v>
      </c>
      <c r="C523" t="s">
        <v>2980</v>
      </c>
      <c r="D523">
        <v>800500</v>
      </c>
      <c r="E523" t="s">
        <v>2945</v>
      </c>
      <c r="F523">
        <v>900</v>
      </c>
      <c r="G523" t="s">
        <v>619</v>
      </c>
      <c r="H523">
        <v>900</v>
      </c>
      <c r="I523" t="s">
        <v>2939</v>
      </c>
    </row>
    <row r="524" spans="1:9" x14ac:dyDescent="0.25">
      <c r="A524" s="91">
        <v>46052</v>
      </c>
      <c r="B524" t="s">
        <v>81</v>
      </c>
      <c r="C524" t="s">
        <v>2981</v>
      </c>
      <c r="D524" t="s">
        <v>1046</v>
      </c>
      <c r="E524" t="s">
        <v>1047</v>
      </c>
      <c r="F524">
        <v>48</v>
      </c>
      <c r="G524" t="s">
        <v>622</v>
      </c>
      <c r="H524">
        <v>48</v>
      </c>
      <c r="I524" t="s">
        <v>2607</v>
      </c>
    </row>
    <row r="525" spans="1:9" x14ac:dyDescent="0.25">
      <c r="A525" s="91">
        <v>46052</v>
      </c>
      <c r="B525" t="s">
        <v>81</v>
      </c>
      <c r="C525" t="s">
        <v>2982</v>
      </c>
      <c r="D525">
        <v>2204</v>
      </c>
      <c r="E525" t="s">
        <v>747</v>
      </c>
      <c r="F525">
        <v>240</v>
      </c>
      <c r="G525" t="s">
        <v>622</v>
      </c>
      <c r="H525">
        <v>240</v>
      </c>
      <c r="I525" t="s">
        <v>2607</v>
      </c>
    </row>
    <row r="526" spans="1:9" x14ac:dyDescent="0.25">
      <c r="A526" s="91">
        <v>46052</v>
      </c>
      <c r="B526" t="s">
        <v>81</v>
      </c>
      <c r="C526" t="s">
        <v>2983</v>
      </c>
      <c r="D526" t="s">
        <v>1064</v>
      </c>
      <c r="E526" t="s">
        <v>1065</v>
      </c>
      <c r="F526">
        <v>24</v>
      </c>
      <c r="G526" t="s">
        <v>622</v>
      </c>
      <c r="H526">
        <v>24</v>
      </c>
      <c r="I526" t="s">
        <v>2607</v>
      </c>
    </row>
    <row r="527" spans="1:9" x14ac:dyDescent="0.25">
      <c r="A527" s="91">
        <v>46052</v>
      </c>
      <c r="B527" t="s">
        <v>81</v>
      </c>
      <c r="C527" t="s">
        <v>2984</v>
      </c>
      <c r="D527" t="s">
        <v>1056</v>
      </c>
      <c r="E527" t="s">
        <v>1057</v>
      </c>
      <c r="F527">
        <v>24</v>
      </c>
      <c r="G527" t="s">
        <v>622</v>
      </c>
      <c r="H527">
        <v>24</v>
      </c>
      <c r="I527" t="s">
        <v>2607</v>
      </c>
    </row>
    <row r="528" spans="1:9" x14ac:dyDescent="0.25">
      <c r="A528" s="91">
        <v>46052</v>
      </c>
      <c r="B528" t="s">
        <v>81</v>
      </c>
      <c r="C528" t="s">
        <v>2985</v>
      </c>
      <c r="D528" t="s">
        <v>1215</v>
      </c>
      <c r="E528" t="s">
        <v>1216</v>
      </c>
      <c r="F528">
        <v>48</v>
      </c>
      <c r="G528" t="s">
        <v>622</v>
      </c>
      <c r="H528">
        <v>48</v>
      </c>
      <c r="I528" t="s">
        <v>2607</v>
      </c>
    </row>
    <row r="529" spans="1:9" x14ac:dyDescent="0.25">
      <c r="A529" s="91">
        <v>46052</v>
      </c>
      <c r="B529" t="s">
        <v>688</v>
      </c>
      <c r="C529" t="s">
        <v>2986</v>
      </c>
      <c r="D529">
        <v>7741</v>
      </c>
      <c r="E529" t="s">
        <v>690</v>
      </c>
      <c r="F529">
        <v>68000</v>
      </c>
      <c r="G529" t="s">
        <v>622</v>
      </c>
      <c r="H529">
        <v>68000</v>
      </c>
      <c r="I529" t="s">
        <v>2633</v>
      </c>
    </row>
    <row r="530" spans="1:9" x14ac:dyDescent="0.25">
      <c r="A530" s="91">
        <v>46052</v>
      </c>
      <c r="B530" t="s">
        <v>682</v>
      </c>
      <c r="C530" t="s">
        <v>2987</v>
      </c>
      <c r="D530" t="s">
        <v>806</v>
      </c>
      <c r="E530" t="s">
        <v>807</v>
      </c>
      <c r="F530">
        <v>28000</v>
      </c>
      <c r="G530" t="s">
        <v>622</v>
      </c>
      <c r="H530">
        <v>28000</v>
      </c>
      <c r="I530" t="s">
        <v>2633</v>
      </c>
    </row>
    <row r="531" spans="1:9" x14ac:dyDescent="0.25">
      <c r="A531" s="91">
        <v>46052</v>
      </c>
      <c r="B531" t="s">
        <v>679</v>
      </c>
      <c r="C531" t="s">
        <v>2988</v>
      </c>
      <c r="D531">
        <v>7212</v>
      </c>
      <c r="E531" t="s">
        <v>681</v>
      </c>
      <c r="F531">
        <v>85000</v>
      </c>
      <c r="G531" t="s">
        <v>622</v>
      </c>
      <c r="H531">
        <v>85000</v>
      </c>
      <c r="I531" t="s">
        <v>2633</v>
      </c>
    </row>
    <row r="532" spans="1:9" x14ac:dyDescent="0.25">
      <c r="A532" s="91">
        <v>46052</v>
      </c>
      <c r="B532" t="s">
        <v>712</v>
      </c>
      <c r="C532" t="s">
        <v>1445</v>
      </c>
      <c r="D532" t="s">
        <v>1127</v>
      </c>
      <c r="E532" t="s">
        <v>713</v>
      </c>
      <c r="F532">
        <v>40000</v>
      </c>
      <c r="G532" t="s">
        <v>622</v>
      </c>
      <c r="H532">
        <v>40000</v>
      </c>
      <c r="I532" t="s">
        <v>2607</v>
      </c>
    </row>
    <row r="533" spans="1:9" x14ac:dyDescent="0.25">
      <c r="A533" s="91">
        <v>46052</v>
      </c>
      <c r="B533" t="s">
        <v>2624</v>
      </c>
      <c r="C533" t="s">
        <v>2989</v>
      </c>
      <c r="D533" t="s">
        <v>2694</v>
      </c>
      <c r="E533" t="s">
        <v>2695</v>
      </c>
      <c r="F533">
        <v>2083</v>
      </c>
      <c r="G533" t="s">
        <v>619</v>
      </c>
      <c r="H533">
        <v>2083</v>
      </c>
      <c r="I533" t="s">
        <v>2607</v>
      </c>
    </row>
    <row r="534" spans="1:9" x14ac:dyDescent="0.25">
      <c r="A534" s="91">
        <v>46052</v>
      </c>
      <c r="B534" t="s">
        <v>2621</v>
      </c>
      <c r="C534" t="s">
        <v>2990</v>
      </c>
      <c r="D534" t="s">
        <v>2713</v>
      </c>
      <c r="E534" t="s">
        <v>2714</v>
      </c>
      <c r="F534">
        <v>3505</v>
      </c>
      <c r="G534" t="s">
        <v>619</v>
      </c>
      <c r="H534">
        <v>3505</v>
      </c>
      <c r="I534" t="s">
        <v>2607</v>
      </c>
    </row>
    <row r="535" spans="1:9" x14ac:dyDescent="0.25">
      <c r="A535" s="91">
        <v>46052</v>
      </c>
      <c r="B535" t="s">
        <v>693</v>
      </c>
      <c r="C535" t="s">
        <v>2991</v>
      </c>
      <c r="D535">
        <v>910326</v>
      </c>
      <c r="E535" t="s">
        <v>1583</v>
      </c>
      <c r="F535">
        <v>7080</v>
      </c>
      <c r="G535" t="s">
        <v>619</v>
      </c>
      <c r="H535">
        <v>7080</v>
      </c>
      <c r="I535" t="s">
        <v>2607</v>
      </c>
    </row>
    <row r="536" spans="1:9" x14ac:dyDescent="0.25">
      <c r="A536" s="91">
        <v>46052</v>
      </c>
      <c r="B536" t="s">
        <v>693</v>
      </c>
      <c r="C536" t="s">
        <v>2992</v>
      </c>
      <c r="D536">
        <v>910526</v>
      </c>
      <c r="E536" t="s">
        <v>1602</v>
      </c>
      <c r="F536">
        <v>7080</v>
      </c>
      <c r="G536" t="s">
        <v>619</v>
      </c>
      <c r="H536">
        <v>7080</v>
      </c>
      <c r="I536" t="s">
        <v>2607</v>
      </c>
    </row>
    <row r="537" spans="1:9" x14ac:dyDescent="0.25">
      <c r="A537" s="91">
        <v>46052</v>
      </c>
      <c r="B537" t="s">
        <v>2665</v>
      </c>
      <c r="C537" t="s">
        <v>2043</v>
      </c>
      <c r="D537" t="s">
        <v>2044</v>
      </c>
      <c r="E537" t="s">
        <v>2993</v>
      </c>
      <c r="F537">
        <v>6250</v>
      </c>
      <c r="G537" t="s">
        <v>619</v>
      </c>
      <c r="H537">
        <v>6250</v>
      </c>
      <c r="I537" t="s">
        <v>2607</v>
      </c>
    </row>
    <row r="538" spans="1:9" x14ac:dyDescent="0.25">
      <c r="A538" s="91">
        <v>46052</v>
      </c>
      <c r="B538" t="s">
        <v>2665</v>
      </c>
      <c r="C538" t="s">
        <v>2434</v>
      </c>
      <c r="D538" t="s">
        <v>2435</v>
      </c>
      <c r="E538" t="s">
        <v>2436</v>
      </c>
      <c r="F538">
        <v>250</v>
      </c>
      <c r="G538" t="s">
        <v>619</v>
      </c>
      <c r="H538">
        <v>250</v>
      </c>
      <c r="I538" t="s">
        <v>2607</v>
      </c>
    </row>
    <row r="539" spans="1:9" x14ac:dyDescent="0.25">
      <c r="A539" s="91">
        <v>46052</v>
      </c>
      <c r="B539">
        <v>7002</v>
      </c>
      <c r="C539" t="s">
        <v>2994</v>
      </c>
      <c r="D539">
        <v>961517</v>
      </c>
      <c r="E539" t="s">
        <v>2960</v>
      </c>
      <c r="F539">
        <v>345</v>
      </c>
      <c r="G539" t="s">
        <v>619</v>
      </c>
      <c r="H539">
        <v>345</v>
      </c>
      <c r="I539" t="s">
        <v>2607</v>
      </c>
    </row>
    <row r="540" spans="1:9" x14ac:dyDescent="0.25">
      <c r="A540" s="91">
        <v>46052</v>
      </c>
      <c r="B540" t="s">
        <v>2665</v>
      </c>
      <c r="C540" t="s">
        <v>2415</v>
      </c>
      <c r="D540" t="s">
        <v>2416</v>
      </c>
      <c r="E540" t="s">
        <v>2417</v>
      </c>
      <c r="F540">
        <v>250</v>
      </c>
      <c r="G540" t="s">
        <v>619</v>
      </c>
      <c r="H540">
        <v>250</v>
      </c>
      <c r="I540" t="s">
        <v>2607</v>
      </c>
    </row>
    <row r="541" spans="1:9" x14ac:dyDescent="0.25">
      <c r="A541" s="91">
        <v>46052</v>
      </c>
      <c r="B541" t="s">
        <v>2665</v>
      </c>
      <c r="C541" t="s">
        <v>2404</v>
      </c>
      <c r="D541" t="s">
        <v>2405</v>
      </c>
      <c r="E541" t="s">
        <v>2406</v>
      </c>
      <c r="F541">
        <v>250</v>
      </c>
      <c r="G541" t="s">
        <v>619</v>
      </c>
      <c r="H541">
        <v>250</v>
      </c>
      <c r="I541" t="s">
        <v>2607</v>
      </c>
    </row>
    <row r="542" spans="1:9" x14ac:dyDescent="0.25">
      <c r="A542" s="91">
        <v>46052</v>
      </c>
      <c r="B542" t="s">
        <v>81</v>
      </c>
      <c r="C542" t="s">
        <v>2995</v>
      </c>
      <c r="D542">
        <v>2242</v>
      </c>
      <c r="E542" t="s">
        <v>793</v>
      </c>
      <c r="F542">
        <v>24</v>
      </c>
      <c r="G542" t="s">
        <v>622</v>
      </c>
      <c r="H542">
        <v>24</v>
      </c>
      <c r="I542" t="s">
        <v>2607</v>
      </c>
    </row>
    <row r="543" spans="1:9" x14ac:dyDescent="0.25">
      <c r="A543" s="91">
        <v>46052</v>
      </c>
      <c r="B543" t="s">
        <v>81</v>
      </c>
      <c r="C543" t="s">
        <v>2996</v>
      </c>
      <c r="D543" t="s">
        <v>2830</v>
      </c>
      <c r="E543" t="s">
        <v>2831</v>
      </c>
      <c r="F543">
        <v>24</v>
      </c>
      <c r="G543" t="s">
        <v>622</v>
      </c>
      <c r="H543">
        <v>24</v>
      </c>
      <c r="I543" t="s">
        <v>2607</v>
      </c>
    </row>
    <row r="544" spans="1:9" x14ac:dyDescent="0.25">
      <c r="A544" s="91">
        <v>46052</v>
      </c>
      <c r="B544" t="s">
        <v>2608</v>
      </c>
      <c r="C544" t="s">
        <v>2112</v>
      </c>
      <c r="D544">
        <v>7033</v>
      </c>
      <c r="E544" t="s">
        <v>1109</v>
      </c>
      <c r="F544">
        <v>95000</v>
      </c>
      <c r="G544" t="s">
        <v>622</v>
      </c>
      <c r="H544">
        <v>95000</v>
      </c>
      <c r="I544" t="s">
        <v>2609</v>
      </c>
    </row>
    <row r="545" spans="1:9" x14ac:dyDescent="0.25">
      <c r="A545" s="91">
        <v>46052</v>
      </c>
      <c r="B545" t="s">
        <v>81</v>
      </c>
      <c r="C545" t="s">
        <v>2997</v>
      </c>
      <c r="D545">
        <v>2256</v>
      </c>
      <c r="E545" t="s">
        <v>801</v>
      </c>
      <c r="F545">
        <v>15</v>
      </c>
      <c r="G545" t="s">
        <v>622</v>
      </c>
      <c r="H545">
        <v>15</v>
      </c>
      <c r="I545" t="s">
        <v>2607</v>
      </c>
    </row>
    <row r="546" spans="1:9" x14ac:dyDescent="0.25">
      <c r="A546" s="91">
        <v>46052</v>
      </c>
      <c r="B546" t="s">
        <v>2606</v>
      </c>
      <c r="C546" t="s">
        <v>2071</v>
      </c>
      <c r="D546">
        <v>85203</v>
      </c>
      <c r="E546" t="s">
        <v>2998</v>
      </c>
      <c r="F546">
        <v>6250</v>
      </c>
      <c r="G546" t="s">
        <v>619</v>
      </c>
      <c r="H546">
        <v>6250</v>
      </c>
      <c r="I546" t="s">
        <v>2607</v>
      </c>
    </row>
    <row r="547" spans="1:9" x14ac:dyDescent="0.25">
      <c r="A547" s="91">
        <v>46052</v>
      </c>
      <c r="B547" t="s">
        <v>685</v>
      </c>
      <c r="C547" t="s">
        <v>2999</v>
      </c>
      <c r="D547">
        <v>7374</v>
      </c>
      <c r="E547" t="s">
        <v>785</v>
      </c>
      <c r="F547">
        <v>25000</v>
      </c>
      <c r="G547" t="s">
        <v>622</v>
      </c>
      <c r="H547">
        <v>25000</v>
      </c>
      <c r="I547" t="s">
        <v>2633</v>
      </c>
    </row>
    <row r="548" spans="1:9" x14ac:dyDescent="0.25">
      <c r="A548" s="91">
        <v>46052</v>
      </c>
      <c r="B548" t="s">
        <v>2665</v>
      </c>
      <c r="C548" t="s">
        <v>2401</v>
      </c>
      <c r="D548" t="s">
        <v>2402</v>
      </c>
      <c r="E548" t="s">
        <v>2403</v>
      </c>
      <c r="F548">
        <v>250</v>
      </c>
      <c r="G548" t="s">
        <v>619</v>
      </c>
      <c r="H548">
        <v>250</v>
      </c>
      <c r="I548" t="s">
        <v>2607</v>
      </c>
    </row>
    <row r="549" spans="1:9" x14ac:dyDescent="0.25">
      <c r="A549" s="91">
        <v>46052</v>
      </c>
      <c r="B549" t="s">
        <v>2606</v>
      </c>
      <c r="C549" t="s">
        <v>2414</v>
      </c>
      <c r="D549">
        <v>220125</v>
      </c>
      <c r="E549" t="s">
        <v>2700</v>
      </c>
      <c r="F549">
        <v>3000</v>
      </c>
      <c r="G549" t="s">
        <v>619</v>
      </c>
      <c r="H549">
        <v>3000</v>
      </c>
      <c r="I549" t="s">
        <v>2607</v>
      </c>
    </row>
    <row r="550" spans="1:9" x14ac:dyDescent="0.25">
      <c r="A550" s="91">
        <v>46055</v>
      </c>
      <c r="B550" t="s">
        <v>81</v>
      </c>
      <c r="C550" t="s">
        <v>3000</v>
      </c>
      <c r="D550">
        <v>2208</v>
      </c>
      <c r="E550" t="s">
        <v>758</v>
      </c>
      <c r="F550">
        <v>108</v>
      </c>
      <c r="G550" t="s">
        <v>622</v>
      </c>
      <c r="H550">
        <v>108</v>
      </c>
      <c r="I550" t="s">
        <v>2607</v>
      </c>
    </row>
    <row r="551" spans="1:9" x14ac:dyDescent="0.25">
      <c r="A551" s="91">
        <v>46055</v>
      </c>
      <c r="B551" t="s">
        <v>2652</v>
      </c>
      <c r="C551" t="s">
        <v>2290</v>
      </c>
      <c r="D551" t="s">
        <v>988</v>
      </c>
      <c r="E551" t="s">
        <v>989</v>
      </c>
      <c r="F551">
        <v>24</v>
      </c>
      <c r="G551" t="s">
        <v>622</v>
      </c>
      <c r="H551">
        <v>24</v>
      </c>
      <c r="I551" t="s">
        <v>2607</v>
      </c>
    </row>
    <row r="552" spans="1:9" x14ac:dyDescent="0.25">
      <c r="A552" s="91">
        <v>46055</v>
      </c>
      <c r="B552" t="s">
        <v>81</v>
      </c>
      <c r="C552" t="s">
        <v>3001</v>
      </c>
      <c r="D552">
        <v>2234</v>
      </c>
      <c r="E552" t="s">
        <v>789</v>
      </c>
      <c r="F552">
        <v>120</v>
      </c>
      <c r="G552" t="s">
        <v>622</v>
      </c>
      <c r="H552">
        <v>120</v>
      </c>
      <c r="I552" t="s">
        <v>2607</v>
      </c>
    </row>
    <row r="553" spans="1:9" x14ac:dyDescent="0.25">
      <c r="A553" s="91">
        <v>46055</v>
      </c>
      <c r="B553" t="s">
        <v>81</v>
      </c>
      <c r="C553" t="s">
        <v>3002</v>
      </c>
      <c r="D553">
        <v>2248</v>
      </c>
      <c r="E553" t="s">
        <v>751</v>
      </c>
      <c r="F553">
        <v>48</v>
      </c>
      <c r="G553" t="s">
        <v>622</v>
      </c>
      <c r="H553">
        <v>48</v>
      </c>
      <c r="I553" t="s">
        <v>2607</v>
      </c>
    </row>
    <row r="554" spans="1:9" x14ac:dyDescent="0.25">
      <c r="A554" s="91">
        <v>46055</v>
      </c>
      <c r="B554" t="s">
        <v>2614</v>
      </c>
      <c r="C554" t="s">
        <v>3003</v>
      </c>
      <c r="D554">
        <v>900400</v>
      </c>
      <c r="E554" t="s">
        <v>2901</v>
      </c>
      <c r="F554">
        <v>480</v>
      </c>
      <c r="G554" t="s">
        <v>619</v>
      </c>
      <c r="H554">
        <v>480</v>
      </c>
      <c r="I554" t="s">
        <v>2607</v>
      </c>
    </row>
    <row r="555" spans="1:9" x14ac:dyDescent="0.25">
      <c r="A555" s="91">
        <v>46055</v>
      </c>
      <c r="B555" t="s">
        <v>81</v>
      </c>
      <c r="C555" t="s">
        <v>3004</v>
      </c>
      <c r="D555">
        <v>2238</v>
      </c>
      <c r="E555" t="s">
        <v>760</v>
      </c>
      <c r="F555">
        <v>156</v>
      </c>
      <c r="G555" t="s">
        <v>622</v>
      </c>
      <c r="H555">
        <v>156</v>
      </c>
      <c r="I555" t="s">
        <v>2607</v>
      </c>
    </row>
    <row r="556" spans="1:9" x14ac:dyDescent="0.25">
      <c r="A556" s="91">
        <v>46055</v>
      </c>
      <c r="B556" t="s">
        <v>81</v>
      </c>
      <c r="C556" t="s">
        <v>3005</v>
      </c>
      <c r="D556">
        <v>2246</v>
      </c>
      <c r="E556" t="s">
        <v>764</v>
      </c>
      <c r="F556">
        <v>24</v>
      </c>
      <c r="G556" t="s">
        <v>622</v>
      </c>
      <c r="H556">
        <v>24</v>
      </c>
      <c r="I556" t="s">
        <v>2607</v>
      </c>
    </row>
    <row r="557" spans="1:9" x14ac:dyDescent="0.25">
      <c r="A557" s="91">
        <v>46055</v>
      </c>
      <c r="B557" t="s">
        <v>81</v>
      </c>
      <c r="C557" t="s">
        <v>3006</v>
      </c>
      <c r="D557">
        <v>2232</v>
      </c>
      <c r="E557" t="s">
        <v>778</v>
      </c>
      <c r="F557">
        <v>144</v>
      </c>
      <c r="G557" t="s">
        <v>622</v>
      </c>
      <c r="H557">
        <v>144</v>
      </c>
      <c r="I557" t="s">
        <v>2607</v>
      </c>
    </row>
    <row r="558" spans="1:9" x14ac:dyDescent="0.25">
      <c r="A558" s="91">
        <v>46055</v>
      </c>
      <c r="B558" t="s">
        <v>2652</v>
      </c>
      <c r="C558" t="s">
        <v>2242</v>
      </c>
      <c r="D558" t="s">
        <v>956</v>
      </c>
      <c r="E558" t="s">
        <v>957</v>
      </c>
      <c r="F558">
        <v>24</v>
      </c>
      <c r="G558" t="s">
        <v>622</v>
      </c>
      <c r="H558">
        <v>24</v>
      </c>
      <c r="I558" t="s">
        <v>2607</v>
      </c>
    </row>
    <row r="559" spans="1:9" x14ac:dyDescent="0.25">
      <c r="A559" s="91">
        <v>46055</v>
      </c>
      <c r="B559" t="s">
        <v>2652</v>
      </c>
      <c r="C559" t="s">
        <v>2262</v>
      </c>
      <c r="D559" t="s">
        <v>966</v>
      </c>
      <c r="E559" t="s">
        <v>967</v>
      </c>
      <c r="F559">
        <v>48</v>
      </c>
      <c r="G559" t="s">
        <v>622</v>
      </c>
      <c r="H559">
        <v>48</v>
      </c>
      <c r="I559" t="s">
        <v>2607</v>
      </c>
    </row>
    <row r="560" spans="1:9" x14ac:dyDescent="0.25">
      <c r="A560" s="91">
        <v>46055</v>
      </c>
      <c r="B560" t="s">
        <v>2652</v>
      </c>
      <c r="C560" t="s">
        <v>2278</v>
      </c>
      <c r="D560" t="s">
        <v>978</v>
      </c>
      <c r="E560" t="s">
        <v>979</v>
      </c>
      <c r="F560">
        <v>24</v>
      </c>
      <c r="G560" t="s">
        <v>622</v>
      </c>
      <c r="H560">
        <v>24</v>
      </c>
      <c r="I560" t="s">
        <v>2607</v>
      </c>
    </row>
    <row r="561" spans="1:9" x14ac:dyDescent="0.25">
      <c r="A561" s="91">
        <v>46055</v>
      </c>
      <c r="B561" t="s">
        <v>2652</v>
      </c>
      <c r="C561" t="s">
        <v>2246</v>
      </c>
      <c r="D561" t="s">
        <v>958</v>
      </c>
      <c r="E561" t="s">
        <v>959</v>
      </c>
      <c r="F561">
        <v>48</v>
      </c>
      <c r="G561" t="s">
        <v>622</v>
      </c>
      <c r="H561">
        <v>48</v>
      </c>
      <c r="I561" t="s">
        <v>2607</v>
      </c>
    </row>
    <row r="562" spans="1:9" x14ac:dyDescent="0.25">
      <c r="A562" s="91">
        <v>46055</v>
      </c>
      <c r="B562" t="s">
        <v>2652</v>
      </c>
      <c r="C562" t="s">
        <v>2239</v>
      </c>
      <c r="D562" t="s">
        <v>954</v>
      </c>
      <c r="E562" t="s">
        <v>955</v>
      </c>
      <c r="F562">
        <v>48</v>
      </c>
      <c r="G562" t="s">
        <v>622</v>
      </c>
      <c r="H562">
        <v>48</v>
      </c>
      <c r="I562" t="s">
        <v>2607</v>
      </c>
    </row>
    <row r="563" spans="1:9" x14ac:dyDescent="0.25">
      <c r="A563" s="91">
        <v>46055</v>
      </c>
      <c r="B563" t="s">
        <v>2652</v>
      </c>
      <c r="C563" t="s">
        <v>2294</v>
      </c>
      <c r="D563" t="s">
        <v>990</v>
      </c>
      <c r="E563" t="s">
        <v>991</v>
      </c>
      <c r="F563">
        <v>24</v>
      </c>
      <c r="G563" t="s">
        <v>622</v>
      </c>
      <c r="H563">
        <v>24</v>
      </c>
      <c r="I563" t="s">
        <v>2607</v>
      </c>
    </row>
    <row r="564" spans="1:9" x14ac:dyDescent="0.25">
      <c r="A564" s="91">
        <v>46055</v>
      </c>
      <c r="B564" t="s">
        <v>2652</v>
      </c>
      <c r="C564" t="s">
        <v>2299</v>
      </c>
      <c r="D564" t="s">
        <v>992</v>
      </c>
      <c r="E564" t="s">
        <v>993</v>
      </c>
      <c r="F564">
        <v>24</v>
      </c>
      <c r="G564" t="s">
        <v>622</v>
      </c>
      <c r="H564">
        <v>24</v>
      </c>
      <c r="I564" t="s">
        <v>2607</v>
      </c>
    </row>
    <row r="565" spans="1:9" x14ac:dyDescent="0.25">
      <c r="A565" s="91">
        <v>46055</v>
      </c>
      <c r="B565" t="s">
        <v>2652</v>
      </c>
      <c r="C565" t="s">
        <v>2250</v>
      </c>
      <c r="D565" t="s">
        <v>960</v>
      </c>
      <c r="E565" t="s">
        <v>961</v>
      </c>
      <c r="F565">
        <v>24</v>
      </c>
      <c r="G565" t="s">
        <v>622</v>
      </c>
      <c r="H565">
        <v>24</v>
      </c>
      <c r="I565" t="s">
        <v>2607</v>
      </c>
    </row>
    <row r="566" spans="1:9" x14ac:dyDescent="0.25">
      <c r="A566" s="91">
        <v>46055</v>
      </c>
      <c r="B566" t="s">
        <v>2652</v>
      </c>
      <c r="C566" t="s">
        <v>2270</v>
      </c>
      <c r="D566" t="s">
        <v>972</v>
      </c>
      <c r="E566" t="s">
        <v>973</v>
      </c>
      <c r="F566">
        <v>48</v>
      </c>
      <c r="G566" t="s">
        <v>622</v>
      </c>
      <c r="H566">
        <v>48</v>
      </c>
      <c r="I566" t="s">
        <v>2607</v>
      </c>
    </row>
    <row r="567" spans="1:9" x14ac:dyDescent="0.25">
      <c r="A567" s="91">
        <v>46055</v>
      </c>
      <c r="B567" t="s">
        <v>2652</v>
      </c>
      <c r="C567" t="s">
        <v>2303</v>
      </c>
      <c r="D567" t="s">
        <v>1099</v>
      </c>
      <c r="E567" t="s">
        <v>1100</v>
      </c>
      <c r="F567">
        <v>48</v>
      </c>
      <c r="G567" t="s">
        <v>622</v>
      </c>
      <c r="H567">
        <v>48</v>
      </c>
      <c r="I567" t="s">
        <v>2607</v>
      </c>
    </row>
    <row r="568" spans="1:9" x14ac:dyDescent="0.25">
      <c r="A568" s="91">
        <v>46055</v>
      </c>
      <c r="B568" t="s">
        <v>2617</v>
      </c>
      <c r="C568" t="s">
        <v>3007</v>
      </c>
      <c r="D568">
        <v>5150010451</v>
      </c>
      <c r="E568" t="s">
        <v>2706</v>
      </c>
      <c r="F568">
        <v>2256</v>
      </c>
      <c r="G568" t="s">
        <v>619</v>
      </c>
      <c r="H568">
        <v>2256</v>
      </c>
      <c r="I568" t="s">
        <v>2607</v>
      </c>
    </row>
    <row r="569" spans="1:9" x14ac:dyDescent="0.25">
      <c r="A569" s="91">
        <v>46055</v>
      </c>
      <c r="B569" t="s">
        <v>81</v>
      </c>
      <c r="C569" t="s">
        <v>3008</v>
      </c>
      <c r="D569">
        <v>2210</v>
      </c>
      <c r="E569" t="s">
        <v>774</v>
      </c>
      <c r="F569">
        <v>240</v>
      </c>
      <c r="G569" t="s">
        <v>622</v>
      </c>
      <c r="H569">
        <v>240</v>
      </c>
      <c r="I569" t="s">
        <v>2607</v>
      </c>
    </row>
    <row r="570" spans="1:9" x14ac:dyDescent="0.25">
      <c r="A570" s="91">
        <v>46055</v>
      </c>
      <c r="B570" t="s">
        <v>2652</v>
      </c>
      <c r="C570" t="s">
        <v>2280</v>
      </c>
      <c r="D570" t="s">
        <v>980</v>
      </c>
      <c r="E570" t="s">
        <v>981</v>
      </c>
      <c r="F570">
        <v>24</v>
      </c>
      <c r="G570" t="s">
        <v>622</v>
      </c>
      <c r="H570">
        <v>24</v>
      </c>
      <c r="I570" t="s">
        <v>2607</v>
      </c>
    </row>
    <row r="571" spans="1:9" x14ac:dyDescent="0.25">
      <c r="A571" s="91">
        <v>46055</v>
      </c>
      <c r="B571" t="s">
        <v>2608</v>
      </c>
      <c r="C571" t="s">
        <v>2119</v>
      </c>
      <c r="D571">
        <v>7076</v>
      </c>
      <c r="E571" t="s">
        <v>634</v>
      </c>
      <c r="F571">
        <v>95000</v>
      </c>
      <c r="G571" t="s">
        <v>622</v>
      </c>
      <c r="H571">
        <v>95000</v>
      </c>
      <c r="I571" t="s">
        <v>2609</v>
      </c>
    </row>
    <row r="572" spans="1:9" x14ac:dyDescent="0.25">
      <c r="A572" s="91">
        <v>46055</v>
      </c>
      <c r="B572" t="s">
        <v>81</v>
      </c>
      <c r="C572" t="s">
        <v>3009</v>
      </c>
      <c r="D572">
        <v>2212</v>
      </c>
      <c r="E572" t="s">
        <v>776</v>
      </c>
      <c r="F572">
        <v>156</v>
      </c>
      <c r="G572" t="s">
        <v>622</v>
      </c>
      <c r="H572">
        <v>156</v>
      </c>
      <c r="I572" t="s">
        <v>2607</v>
      </c>
    </row>
    <row r="573" spans="1:9" x14ac:dyDescent="0.25">
      <c r="A573" s="91">
        <v>46055</v>
      </c>
      <c r="B573" t="s">
        <v>2606</v>
      </c>
      <c r="C573" t="s">
        <v>2432</v>
      </c>
      <c r="D573">
        <v>220125</v>
      </c>
      <c r="E573" t="s">
        <v>2700</v>
      </c>
      <c r="F573">
        <v>3500</v>
      </c>
      <c r="G573" t="s">
        <v>619</v>
      </c>
      <c r="H573">
        <v>3500</v>
      </c>
      <c r="I573" t="s">
        <v>2607</v>
      </c>
    </row>
    <row r="574" spans="1:9" x14ac:dyDescent="0.25">
      <c r="A574" s="91">
        <v>46055</v>
      </c>
      <c r="B574" t="s">
        <v>2608</v>
      </c>
      <c r="C574" t="s">
        <v>2121</v>
      </c>
      <c r="D574">
        <v>7121</v>
      </c>
      <c r="E574" t="s">
        <v>635</v>
      </c>
      <c r="F574">
        <v>95000</v>
      </c>
      <c r="G574" t="s">
        <v>622</v>
      </c>
      <c r="H574">
        <v>95000</v>
      </c>
      <c r="I574" t="s">
        <v>2609</v>
      </c>
    </row>
    <row r="575" spans="1:9" x14ac:dyDescent="0.25">
      <c r="A575" s="91">
        <v>46055</v>
      </c>
      <c r="B575">
        <v>7002</v>
      </c>
      <c r="C575" t="s">
        <v>3010</v>
      </c>
      <c r="D575">
        <v>961517</v>
      </c>
      <c r="E575" t="s">
        <v>2960</v>
      </c>
      <c r="F575">
        <v>345</v>
      </c>
      <c r="G575" t="s">
        <v>619</v>
      </c>
      <c r="H575">
        <v>345</v>
      </c>
      <c r="I575" t="s">
        <v>2607</v>
      </c>
    </row>
    <row r="576" spans="1:9" x14ac:dyDescent="0.25">
      <c r="A576" s="91">
        <v>46055</v>
      </c>
      <c r="B576">
        <v>7002</v>
      </c>
      <c r="C576" t="s">
        <v>3011</v>
      </c>
      <c r="D576">
        <v>961517</v>
      </c>
      <c r="E576" t="s">
        <v>2960</v>
      </c>
      <c r="F576">
        <v>345</v>
      </c>
      <c r="G576" t="s">
        <v>619</v>
      </c>
      <c r="H576">
        <v>345</v>
      </c>
      <c r="I576" t="s">
        <v>2607</v>
      </c>
    </row>
    <row r="577" spans="1:9" x14ac:dyDescent="0.25">
      <c r="A577" s="91">
        <v>46055</v>
      </c>
      <c r="B577" t="s">
        <v>682</v>
      </c>
      <c r="C577" t="s">
        <v>3012</v>
      </c>
      <c r="D577">
        <v>7279</v>
      </c>
      <c r="E577" t="s">
        <v>754</v>
      </c>
      <c r="F577">
        <v>29000</v>
      </c>
      <c r="G577" t="s">
        <v>622</v>
      </c>
      <c r="H577">
        <v>29000</v>
      </c>
      <c r="I577" t="s">
        <v>2633</v>
      </c>
    </row>
    <row r="578" spans="1:9" x14ac:dyDescent="0.25">
      <c r="A578" s="91">
        <v>46055</v>
      </c>
      <c r="B578" t="s">
        <v>712</v>
      </c>
      <c r="C578" t="s">
        <v>1439</v>
      </c>
      <c r="D578" t="s">
        <v>1127</v>
      </c>
      <c r="E578" t="s">
        <v>713</v>
      </c>
      <c r="F578">
        <v>40000</v>
      </c>
      <c r="G578" t="s">
        <v>622</v>
      </c>
      <c r="H578">
        <v>40000</v>
      </c>
      <c r="I578" t="s">
        <v>2607</v>
      </c>
    </row>
    <row r="579" spans="1:9" x14ac:dyDescent="0.25">
      <c r="A579" s="91">
        <v>46055</v>
      </c>
      <c r="B579" t="s">
        <v>2628</v>
      </c>
      <c r="C579" t="s">
        <v>3013</v>
      </c>
      <c r="D579">
        <v>9011235</v>
      </c>
      <c r="E579" t="s">
        <v>2630</v>
      </c>
      <c r="F579">
        <v>700</v>
      </c>
      <c r="G579" t="s">
        <v>619</v>
      </c>
      <c r="H579">
        <v>700</v>
      </c>
      <c r="I579" t="s">
        <v>2607</v>
      </c>
    </row>
    <row r="580" spans="1:9" x14ac:dyDescent="0.25">
      <c r="A580" s="91">
        <v>46055</v>
      </c>
      <c r="B580" t="s">
        <v>2624</v>
      </c>
      <c r="C580" t="s">
        <v>3014</v>
      </c>
      <c r="D580" t="s">
        <v>2793</v>
      </c>
      <c r="E580" t="s">
        <v>2794</v>
      </c>
      <c r="F580">
        <v>1000</v>
      </c>
      <c r="G580" t="s">
        <v>619</v>
      </c>
      <c r="H580">
        <v>1000</v>
      </c>
      <c r="I580" t="s">
        <v>2607</v>
      </c>
    </row>
    <row r="581" spans="1:9" x14ac:dyDescent="0.25">
      <c r="A581" s="91">
        <v>46055</v>
      </c>
      <c r="B581" t="s">
        <v>2624</v>
      </c>
      <c r="C581" t="s">
        <v>3015</v>
      </c>
      <c r="D581" t="s">
        <v>2694</v>
      </c>
      <c r="E581" t="s">
        <v>2695</v>
      </c>
      <c r="F581">
        <v>1000</v>
      </c>
      <c r="G581" t="s">
        <v>619</v>
      </c>
      <c r="H581">
        <v>1000</v>
      </c>
      <c r="I581" t="s">
        <v>2607</v>
      </c>
    </row>
    <row r="582" spans="1:9" x14ac:dyDescent="0.25">
      <c r="A582" s="91">
        <v>46055</v>
      </c>
      <c r="B582" t="s">
        <v>2621</v>
      </c>
      <c r="C582" t="s">
        <v>3016</v>
      </c>
      <c r="D582" t="s">
        <v>2910</v>
      </c>
      <c r="E582" t="s">
        <v>2911</v>
      </c>
      <c r="F582">
        <v>3505</v>
      </c>
      <c r="G582" t="s">
        <v>619</v>
      </c>
      <c r="H582">
        <v>3505</v>
      </c>
      <c r="I582" t="s">
        <v>2607</v>
      </c>
    </row>
    <row r="583" spans="1:9" x14ac:dyDescent="0.25">
      <c r="A583" s="91">
        <v>46055</v>
      </c>
      <c r="B583" t="s">
        <v>2621</v>
      </c>
      <c r="C583" t="s">
        <v>3017</v>
      </c>
      <c r="D583" t="s">
        <v>2713</v>
      </c>
      <c r="E583" t="s">
        <v>2714</v>
      </c>
      <c r="F583">
        <v>3505</v>
      </c>
      <c r="G583" t="s">
        <v>619</v>
      </c>
      <c r="H583">
        <v>3505</v>
      </c>
      <c r="I583" t="s">
        <v>2607</v>
      </c>
    </row>
    <row r="584" spans="1:9" x14ac:dyDescent="0.25">
      <c r="A584" s="91">
        <v>46055</v>
      </c>
      <c r="B584" t="s">
        <v>688</v>
      </c>
      <c r="C584" t="s">
        <v>3018</v>
      </c>
      <c r="D584">
        <v>7741</v>
      </c>
      <c r="E584" t="s">
        <v>690</v>
      </c>
      <c r="F584">
        <v>68000</v>
      </c>
      <c r="G584" t="s">
        <v>622</v>
      </c>
      <c r="H584">
        <v>68000</v>
      </c>
      <c r="I584" t="s">
        <v>2633</v>
      </c>
    </row>
    <row r="585" spans="1:9" x14ac:dyDescent="0.25">
      <c r="A585" s="91">
        <v>46055</v>
      </c>
      <c r="B585" t="s">
        <v>2665</v>
      </c>
      <c r="C585" t="s">
        <v>2045</v>
      </c>
      <c r="D585" t="s">
        <v>2044</v>
      </c>
      <c r="E585" t="s">
        <v>2993</v>
      </c>
      <c r="F585">
        <v>6250</v>
      </c>
      <c r="G585" t="s">
        <v>619</v>
      </c>
      <c r="H585">
        <v>6250</v>
      </c>
      <c r="I585" t="s">
        <v>2607</v>
      </c>
    </row>
    <row r="586" spans="1:9" x14ac:dyDescent="0.25">
      <c r="A586" s="91">
        <v>46055</v>
      </c>
      <c r="B586" t="s">
        <v>2736</v>
      </c>
      <c r="C586" t="s">
        <v>2138</v>
      </c>
      <c r="D586" t="s">
        <v>1114</v>
      </c>
      <c r="E586" t="s">
        <v>1115</v>
      </c>
      <c r="F586">
        <v>4200</v>
      </c>
      <c r="G586" t="s">
        <v>622</v>
      </c>
      <c r="H586">
        <v>4200</v>
      </c>
      <c r="I586" t="s">
        <v>2607</v>
      </c>
    </row>
    <row r="587" spans="1:9" x14ac:dyDescent="0.25">
      <c r="A587" s="91">
        <v>46055</v>
      </c>
      <c r="B587" t="s">
        <v>2606</v>
      </c>
      <c r="C587" t="s">
        <v>2397</v>
      </c>
      <c r="D587" t="s">
        <v>1400</v>
      </c>
      <c r="E587" t="s">
        <v>2941</v>
      </c>
      <c r="F587">
        <v>7300</v>
      </c>
      <c r="G587" t="s">
        <v>619</v>
      </c>
      <c r="H587">
        <v>7300</v>
      </c>
      <c r="I587" t="s">
        <v>2607</v>
      </c>
    </row>
    <row r="588" spans="1:9" x14ac:dyDescent="0.25">
      <c r="A588" s="91">
        <v>46055</v>
      </c>
      <c r="B588" t="s">
        <v>2606</v>
      </c>
      <c r="C588" t="s">
        <v>2073</v>
      </c>
      <c r="D588">
        <v>85204</v>
      </c>
      <c r="E588" t="s">
        <v>1398</v>
      </c>
      <c r="F588">
        <v>4166</v>
      </c>
      <c r="G588" t="s">
        <v>619</v>
      </c>
      <c r="H588">
        <v>4166</v>
      </c>
      <c r="I588" t="s">
        <v>2607</v>
      </c>
    </row>
    <row r="589" spans="1:9" x14ac:dyDescent="0.25">
      <c r="A589" s="91">
        <v>46055</v>
      </c>
      <c r="B589" t="s">
        <v>2606</v>
      </c>
      <c r="C589" t="s">
        <v>2072</v>
      </c>
      <c r="D589">
        <v>85204</v>
      </c>
      <c r="E589" t="s">
        <v>1398</v>
      </c>
      <c r="F589">
        <v>4166</v>
      </c>
      <c r="G589" t="s">
        <v>619</v>
      </c>
      <c r="H589">
        <v>4166</v>
      </c>
      <c r="I589" t="s">
        <v>2607</v>
      </c>
    </row>
    <row r="590" spans="1:9" x14ac:dyDescent="0.25">
      <c r="A590" s="91">
        <v>46055</v>
      </c>
      <c r="B590" t="s">
        <v>2606</v>
      </c>
      <c r="C590" t="s">
        <v>3019</v>
      </c>
      <c r="D590">
        <v>220125</v>
      </c>
      <c r="E590" t="s">
        <v>2700</v>
      </c>
      <c r="F590">
        <v>2100</v>
      </c>
      <c r="G590" t="s">
        <v>619</v>
      </c>
      <c r="H590">
        <v>2100</v>
      </c>
      <c r="I590" t="s">
        <v>2607</v>
      </c>
    </row>
    <row r="591" spans="1:9" x14ac:dyDescent="0.25">
      <c r="A591" s="91">
        <v>46055</v>
      </c>
      <c r="B591" t="s">
        <v>685</v>
      </c>
      <c r="C591" t="s">
        <v>3020</v>
      </c>
      <c r="D591">
        <v>7373</v>
      </c>
      <c r="E591" t="s">
        <v>783</v>
      </c>
      <c r="F591">
        <v>25000</v>
      </c>
      <c r="G591" t="s">
        <v>622</v>
      </c>
      <c r="H591">
        <v>25000</v>
      </c>
      <c r="I591" t="s">
        <v>2633</v>
      </c>
    </row>
    <row r="592" spans="1:9" x14ac:dyDescent="0.25">
      <c r="A592" s="91">
        <v>46055</v>
      </c>
      <c r="B592" t="s">
        <v>2665</v>
      </c>
      <c r="C592" t="s">
        <v>2411</v>
      </c>
      <c r="D592" t="s">
        <v>2412</v>
      </c>
      <c r="E592" t="s">
        <v>2413</v>
      </c>
      <c r="F592">
        <v>250</v>
      </c>
      <c r="G592" t="s">
        <v>619</v>
      </c>
      <c r="H592">
        <v>250</v>
      </c>
      <c r="I592" t="s">
        <v>2607</v>
      </c>
    </row>
    <row r="593" spans="1:9" x14ac:dyDescent="0.25">
      <c r="A593" s="91">
        <v>46055</v>
      </c>
      <c r="B593" t="s">
        <v>2665</v>
      </c>
      <c r="C593" t="s">
        <v>2046</v>
      </c>
      <c r="D593" t="s">
        <v>2044</v>
      </c>
      <c r="E593" t="s">
        <v>2993</v>
      </c>
      <c r="F593">
        <v>5900</v>
      </c>
      <c r="G593" t="s">
        <v>619</v>
      </c>
      <c r="H593">
        <v>5900</v>
      </c>
      <c r="I593" t="s">
        <v>2607</v>
      </c>
    </row>
    <row r="594" spans="1:9" x14ac:dyDescent="0.25">
      <c r="A594" s="91">
        <v>46055</v>
      </c>
      <c r="B594" t="s">
        <v>2665</v>
      </c>
      <c r="C594" t="s">
        <v>2408</v>
      </c>
      <c r="D594" t="s">
        <v>2409</v>
      </c>
      <c r="E594" t="s">
        <v>2410</v>
      </c>
      <c r="F594">
        <v>250</v>
      </c>
      <c r="G594" t="s">
        <v>619</v>
      </c>
      <c r="H594">
        <v>250</v>
      </c>
      <c r="I594" t="s">
        <v>2607</v>
      </c>
    </row>
    <row r="595" spans="1:9" x14ac:dyDescent="0.25">
      <c r="A595" s="91">
        <v>46055</v>
      </c>
      <c r="B595" t="s">
        <v>2606</v>
      </c>
      <c r="C595" t="s">
        <v>3021</v>
      </c>
      <c r="D595">
        <v>220125</v>
      </c>
      <c r="E595" t="s">
        <v>2700</v>
      </c>
      <c r="F595">
        <v>3500</v>
      </c>
      <c r="G595" t="s">
        <v>619</v>
      </c>
      <c r="H595">
        <v>3500</v>
      </c>
      <c r="I595" t="s">
        <v>2607</v>
      </c>
    </row>
    <row r="596" spans="1:9" x14ac:dyDescent="0.25">
      <c r="A596" s="91">
        <v>46056</v>
      </c>
      <c r="B596" t="s">
        <v>81</v>
      </c>
      <c r="C596" t="s">
        <v>3022</v>
      </c>
      <c r="D596" t="s">
        <v>2830</v>
      </c>
      <c r="E596" t="s">
        <v>2831</v>
      </c>
      <c r="F596">
        <v>120</v>
      </c>
      <c r="G596" t="s">
        <v>622</v>
      </c>
      <c r="H596">
        <v>120</v>
      </c>
      <c r="I596" t="s">
        <v>2607</v>
      </c>
    </row>
    <row r="597" spans="1:9" x14ac:dyDescent="0.25">
      <c r="A597" s="91">
        <v>46056</v>
      </c>
      <c r="B597" t="s">
        <v>81</v>
      </c>
      <c r="C597" t="s">
        <v>3023</v>
      </c>
      <c r="D597" t="s">
        <v>1062</v>
      </c>
      <c r="E597" t="s">
        <v>1063</v>
      </c>
      <c r="F597">
        <v>120</v>
      </c>
      <c r="G597" t="s">
        <v>622</v>
      </c>
      <c r="H597">
        <v>120</v>
      </c>
      <c r="I597" t="s">
        <v>2607</v>
      </c>
    </row>
    <row r="598" spans="1:9" x14ac:dyDescent="0.25">
      <c r="A598" s="91">
        <v>46056</v>
      </c>
      <c r="B598" t="s">
        <v>81</v>
      </c>
      <c r="C598" t="s">
        <v>3024</v>
      </c>
      <c r="D598" t="s">
        <v>1054</v>
      </c>
      <c r="E598" t="s">
        <v>1055</v>
      </c>
      <c r="F598">
        <v>60</v>
      </c>
      <c r="G598" t="s">
        <v>622</v>
      </c>
      <c r="H598">
        <v>60</v>
      </c>
      <c r="I598" t="s">
        <v>2607</v>
      </c>
    </row>
    <row r="599" spans="1:9" x14ac:dyDescent="0.25">
      <c r="A599" s="91">
        <v>46056</v>
      </c>
      <c r="B599" t="s">
        <v>81</v>
      </c>
      <c r="C599" t="s">
        <v>3025</v>
      </c>
      <c r="D599" t="s">
        <v>1046</v>
      </c>
      <c r="E599" t="s">
        <v>1047</v>
      </c>
      <c r="F599">
        <v>120</v>
      </c>
      <c r="G599" t="s">
        <v>622</v>
      </c>
      <c r="H599">
        <v>120</v>
      </c>
      <c r="I599" t="s">
        <v>2607</v>
      </c>
    </row>
    <row r="600" spans="1:9" x14ac:dyDescent="0.25">
      <c r="A600" s="91">
        <v>46056</v>
      </c>
      <c r="B600" t="s">
        <v>81</v>
      </c>
      <c r="C600" t="s">
        <v>3026</v>
      </c>
      <c r="D600" t="s">
        <v>1066</v>
      </c>
      <c r="E600" t="s">
        <v>1067</v>
      </c>
      <c r="F600">
        <v>120</v>
      </c>
      <c r="G600" t="s">
        <v>622</v>
      </c>
      <c r="H600">
        <v>120</v>
      </c>
      <c r="I600" t="s">
        <v>2607</v>
      </c>
    </row>
    <row r="601" spans="1:9" x14ac:dyDescent="0.25">
      <c r="A601" s="91">
        <v>46056</v>
      </c>
      <c r="B601" t="s">
        <v>81</v>
      </c>
      <c r="C601" t="s">
        <v>3027</v>
      </c>
      <c r="D601" t="s">
        <v>1058</v>
      </c>
      <c r="E601" t="s">
        <v>1059</v>
      </c>
      <c r="F601">
        <v>120</v>
      </c>
      <c r="G601" t="s">
        <v>622</v>
      </c>
      <c r="H601">
        <v>120</v>
      </c>
      <c r="I601" t="s">
        <v>2607</v>
      </c>
    </row>
    <row r="602" spans="1:9" x14ac:dyDescent="0.25">
      <c r="A602" s="91">
        <v>46056</v>
      </c>
      <c r="B602" t="s">
        <v>2614</v>
      </c>
      <c r="C602" t="s">
        <v>3028</v>
      </c>
      <c r="D602">
        <v>900405</v>
      </c>
      <c r="E602" t="s">
        <v>3029</v>
      </c>
      <c r="F602">
        <v>600</v>
      </c>
      <c r="G602" t="s">
        <v>619</v>
      </c>
      <c r="H602">
        <v>600</v>
      </c>
      <c r="I602" t="s">
        <v>2607</v>
      </c>
    </row>
    <row r="603" spans="1:9" x14ac:dyDescent="0.25">
      <c r="A603" s="91">
        <v>46056</v>
      </c>
      <c r="B603" t="s">
        <v>81</v>
      </c>
      <c r="C603" t="s">
        <v>3030</v>
      </c>
      <c r="D603" t="s">
        <v>1038</v>
      </c>
      <c r="E603" t="s">
        <v>1039</v>
      </c>
      <c r="F603">
        <v>120</v>
      </c>
      <c r="G603" t="s">
        <v>622</v>
      </c>
      <c r="H603">
        <v>120</v>
      </c>
      <c r="I603" t="s">
        <v>2607</v>
      </c>
    </row>
    <row r="604" spans="1:9" x14ac:dyDescent="0.25">
      <c r="A604" s="91">
        <v>46056</v>
      </c>
      <c r="B604" t="s">
        <v>81</v>
      </c>
      <c r="C604" t="s">
        <v>3031</v>
      </c>
      <c r="D604" t="s">
        <v>1064</v>
      </c>
      <c r="E604" t="s">
        <v>1065</v>
      </c>
      <c r="F604">
        <v>120</v>
      </c>
      <c r="G604" t="s">
        <v>622</v>
      </c>
      <c r="H604">
        <v>120</v>
      </c>
      <c r="I604" t="s">
        <v>2607</v>
      </c>
    </row>
    <row r="605" spans="1:9" x14ac:dyDescent="0.25">
      <c r="A605" s="91">
        <v>46056</v>
      </c>
      <c r="B605" t="s">
        <v>81</v>
      </c>
      <c r="C605" t="s">
        <v>3032</v>
      </c>
      <c r="D605" t="s">
        <v>2850</v>
      </c>
      <c r="E605" t="s">
        <v>2851</v>
      </c>
      <c r="F605">
        <v>120</v>
      </c>
      <c r="G605" t="s">
        <v>622</v>
      </c>
      <c r="H605">
        <v>120</v>
      </c>
      <c r="I605" t="s">
        <v>2607</v>
      </c>
    </row>
    <row r="606" spans="1:9" x14ac:dyDescent="0.25">
      <c r="A606" s="91">
        <v>46056</v>
      </c>
      <c r="B606" t="s">
        <v>2614</v>
      </c>
      <c r="C606" t="s">
        <v>3033</v>
      </c>
      <c r="D606">
        <v>900405</v>
      </c>
      <c r="E606" t="s">
        <v>3029</v>
      </c>
      <c r="F606">
        <v>600</v>
      </c>
      <c r="G606" t="s">
        <v>619</v>
      </c>
      <c r="H606">
        <v>600</v>
      </c>
      <c r="I606" t="s">
        <v>2607</v>
      </c>
    </row>
    <row r="607" spans="1:9" x14ac:dyDescent="0.25">
      <c r="A607" s="91">
        <v>46056</v>
      </c>
      <c r="B607" t="s">
        <v>2611</v>
      </c>
      <c r="C607" t="s">
        <v>3034</v>
      </c>
      <c r="D607">
        <v>72002</v>
      </c>
      <c r="E607" t="s">
        <v>2613</v>
      </c>
      <c r="F607">
        <v>500</v>
      </c>
      <c r="G607" t="s">
        <v>619</v>
      </c>
      <c r="H607">
        <v>500</v>
      </c>
      <c r="I607" t="s">
        <v>2607</v>
      </c>
    </row>
    <row r="608" spans="1:9" x14ac:dyDescent="0.25">
      <c r="A608" s="91">
        <v>46056</v>
      </c>
      <c r="B608" t="s">
        <v>2658</v>
      </c>
      <c r="C608" t="s">
        <v>2167</v>
      </c>
      <c r="D608" t="s">
        <v>637</v>
      </c>
      <c r="E608" t="s">
        <v>638</v>
      </c>
      <c r="F608">
        <v>2500</v>
      </c>
      <c r="G608" t="s">
        <v>619</v>
      </c>
      <c r="H608">
        <v>2500</v>
      </c>
      <c r="I608" t="s">
        <v>2607</v>
      </c>
    </row>
    <row r="609" spans="1:9" x14ac:dyDescent="0.25">
      <c r="A609" s="91">
        <v>46056</v>
      </c>
      <c r="B609" t="s">
        <v>81</v>
      </c>
      <c r="C609" t="s">
        <v>3035</v>
      </c>
      <c r="D609" t="s">
        <v>1032</v>
      </c>
      <c r="E609" t="s">
        <v>1033</v>
      </c>
      <c r="F609">
        <v>160</v>
      </c>
      <c r="G609" t="s">
        <v>622</v>
      </c>
      <c r="H609">
        <v>160</v>
      </c>
      <c r="I609" t="s">
        <v>2607</v>
      </c>
    </row>
    <row r="610" spans="1:9" x14ac:dyDescent="0.25">
      <c r="A610" s="91">
        <v>46056</v>
      </c>
      <c r="B610" t="s">
        <v>81</v>
      </c>
      <c r="C610" t="s">
        <v>3036</v>
      </c>
      <c r="D610" t="s">
        <v>1048</v>
      </c>
      <c r="E610" t="s">
        <v>1049</v>
      </c>
      <c r="F610">
        <v>120</v>
      </c>
      <c r="G610" t="s">
        <v>622</v>
      </c>
      <c r="H610">
        <v>120</v>
      </c>
      <c r="I610" t="s">
        <v>2607</v>
      </c>
    </row>
    <row r="611" spans="1:9" x14ac:dyDescent="0.25">
      <c r="A611" s="91">
        <v>46056</v>
      </c>
      <c r="B611" t="s">
        <v>81</v>
      </c>
      <c r="C611" t="s">
        <v>3037</v>
      </c>
      <c r="D611" t="s">
        <v>1056</v>
      </c>
      <c r="E611" t="s">
        <v>1057</v>
      </c>
      <c r="F611">
        <v>240</v>
      </c>
      <c r="G611" t="s">
        <v>622</v>
      </c>
      <c r="H611">
        <v>240</v>
      </c>
      <c r="I611" t="s">
        <v>2607</v>
      </c>
    </row>
    <row r="612" spans="1:9" x14ac:dyDescent="0.25">
      <c r="A612" s="91">
        <v>46056</v>
      </c>
      <c r="B612" t="s">
        <v>81</v>
      </c>
      <c r="C612" t="s">
        <v>3038</v>
      </c>
      <c r="D612" t="s">
        <v>1060</v>
      </c>
      <c r="E612" t="s">
        <v>1061</v>
      </c>
      <c r="F612">
        <v>120</v>
      </c>
      <c r="G612" t="s">
        <v>622</v>
      </c>
      <c r="H612">
        <v>120</v>
      </c>
      <c r="I612" t="s">
        <v>2607</v>
      </c>
    </row>
    <row r="613" spans="1:9" x14ac:dyDescent="0.25">
      <c r="A613" s="91">
        <v>46056</v>
      </c>
      <c r="B613" t="s">
        <v>81</v>
      </c>
      <c r="C613" t="s">
        <v>3039</v>
      </c>
      <c r="D613" t="s">
        <v>1050</v>
      </c>
      <c r="E613" t="s">
        <v>1051</v>
      </c>
      <c r="F613">
        <v>120</v>
      </c>
      <c r="G613" t="s">
        <v>622</v>
      </c>
      <c r="H613">
        <v>120</v>
      </c>
      <c r="I613" t="s">
        <v>2607</v>
      </c>
    </row>
    <row r="614" spans="1:9" x14ac:dyDescent="0.25">
      <c r="A614" s="91">
        <v>46056</v>
      </c>
      <c r="B614">
        <v>7002</v>
      </c>
      <c r="C614" t="s">
        <v>3040</v>
      </c>
      <c r="D614">
        <v>907013</v>
      </c>
      <c r="E614" t="s">
        <v>3041</v>
      </c>
      <c r="F614">
        <v>450</v>
      </c>
      <c r="G614" t="s">
        <v>619</v>
      </c>
      <c r="H614">
        <v>450</v>
      </c>
      <c r="I614" t="s">
        <v>2607</v>
      </c>
    </row>
    <row r="615" spans="1:9" x14ac:dyDescent="0.25">
      <c r="A615" s="91">
        <v>46056</v>
      </c>
      <c r="B615" t="s">
        <v>2728</v>
      </c>
      <c r="C615" t="s">
        <v>3042</v>
      </c>
      <c r="D615">
        <v>2130</v>
      </c>
      <c r="E615" t="s">
        <v>2730</v>
      </c>
      <c r="F615">
        <v>1866</v>
      </c>
      <c r="G615" t="s">
        <v>622</v>
      </c>
      <c r="H615">
        <v>1866</v>
      </c>
      <c r="I615" t="s">
        <v>2633</v>
      </c>
    </row>
    <row r="616" spans="1:9" x14ac:dyDescent="0.25">
      <c r="A616" s="91">
        <v>46056</v>
      </c>
      <c r="B616" t="s">
        <v>682</v>
      </c>
      <c r="C616" t="s">
        <v>3043</v>
      </c>
      <c r="D616">
        <v>7552</v>
      </c>
      <c r="E616" t="s">
        <v>2752</v>
      </c>
      <c r="F616">
        <v>24000</v>
      </c>
      <c r="G616" t="s">
        <v>622</v>
      </c>
      <c r="H616">
        <v>24000</v>
      </c>
      <c r="I616" t="s">
        <v>2633</v>
      </c>
    </row>
    <row r="617" spans="1:9" x14ac:dyDescent="0.25">
      <c r="A617" s="91">
        <v>46056</v>
      </c>
      <c r="B617" t="s">
        <v>712</v>
      </c>
      <c r="C617" t="s">
        <v>1471</v>
      </c>
      <c r="D617" t="s">
        <v>1126</v>
      </c>
      <c r="E617" t="s">
        <v>808</v>
      </c>
      <c r="F617">
        <v>40000</v>
      </c>
      <c r="G617" t="s">
        <v>622</v>
      </c>
      <c r="H617">
        <v>40000</v>
      </c>
      <c r="I617" t="s">
        <v>2607</v>
      </c>
    </row>
    <row r="618" spans="1:9" x14ac:dyDescent="0.25">
      <c r="A618" s="91">
        <v>46056</v>
      </c>
      <c r="B618" t="s">
        <v>2624</v>
      </c>
      <c r="C618" t="s">
        <v>3044</v>
      </c>
      <c r="D618">
        <v>528400</v>
      </c>
      <c r="E618" t="s">
        <v>3045</v>
      </c>
      <c r="F618">
        <v>5833</v>
      </c>
      <c r="G618" t="s">
        <v>619</v>
      </c>
      <c r="H618">
        <v>5833</v>
      </c>
      <c r="I618" t="s">
        <v>2607</v>
      </c>
    </row>
    <row r="619" spans="1:9" x14ac:dyDescent="0.25">
      <c r="A619" s="91">
        <v>46056</v>
      </c>
      <c r="B619" t="s">
        <v>2624</v>
      </c>
      <c r="C619" t="s">
        <v>3046</v>
      </c>
      <c r="D619" t="s">
        <v>2650</v>
      </c>
      <c r="E619" t="s">
        <v>2651</v>
      </c>
      <c r="F619">
        <v>1200</v>
      </c>
      <c r="G619" t="s">
        <v>619</v>
      </c>
      <c r="H619">
        <v>1200</v>
      </c>
      <c r="I619" t="s">
        <v>2607</v>
      </c>
    </row>
    <row r="620" spans="1:9" x14ac:dyDescent="0.25">
      <c r="A620" s="91">
        <v>46056</v>
      </c>
      <c r="B620" t="s">
        <v>2621</v>
      </c>
      <c r="C620" t="s">
        <v>3047</v>
      </c>
      <c r="D620" t="s">
        <v>2910</v>
      </c>
      <c r="E620" t="s">
        <v>2911</v>
      </c>
      <c r="F620">
        <v>3505</v>
      </c>
      <c r="G620" t="s">
        <v>619</v>
      </c>
      <c r="H620">
        <v>3505</v>
      </c>
      <c r="I620" t="s">
        <v>2607</v>
      </c>
    </row>
    <row r="621" spans="1:9" x14ac:dyDescent="0.25">
      <c r="A621" s="91">
        <v>46056</v>
      </c>
      <c r="B621" t="s">
        <v>688</v>
      </c>
      <c r="C621" t="s">
        <v>3048</v>
      </c>
      <c r="D621">
        <v>7746</v>
      </c>
      <c r="E621" t="s">
        <v>692</v>
      </c>
      <c r="F621">
        <v>68000</v>
      </c>
      <c r="G621" t="s">
        <v>622</v>
      </c>
      <c r="H621">
        <v>68000</v>
      </c>
      <c r="I621" t="s">
        <v>2633</v>
      </c>
    </row>
    <row r="622" spans="1:9" x14ac:dyDescent="0.25">
      <c r="A622" s="91">
        <v>46056</v>
      </c>
      <c r="B622" t="s">
        <v>2665</v>
      </c>
      <c r="C622" t="s">
        <v>2437</v>
      </c>
      <c r="D622" t="s">
        <v>1405</v>
      </c>
      <c r="E622" t="s">
        <v>2709</v>
      </c>
      <c r="F622">
        <v>6500</v>
      </c>
      <c r="G622" t="s">
        <v>619</v>
      </c>
      <c r="H622">
        <v>6500</v>
      </c>
      <c r="I622" t="s">
        <v>2607</v>
      </c>
    </row>
    <row r="623" spans="1:9" x14ac:dyDescent="0.25">
      <c r="A623" s="91">
        <v>46056</v>
      </c>
      <c r="B623" t="s">
        <v>715</v>
      </c>
      <c r="C623" t="s">
        <v>3049</v>
      </c>
      <c r="D623">
        <v>7193</v>
      </c>
      <c r="E623" t="s">
        <v>811</v>
      </c>
      <c r="F623">
        <v>55000</v>
      </c>
      <c r="G623" t="s">
        <v>622</v>
      </c>
      <c r="H623">
        <v>55000</v>
      </c>
      <c r="I623" t="s">
        <v>2633</v>
      </c>
    </row>
    <row r="624" spans="1:9" x14ac:dyDescent="0.25">
      <c r="A624" s="91">
        <v>46056</v>
      </c>
      <c r="B624" t="s">
        <v>2610</v>
      </c>
      <c r="C624" t="s">
        <v>3050</v>
      </c>
      <c r="D624" t="s">
        <v>2097</v>
      </c>
      <c r="E624" t="s">
        <v>2098</v>
      </c>
      <c r="F624">
        <v>15000</v>
      </c>
      <c r="G624" t="s">
        <v>619</v>
      </c>
      <c r="H624">
        <v>15000</v>
      </c>
      <c r="I624" t="s">
        <v>2607</v>
      </c>
    </row>
    <row r="625" spans="1:9" x14ac:dyDescent="0.25">
      <c r="A625" s="91">
        <v>46056</v>
      </c>
      <c r="B625" t="s">
        <v>2608</v>
      </c>
      <c r="C625" t="s">
        <v>3051</v>
      </c>
      <c r="D625" t="s">
        <v>336</v>
      </c>
      <c r="E625" t="s">
        <v>3052</v>
      </c>
      <c r="F625">
        <v>1024</v>
      </c>
      <c r="G625" t="s">
        <v>619</v>
      </c>
      <c r="H625">
        <v>1024</v>
      </c>
      <c r="I625" t="s">
        <v>2607</v>
      </c>
    </row>
    <row r="626" spans="1:9" x14ac:dyDescent="0.25">
      <c r="A626" s="91">
        <v>46056</v>
      </c>
      <c r="B626" t="s">
        <v>81</v>
      </c>
      <c r="C626" t="s">
        <v>3053</v>
      </c>
      <c r="D626" t="s">
        <v>1052</v>
      </c>
      <c r="E626" t="s">
        <v>1053</v>
      </c>
      <c r="F626">
        <v>120</v>
      </c>
      <c r="G626" t="s">
        <v>622</v>
      </c>
      <c r="H626">
        <v>120</v>
      </c>
      <c r="I626" t="s">
        <v>2607</v>
      </c>
    </row>
    <row r="627" spans="1:9" x14ac:dyDescent="0.25">
      <c r="A627" s="91">
        <v>46056</v>
      </c>
      <c r="B627" t="s">
        <v>2608</v>
      </c>
      <c r="C627" t="s">
        <v>2057</v>
      </c>
      <c r="D627" t="s">
        <v>120</v>
      </c>
      <c r="E627" t="s">
        <v>2056</v>
      </c>
      <c r="F627">
        <v>7300</v>
      </c>
      <c r="G627" t="s">
        <v>619</v>
      </c>
      <c r="H627">
        <v>7300</v>
      </c>
      <c r="I627" t="s">
        <v>2607</v>
      </c>
    </row>
    <row r="628" spans="1:9" x14ac:dyDescent="0.25">
      <c r="A628" s="91">
        <v>46056</v>
      </c>
      <c r="B628" t="s">
        <v>2606</v>
      </c>
      <c r="C628" t="s">
        <v>2109</v>
      </c>
      <c r="D628">
        <v>7019</v>
      </c>
      <c r="E628" t="s">
        <v>1108</v>
      </c>
      <c r="F628">
        <v>95000</v>
      </c>
      <c r="G628" t="s">
        <v>622</v>
      </c>
      <c r="H628">
        <v>95000</v>
      </c>
      <c r="I628" t="s">
        <v>2609</v>
      </c>
    </row>
    <row r="629" spans="1:9" x14ac:dyDescent="0.25">
      <c r="A629" s="91">
        <v>46056</v>
      </c>
      <c r="B629" t="s">
        <v>685</v>
      </c>
      <c r="C629" t="s">
        <v>3054</v>
      </c>
      <c r="D629">
        <v>7374</v>
      </c>
      <c r="E629" t="s">
        <v>785</v>
      </c>
      <c r="F629">
        <v>25000</v>
      </c>
      <c r="G629" t="s">
        <v>622</v>
      </c>
      <c r="H629">
        <v>25000</v>
      </c>
      <c r="I629" t="s">
        <v>2633</v>
      </c>
    </row>
    <row r="630" spans="1:9" x14ac:dyDescent="0.25">
      <c r="A630" s="91">
        <v>46057</v>
      </c>
      <c r="B630" t="s">
        <v>2658</v>
      </c>
      <c r="C630" t="s">
        <v>2168</v>
      </c>
      <c r="D630" t="s">
        <v>637</v>
      </c>
      <c r="E630" t="s">
        <v>638</v>
      </c>
      <c r="F630">
        <v>2500</v>
      </c>
      <c r="G630" t="s">
        <v>619</v>
      </c>
      <c r="H630">
        <v>2500</v>
      </c>
      <c r="I630" t="s">
        <v>2607</v>
      </c>
    </row>
    <row r="631" spans="1:9" x14ac:dyDescent="0.25">
      <c r="A631" s="91">
        <v>46057</v>
      </c>
      <c r="B631" t="s">
        <v>2611</v>
      </c>
      <c r="C631" t="s">
        <v>3055</v>
      </c>
      <c r="D631">
        <v>72001</v>
      </c>
      <c r="E631" t="s">
        <v>3056</v>
      </c>
      <c r="F631">
        <v>500</v>
      </c>
      <c r="G631" t="s">
        <v>619</v>
      </c>
      <c r="H631">
        <v>500</v>
      </c>
      <c r="I631" t="s">
        <v>2607</v>
      </c>
    </row>
    <row r="632" spans="1:9" x14ac:dyDescent="0.25">
      <c r="A632" s="91">
        <v>46057</v>
      </c>
      <c r="B632" t="s">
        <v>2614</v>
      </c>
      <c r="C632" t="s">
        <v>3057</v>
      </c>
      <c r="D632">
        <v>900405</v>
      </c>
      <c r="E632" t="s">
        <v>3029</v>
      </c>
      <c r="F632">
        <v>600</v>
      </c>
      <c r="G632" t="s">
        <v>619</v>
      </c>
      <c r="H632">
        <v>600</v>
      </c>
      <c r="I632" t="s">
        <v>2607</v>
      </c>
    </row>
    <row r="633" spans="1:9" x14ac:dyDescent="0.25">
      <c r="A633" s="91">
        <v>46057</v>
      </c>
      <c r="B633" t="s">
        <v>2617</v>
      </c>
      <c r="C633" t="s">
        <v>3058</v>
      </c>
      <c r="D633">
        <v>5150010451</v>
      </c>
      <c r="E633" t="s">
        <v>2706</v>
      </c>
      <c r="F633">
        <v>2256</v>
      </c>
      <c r="G633" t="s">
        <v>619</v>
      </c>
      <c r="H633">
        <v>2256</v>
      </c>
      <c r="I633" t="s">
        <v>2607</v>
      </c>
    </row>
    <row r="634" spans="1:9" x14ac:dyDescent="0.25">
      <c r="A634" s="91">
        <v>46057</v>
      </c>
      <c r="B634" t="s">
        <v>81</v>
      </c>
      <c r="C634" t="s">
        <v>3059</v>
      </c>
      <c r="D634" t="s">
        <v>1034</v>
      </c>
      <c r="E634" t="s">
        <v>1035</v>
      </c>
      <c r="F634">
        <v>160</v>
      </c>
      <c r="G634" t="s">
        <v>622</v>
      </c>
      <c r="H634">
        <v>160</v>
      </c>
      <c r="I634" t="s">
        <v>2607</v>
      </c>
    </row>
    <row r="635" spans="1:9" x14ac:dyDescent="0.25">
      <c r="A635" s="91">
        <v>46057</v>
      </c>
      <c r="B635" t="s">
        <v>81</v>
      </c>
      <c r="C635" t="s">
        <v>3060</v>
      </c>
      <c r="D635" t="s">
        <v>1042</v>
      </c>
      <c r="E635" t="s">
        <v>1043</v>
      </c>
      <c r="F635">
        <v>120</v>
      </c>
      <c r="G635" t="s">
        <v>622</v>
      </c>
      <c r="H635">
        <v>120</v>
      </c>
      <c r="I635" t="s">
        <v>2607</v>
      </c>
    </row>
    <row r="636" spans="1:9" x14ac:dyDescent="0.25">
      <c r="A636" s="91">
        <v>46057</v>
      </c>
      <c r="B636" t="s">
        <v>81</v>
      </c>
      <c r="C636" t="s">
        <v>3061</v>
      </c>
      <c r="D636" t="s">
        <v>1040</v>
      </c>
      <c r="E636" t="s">
        <v>1041</v>
      </c>
      <c r="F636">
        <v>120</v>
      </c>
      <c r="G636" t="s">
        <v>622</v>
      </c>
      <c r="H636">
        <v>120</v>
      </c>
      <c r="I636" t="s">
        <v>2607</v>
      </c>
    </row>
    <row r="637" spans="1:9" x14ac:dyDescent="0.25">
      <c r="A637" s="91">
        <v>46057</v>
      </c>
      <c r="B637" t="s">
        <v>81</v>
      </c>
      <c r="C637" t="s">
        <v>3062</v>
      </c>
      <c r="D637" t="s">
        <v>1030</v>
      </c>
      <c r="E637" t="s">
        <v>1031</v>
      </c>
      <c r="F637">
        <v>160</v>
      </c>
      <c r="G637" t="s">
        <v>622</v>
      </c>
      <c r="H637">
        <v>160</v>
      </c>
      <c r="I637" t="s">
        <v>2607</v>
      </c>
    </row>
    <row r="638" spans="1:9" x14ac:dyDescent="0.25">
      <c r="A638" s="91">
        <v>46057</v>
      </c>
      <c r="B638" t="s">
        <v>81</v>
      </c>
      <c r="C638" t="s">
        <v>3063</v>
      </c>
      <c r="D638" t="s">
        <v>1036</v>
      </c>
      <c r="E638" t="s">
        <v>1037</v>
      </c>
      <c r="F638">
        <v>140</v>
      </c>
      <c r="G638" t="s">
        <v>622</v>
      </c>
      <c r="H638">
        <v>140</v>
      </c>
      <c r="I638" t="s">
        <v>2607</v>
      </c>
    </row>
    <row r="639" spans="1:9" x14ac:dyDescent="0.25">
      <c r="A639" s="91">
        <v>46057</v>
      </c>
      <c r="B639" t="s">
        <v>2610</v>
      </c>
      <c r="C639" t="s">
        <v>3064</v>
      </c>
      <c r="D639" t="s">
        <v>2097</v>
      </c>
      <c r="E639" t="s">
        <v>2098</v>
      </c>
      <c r="F639">
        <v>15000</v>
      </c>
      <c r="G639" t="s">
        <v>619</v>
      </c>
      <c r="H639">
        <v>15000</v>
      </c>
      <c r="I639" t="s">
        <v>2607</v>
      </c>
    </row>
    <row r="640" spans="1:9" x14ac:dyDescent="0.25">
      <c r="A640" s="91">
        <v>46057</v>
      </c>
      <c r="B640" t="s">
        <v>2611</v>
      </c>
      <c r="C640" t="s">
        <v>3065</v>
      </c>
      <c r="D640">
        <v>72002</v>
      </c>
      <c r="E640" t="s">
        <v>2613</v>
      </c>
      <c r="F640">
        <v>250</v>
      </c>
      <c r="G640" t="s">
        <v>619</v>
      </c>
      <c r="H640">
        <v>250</v>
      </c>
      <c r="I640" t="s">
        <v>2607</v>
      </c>
    </row>
    <row r="641" spans="1:9" x14ac:dyDescent="0.25">
      <c r="A641" s="91">
        <v>46057</v>
      </c>
      <c r="B641" t="s">
        <v>685</v>
      </c>
      <c r="C641" t="s">
        <v>3066</v>
      </c>
      <c r="D641">
        <v>7374</v>
      </c>
      <c r="E641" t="s">
        <v>785</v>
      </c>
      <c r="F641">
        <v>25000</v>
      </c>
      <c r="G641" t="s">
        <v>622</v>
      </c>
      <c r="H641">
        <v>25000</v>
      </c>
      <c r="I641" t="s">
        <v>2633</v>
      </c>
    </row>
    <row r="642" spans="1:9" x14ac:dyDescent="0.25">
      <c r="A642" s="91">
        <v>46057</v>
      </c>
      <c r="B642" t="s">
        <v>2736</v>
      </c>
      <c r="C642" t="s">
        <v>2150</v>
      </c>
      <c r="D642" t="s">
        <v>1118</v>
      </c>
      <c r="E642" t="s">
        <v>1119</v>
      </c>
      <c r="F642">
        <v>5000</v>
      </c>
      <c r="G642" t="s">
        <v>622</v>
      </c>
      <c r="H642">
        <v>5000</v>
      </c>
      <c r="I642" t="s">
        <v>2607</v>
      </c>
    </row>
    <row r="643" spans="1:9" x14ac:dyDescent="0.25">
      <c r="A643" s="91">
        <v>46057</v>
      </c>
      <c r="B643" t="s">
        <v>2665</v>
      </c>
      <c r="C643" t="s">
        <v>2186</v>
      </c>
      <c r="D643" t="s">
        <v>1405</v>
      </c>
      <c r="E643" t="s">
        <v>2709</v>
      </c>
      <c r="F643">
        <v>6500</v>
      </c>
      <c r="G643" t="s">
        <v>619</v>
      </c>
      <c r="H643">
        <v>6500</v>
      </c>
      <c r="I643" t="s">
        <v>2607</v>
      </c>
    </row>
    <row r="644" spans="1:9" x14ac:dyDescent="0.25">
      <c r="A644" s="91">
        <v>46057</v>
      </c>
      <c r="B644" t="s">
        <v>2728</v>
      </c>
      <c r="C644" t="s">
        <v>3067</v>
      </c>
      <c r="D644">
        <v>2130</v>
      </c>
      <c r="E644" t="s">
        <v>2730</v>
      </c>
      <c r="F644">
        <v>400</v>
      </c>
      <c r="G644" t="s">
        <v>622</v>
      </c>
      <c r="H644">
        <v>400</v>
      </c>
      <c r="I644" t="s">
        <v>2633</v>
      </c>
    </row>
    <row r="645" spans="1:9" x14ac:dyDescent="0.25">
      <c r="A645" s="91">
        <v>46057</v>
      </c>
      <c r="B645" t="s">
        <v>2728</v>
      </c>
      <c r="C645" t="s">
        <v>3068</v>
      </c>
      <c r="D645">
        <v>2130</v>
      </c>
      <c r="E645" t="s">
        <v>2730</v>
      </c>
      <c r="F645">
        <v>8</v>
      </c>
      <c r="G645" t="s">
        <v>622</v>
      </c>
      <c r="H645">
        <v>8</v>
      </c>
      <c r="I645" t="s">
        <v>2633</v>
      </c>
    </row>
    <row r="646" spans="1:9" x14ac:dyDescent="0.25">
      <c r="A646" s="91">
        <v>46057</v>
      </c>
      <c r="B646" t="s">
        <v>688</v>
      </c>
      <c r="C646" t="s">
        <v>3069</v>
      </c>
      <c r="D646">
        <v>7746</v>
      </c>
      <c r="E646" t="s">
        <v>692</v>
      </c>
      <c r="F646">
        <v>68000</v>
      </c>
      <c r="G646" t="s">
        <v>622</v>
      </c>
      <c r="H646">
        <v>68000</v>
      </c>
      <c r="I646" t="s">
        <v>2633</v>
      </c>
    </row>
    <row r="647" spans="1:9" x14ac:dyDescent="0.25">
      <c r="A647" s="91">
        <v>46057</v>
      </c>
      <c r="B647">
        <v>7002</v>
      </c>
      <c r="C647" t="s">
        <v>3070</v>
      </c>
      <c r="D647">
        <v>907013</v>
      </c>
      <c r="E647" t="s">
        <v>3041</v>
      </c>
      <c r="F647">
        <v>491</v>
      </c>
      <c r="G647" t="s">
        <v>619</v>
      </c>
      <c r="H647">
        <v>491</v>
      </c>
      <c r="I647" t="s">
        <v>2607</v>
      </c>
    </row>
    <row r="648" spans="1:9" x14ac:dyDescent="0.25">
      <c r="A648" s="91">
        <v>46057</v>
      </c>
      <c r="B648" t="s">
        <v>712</v>
      </c>
      <c r="C648" t="s">
        <v>3071</v>
      </c>
      <c r="D648" t="s">
        <v>1128</v>
      </c>
      <c r="E648" t="s">
        <v>781</v>
      </c>
      <c r="F648">
        <v>40000</v>
      </c>
      <c r="G648" t="s">
        <v>622</v>
      </c>
      <c r="H648">
        <v>40000</v>
      </c>
      <c r="I648" t="s">
        <v>2607</v>
      </c>
    </row>
    <row r="649" spans="1:9" x14ac:dyDescent="0.25">
      <c r="A649" s="91">
        <v>46057</v>
      </c>
      <c r="B649" t="s">
        <v>2624</v>
      </c>
      <c r="C649" t="s">
        <v>3072</v>
      </c>
      <c r="D649" t="s">
        <v>3073</v>
      </c>
      <c r="E649" t="s">
        <v>3074</v>
      </c>
      <c r="F649">
        <v>1100</v>
      </c>
      <c r="G649" t="s">
        <v>619</v>
      </c>
      <c r="H649">
        <v>1100</v>
      </c>
      <c r="I649" t="s">
        <v>2607</v>
      </c>
    </row>
    <row r="650" spans="1:9" x14ac:dyDescent="0.25">
      <c r="A650" s="91">
        <v>46057</v>
      </c>
      <c r="B650" t="s">
        <v>2621</v>
      </c>
      <c r="C650" t="s">
        <v>3075</v>
      </c>
      <c r="D650" t="s">
        <v>2910</v>
      </c>
      <c r="E650" t="s">
        <v>2911</v>
      </c>
      <c r="F650">
        <v>3505</v>
      </c>
      <c r="G650" t="s">
        <v>619</v>
      </c>
      <c r="H650">
        <v>3505</v>
      </c>
      <c r="I650" t="s">
        <v>2607</v>
      </c>
    </row>
    <row r="651" spans="1:9" x14ac:dyDescent="0.25">
      <c r="A651" s="91">
        <v>46057</v>
      </c>
      <c r="B651" t="s">
        <v>682</v>
      </c>
      <c r="C651" t="s">
        <v>3076</v>
      </c>
      <c r="D651">
        <v>7552</v>
      </c>
      <c r="E651" t="s">
        <v>2752</v>
      </c>
      <c r="F651">
        <v>24000</v>
      </c>
      <c r="G651" t="s">
        <v>622</v>
      </c>
      <c r="H651">
        <v>24000</v>
      </c>
      <c r="I651" t="s">
        <v>2633</v>
      </c>
    </row>
    <row r="652" spans="1:9" x14ac:dyDescent="0.25">
      <c r="A652" s="91">
        <v>46058</v>
      </c>
      <c r="B652" t="s">
        <v>81</v>
      </c>
      <c r="C652" t="s">
        <v>3077</v>
      </c>
      <c r="D652">
        <v>2230</v>
      </c>
      <c r="E652" t="s">
        <v>749</v>
      </c>
      <c r="F652">
        <v>144</v>
      </c>
      <c r="G652" t="s">
        <v>622</v>
      </c>
      <c r="H652">
        <v>144</v>
      </c>
      <c r="I652" t="s">
        <v>2607</v>
      </c>
    </row>
    <row r="653" spans="1:9" x14ac:dyDescent="0.25">
      <c r="A653" s="91">
        <v>46058</v>
      </c>
      <c r="B653" t="s">
        <v>81</v>
      </c>
      <c r="C653" t="s">
        <v>3078</v>
      </c>
      <c r="D653" t="s">
        <v>1215</v>
      </c>
      <c r="E653" t="s">
        <v>1216</v>
      </c>
      <c r="F653">
        <v>120</v>
      </c>
      <c r="G653" t="s">
        <v>622</v>
      </c>
      <c r="H653">
        <v>120</v>
      </c>
      <c r="I653" t="s">
        <v>2607</v>
      </c>
    </row>
    <row r="654" spans="1:9" x14ac:dyDescent="0.25">
      <c r="A654" s="91">
        <v>46058</v>
      </c>
      <c r="B654" t="s">
        <v>81</v>
      </c>
      <c r="C654" t="s">
        <v>3079</v>
      </c>
      <c r="D654">
        <v>2250</v>
      </c>
      <c r="E654" t="s">
        <v>797</v>
      </c>
      <c r="F654">
        <v>108</v>
      </c>
      <c r="G654" t="s">
        <v>622</v>
      </c>
      <c r="H654">
        <v>108</v>
      </c>
      <c r="I654" t="s">
        <v>2607</v>
      </c>
    </row>
    <row r="655" spans="1:9" x14ac:dyDescent="0.25">
      <c r="A655" s="91">
        <v>46058</v>
      </c>
      <c r="B655" t="s">
        <v>81</v>
      </c>
      <c r="C655" t="s">
        <v>3080</v>
      </c>
      <c r="D655" t="s">
        <v>1212</v>
      </c>
      <c r="E655" t="s">
        <v>1213</v>
      </c>
      <c r="F655">
        <v>120</v>
      </c>
      <c r="G655" t="s">
        <v>622</v>
      </c>
      <c r="H655">
        <v>120</v>
      </c>
      <c r="I655" t="s">
        <v>2607</v>
      </c>
    </row>
    <row r="656" spans="1:9" x14ac:dyDescent="0.25">
      <c r="A656" s="91">
        <v>46058</v>
      </c>
      <c r="B656" t="s">
        <v>81</v>
      </c>
      <c r="C656" t="s">
        <v>3081</v>
      </c>
      <c r="D656">
        <v>2240</v>
      </c>
      <c r="E656" t="s">
        <v>762</v>
      </c>
      <c r="F656">
        <v>72</v>
      </c>
      <c r="G656" t="s">
        <v>622</v>
      </c>
      <c r="H656">
        <v>72</v>
      </c>
      <c r="I656" t="s">
        <v>2607</v>
      </c>
    </row>
    <row r="657" spans="1:9" x14ac:dyDescent="0.25">
      <c r="A657" s="91">
        <v>46058</v>
      </c>
      <c r="B657" t="s">
        <v>81</v>
      </c>
      <c r="C657" t="s">
        <v>3082</v>
      </c>
      <c r="D657">
        <v>2246</v>
      </c>
      <c r="E657" t="s">
        <v>764</v>
      </c>
      <c r="F657">
        <v>84</v>
      </c>
      <c r="G657" t="s">
        <v>622</v>
      </c>
      <c r="H657">
        <v>84</v>
      </c>
      <c r="I657" t="s">
        <v>2607</v>
      </c>
    </row>
    <row r="658" spans="1:9" x14ac:dyDescent="0.25">
      <c r="A658" s="91">
        <v>46058</v>
      </c>
      <c r="B658" t="s">
        <v>81</v>
      </c>
      <c r="C658" t="s">
        <v>3083</v>
      </c>
      <c r="D658">
        <v>2238</v>
      </c>
      <c r="E658" t="s">
        <v>760</v>
      </c>
      <c r="F658">
        <v>60</v>
      </c>
      <c r="G658" t="s">
        <v>622</v>
      </c>
      <c r="H658">
        <v>60</v>
      </c>
      <c r="I658" t="s">
        <v>2607</v>
      </c>
    </row>
    <row r="659" spans="1:9" x14ac:dyDescent="0.25">
      <c r="A659" s="91">
        <v>46058</v>
      </c>
      <c r="B659" t="s">
        <v>2614</v>
      </c>
      <c r="C659" t="s">
        <v>3084</v>
      </c>
      <c r="D659">
        <v>900303</v>
      </c>
      <c r="E659" t="s">
        <v>3085</v>
      </c>
      <c r="F659">
        <v>500</v>
      </c>
      <c r="G659" t="s">
        <v>619</v>
      </c>
      <c r="H659">
        <v>500</v>
      </c>
      <c r="I659" t="s">
        <v>2607</v>
      </c>
    </row>
    <row r="660" spans="1:9" x14ac:dyDescent="0.25">
      <c r="A660" s="91">
        <v>46058</v>
      </c>
      <c r="B660" t="s">
        <v>81</v>
      </c>
      <c r="C660" t="s">
        <v>3086</v>
      </c>
      <c r="D660" t="s">
        <v>1209</v>
      </c>
      <c r="E660" t="s">
        <v>1210</v>
      </c>
      <c r="F660">
        <v>120</v>
      </c>
      <c r="G660" t="s">
        <v>622</v>
      </c>
      <c r="H660">
        <v>120</v>
      </c>
      <c r="I660" t="s">
        <v>2607</v>
      </c>
    </row>
    <row r="661" spans="1:9" x14ac:dyDescent="0.25">
      <c r="A661" s="91">
        <v>46058</v>
      </c>
      <c r="B661" t="s">
        <v>81</v>
      </c>
      <c r="C661" t="s">
        <v>3087</v>
      </c>
      <c r="D661">
        <v>2252</v>
      </c>
      <c r="E661" t="s">
        <v>799</v>
      </c>
      <c r="F661">
        <v>168</v>
      </c>
      <c r="G661" t="s">
        <v>622</v>
      </c>
      <c r="H661">
        <v>168</v>
      </c>
      <c r="I661" t="s">
        <v>2607</v>
      </c>
    </row>
    <row r="662" spans="1:9" x14ac:dyDescent="0.25">
      <c r="A662" s="91">
        <v>46058</v>
      </c>
      <c r="B662" t="s">
        <v>2617</v>
      </c>
      <c r="C662" t="s">
        <v>3088</v>
      </c>
      <c r="D662">
        <v>5150010451</v>
      </c>
      <c r="E662" t="s">
        <v>2706</v>
      </c>
      <c r="F662">
        <v>2256</v>
      </c>
      <c r="G662" t="s">
        <v>619</v>
      </c>
      <c r="H662">
        <v>2256</v>
      </c>
      <c r="I662" t="s">
        <v>2607</v>
      </c>
    </row>
    <row r="663" spans="1:9" x14ac:dyDescent="0.25">
      <c r="A663" s="91">
        <v>46058</v>
      </c>
      <c r="B663" t="s">
        <v>2611</v>
      </c>
      <c r="C663" t="s">
        <v>3089</v>
      </c>
      <c r="D663">
        <v>72001</v>
      </c>
      <c r="E663" t="s">
        <v>3056</v>
      </c>
      <c r="F663">
        <v>250</v>
      </c>
      <c r="G663" t="s">
        <v>619</v>
      </c>
      <c r="H663">
        <v>250</v>
      </c>
      <c r="I663" t="s">
        <v>2607</v>
      </c>
    </row>
    <row r="664" spans="1:9" x14ac:dyDescent="0.25">
      <c r="A664" s="91">
        <v>46058</v>
      </c>
      <c r="B664" t="s">
        <v>2658</v>
      </c>
      <c r="C664" t="s">
        <v>2169</v>
      </c>
      <c r="D664" t="s">
        <v>637</v>
      </c>
      <c r="E664" t="s">
        <v>638</v>
      </c>
      <c r="F664">
        <v>2500</v>
      </c>
      <c r="G664" t="s">
        <v>619</v>
      </c>
      <c r="H664">
        <v>2500</v>
      </c>
      <c r="I664" t="s">
        <v>2607</v>
      </c>
    </row>
    <row r="665" spans="1:9" x14ac:dyDescent="0.25">
      <c r="A665" s="91">
        <v>46058</v>
      </c>
      <c r="B665" t="s">
        <v>81</v>
      </c>
      <c r="C665" t="s">
        <v>3090</v>
      </c>
      <c r="D665">
        <v>2248</v>
      </c>
      <c r="E665" t="s">
        <v>751</v>
      </c>
      <c r="F665">
        <v>96</v>
      </c>
      <c r="G665" t="s">
        <v>622</v>
      </c>
      <c r="H665">
        <v>96</v>
      </c>
      <c r="I665" t="s">
        <v>2607</v>
      </c>
    </row>
    <row r="666" spans="1:9" x14ac:dyDescent="0.25">
      <c r="A666" s="91">
        <v>46058</v>
      </c>
      <c r="B666" t="s">
        <v>81</v>
      </c>
      <c r="C666" t="s">
        <v>3091</v>
      </c>
      <c r="D666" t="s">
        <v>1224</v>
      </c>
      <c r="E666" t="s">
        <v>1225</v>
      </c>
      <c r="F666">
        <v>120</v>
      </c>
      <c r="G666" t="s">
        <v>622</v>
      </c>
      <c r="H666">
        <v>120</v>
      </c>
      <c r="I666" t="s">
        <v>2607</v>
      </c>
    </row>
    <row r="667" spans="1:9" x14ac:dyDescent="0.25">
      <c r="A667" s="91">
        <v>46058</v>
      </c>
      <c r="B667" t="s">
        <v>81</v>
      </c>
      <c r="C667" t="s">
        <v>3092</v>
      </c>
      <c r="D667" t="s">
        <v>1221</v>
      </c>
      <c r="E667" t="s">
        <v>1222</v>
      </c>
      <c r="F667">
        <v>120</v>
      </c>
      <c r="G667" t="s">
        <v>622</v>
      </c>
      <c r="H667">
        <v>120</v>
      </c>
      <c r="I667" t="s">
        <v>2607</v>
      </c>
    </row>
    <row r="668" spans="1:9" x14ac:dyDescent="0.25">
      <c r="A668" s="91">
        <v>46058</v>
      </c>
      <c r="B668" t="s">
        <v>81</v>
      </c>
      <c r="C668" t="s">
        <v>3093</v>
      </c>
      <c r="D668">
        <v>2242</v>
      </c>
      <c r="E668" t="s">
        <v>793</v>
      </c>
      <c r="F668">
        <v>108</v>
      </c>
      <c r="G668" t="s">
        <v>622</v>
      </c>
      <c r="H668">
        <v>108</v>
      </c>
      <c r="I668" t="s">
        <v>2607</v>
      </c>
    </row>
    <row r="669" spans="1:9" x14ac:dyDescent="0.25">
      <c r="A669" s="91">
        <v>46058</v>
      </c>
      <c r="B669" t="s">
        <v>81</v>
      </c>
      <c r="C669" t="s">
        <v>3094</v>
      </c>
      <c r="D669">
        <v>2256</v>
      </c>
      <c r="E669" t="s">
        <v>801</v>
      </c>
      <c r="F669">
        <v>96</v>
      </c>
      <c r="G669" t="s">
        <v>622</v>
      </c>
      <c r="H669">
        <v>96</v>
      </c>
      <c r="I669" t="s">
        <v>2607</v>
      </c>
    </row>
    <row r="670" spans="1:9" x14ac:dyDescent="0.25">
      <c r="A670" s="91">
        <v>46058</v>
      </c>
      <c r="B670">
        <v>7002</v>
      </c>
      <c r="C670" t="s">
        <v>3095</v>
      </c>
      <c r="D670">
        <v>907013</v>
      </c>
      <c r="E670" t="s">
        <v>3041</v>
      </c>
      <c r="F670">
        <v>600</v>
      </c>
      <c r="G670" t="s">
        <v>619</v>
      </c>
      <c r="H670">
        <v>600</v>
      </c>
      <c r="I670" t="s">
        <v>2607</v>
      </c>
    </row>
    <row r="671" spans="1:9" x14ac:dyDescent="0.25">
      <c r="A671" s="91">
        <v>46058</v>
      </c>
      <c r="B671" t="s">
        <v>688</v>
      </c>
      <c r="C671" t="s">
        <v>3096</v>
      </c>
      <c r="D671">
        <v>7746</v>
      </c>
      <c r="E671" t="s">
        <v>692</v>
      </c>
      <c r="F671">
        <v>68000</v>
      </c>
      <c r="G671" t="s">
        <v>622</v>
      </c>
      <c r="H671">
        <v>68000</v>
      </c>
      <c r="I671" t="s">
        <v>2633</v>
      </c>
    </row>
    <row r="672" spans="1:9" x14ac:dyDescent="0.25">
      <c r="A672" s="91">
        <v>46058</v>
      </c>
      <c r="B672" t="s">
        <v>682</v>
      </c>
      <c r="C672" t="s">
        <v>3097</v>
      </c>
      <c r="D672" t="s">
        <v>806</v>
      </c>
      <c r="E672" t="s">
        <v>807</v>
      </c>
      <c r="F672">
        <v>28000</v>
      </c>
      <c r="G672" t="s">
        <v>622</v>
      </c>
      <c r="H672">
        <v>28000</v>
      </c>
      <c r="I672" t="s">
        <v>2633</v>
      </c>
    </row>
    <row r="673" spans="1:9" x14ac:dyDescent="0.25">
      <c r="A673" s="91">
        <v>46058</v>
      </c>
      <c r="B673" t="s">
        <v>2624</v>
      </c>
      <c r="C673" t="s">
        <v>3098</v>
      </c>
      <c r="D673" t="s">
        <v>2910</v>
      </c>
      <c r="E673" t="s">
        <v>2911</v>
      </c>
      <c r="F673">
        <v>2083</v>
      </c>
      <c r="G673" t="s">
        <v>619</v>
      </c>
      <c r="H673">
        <v>2083</v>
      </c>
      <c r="I673" t="s">
        <v>2607</v>
      </c>
    </row>
    <row r="674" spans="1:9" x14ac:dyDescent="0.25">
      <c r="A674" s="91">
        <v>46058</v>
      </c>
      <c r="B674" t="s">
        <v>2621</v>
      </c>
      <c r="C674" t="s">
        <v>3099</v>
      </c>
      <c r="D674">
        <v>528400</v>
      </c>
      <c r="E674" t="s">
        <v>3045</v>
      </c>
      <c r="F674">
        <v>10416</v>
      </c>
      <c r="G674" t="s">
        <v>619</v>
      </c>
      <c r="H674">
        <v>10416</v>
      </c>
      <c r="I674" t="s">
        <v>2607</v>
      </c>
    </row>
    <row r="675" spans="1:9" x14ac:dyDescent="0.25">
      <c r="A675" s="91">
        <v>46058</v>
      </c>
      <c r="B675" t="s">
        <v>693</v>
      </c>
      <c r="C675" t="s">
        <v>3100</v>
      </c>
      <c r="D675">
        <v>910326</v>
      </c>
      <c r="E675" t="s">
        <v>1583</v>
      </c>
      <c r="F675">
        <v>9121</v>
      </c>
      <c r="G675" t="s">
        <v>619</v>
      </c>
      <c r="H675">
        <v>9121</v>
      </c>
      <c r="I675" t="s">
        <v>2607</v>
      </c>
    </row>
    <row r="676" spans="1:9" x14ac:dyDescent="0.25">
      <c r="A676" s="91">
        <v>46058</v>
      </c>
      <c r="B676" t="s">
        <v>693</v>
      </c>
      <c r="C676" t="s">
        <v>3101</v>
      </c>
      <c r="D676">
        <v>910526</v>
      </c>
      <c r="E676" t="s">
        <v>1602</v>
      </c>
      <c r="F676">
        <v>9121</v>
      </c>
      <c r="G676" t="s">
        <v>619</v>
      </c>
      <c r="H676">
        <v>9121</v>
      </c>
      <c r="I676" t="s">
        <v>2607</v>
      </c>
    </row>
    <row r="677" spans="1:9" x14ac:dyDescent="0.25">
      <c r="A677" s="91">
        <v>46058</v>
      </c>
      <c r="B677" t="s">
        <v>712</v>
      </c>
      <c r="C677" t="s">
        <v>3102</v>
      </c>
      <c r="D677" t="s">
        <v>1128</v>
      </c>
      <c r="E677" t="s">
        <v>781</v>
      </c>
      <c r="F677">
        <v>40000</v>
      </c>
      <c r="G677" t="s">
        <v>622</v>
      </c>
      <c r="H677">
        <v>40000</v>
      </c>
      <c r="I677" t="s">
        <v>2607</v>
      </c>
    </row>
    <row r="678" spans="1:9" x14ac:dyDescent="0.25">
      <c r="A678" s="91">
        <v>46058</v>
      </c>
      <c r="B678" t="s">
        <v>2665</v>
      </c>
      <c r="C678" t="s">
        <v>2206</v>
      </c>
      <c r="D678" t="s">
        <v>1116</v>
      </c>
      <c r="E678" t="s">
        <v>1117</v>
      </c>
      <c r="F678">
        <v>800</v>
      </c>
      <c r="G678" t="s">
        <v>619</v>
      </c>
      <c r="H678">
        <v>800</v>
      </c>
      <c r="I678" t="s">
        <v>2607</v>
      </c>
    </row>
    <row r="679" spans="1:9" x14ac:dyDescent="0.25">
      <c r="A679" s="91">
        <v>46058</v>
      </c>
      <c r="B679" t="s">
        <v>685</v>
      </c>
      <c r="C679" t="s">
        <v>3103</v>
      </c>
      <c r="D679">
        <v>7374</v>
      </c>
      <c r="E679" t="s">
        <v>785</v>
      </c>
      <c r="F679">
        <v>25000</v>
      </c>
      <c r="G679" t="s">
        <v>622</v>
      </c>
      <c r="H679">
        <v>25000</v>
      </c>
      <c r="I679" t="s">
        <v>2633</v>
      </c>
    </row>
    <row r="680" spans="1:9" x14ac:dyDescent="0.25">
      <c r="A680" s="91">
        <v>46058</v>
      </c>
      <c r="B680" t="s">
        <v>2608</v>
      </c>
      <c r="C680" t="s">
        <v>2059</v>
      </c>
      <c r="D680" t="s">
        <v>120</v>
      </c>
      <c r="E680" t="s">
        <v>2056</v>
      </c>
      <c r="F680">
        <v>7300</v>
      </c>
      <c r="G680" t="s">
        <v>619</v>
      </c>
      <c r="H680">
        <v>7300</v>
      </c>
      <c r="I680" t="s">
        <v>2607</v>
      </c>
    </row>
    <row r="681" spans="1:9" x14ac:dyDescent="0.25">
      <c r="A681" s="91">
        <v>46058</v>
      </c>
      <c r="B681" t="s">
        <v>2610</v>
      </c>
      <c r="C681" t="s">
        <v>2438</v>
      </c>
      <c r="D681">
        <v>522260</v>
      </c>
      <c r="E681" t="s">
        <v>2439</v>
      </c>
      <c r="F681">
        <v>16000</v>
      </c>
      <c r="G681" t="s">
        <v>619</v>
      </c>
      <c r="H681">
        <v>16000</v>
      </c>
      <c r="I681" t="s">
        <v>2607</v>
      </c>
    </row>
    <row r="682" spans="1:9" x14ac:dyDescent="0.25">
      <c r="A682" s="91">
        <v>46058</v>
      </c>
      <c r="B682" t="s">
        <v>81</v>
      </c>
      <c r="C682" t="s">
        <v>3104</v>
      </c>
      <c r="D682" t="s">
        <v>1218</v>
      </c>
      <c r="E682" t="s">
        <v>1219</v>
      </c>
      <c r="F682">
        <v>120</v>
      </c>
      <c r="G682" t="s">
        <v>622</v>
      </c>
      <c r="H682">
        <v>120</v>
      </c>
      <c r="I682" t="s">
        <v>2607</v>
      </c>
    </row>
    <row r="683" spans="1:9" x14ac:dyDescent="0.25">
      <c r="A683" s="91">
        <v>46058</v>
      </c>
      <c r="B683" t="s">
        <v>2610</v>
      </c>
      <c r="C683" t="s">
        <v>3105</v>
      </c>
      <c r="D683" t="s">
        <v>2086</v>
      </c>
      <c r="E683" t="s">
        <v>3106</v>
      </c>
      <c r="F683">
        <v>15000</v>
      </c>
      <c r="G683" t="s">
        <v>619</v>
      </c>
      <c r="H683">
        <v>15000</v>
      </c>
      <c r="I683" t="s">
        <v>2607</v>
      </c>
    </row>
    <row r="684" spans="1:9" x14ac:dyDescent="0.25">
      <c r="A684" s="91">
        <v>46058</v>
      </c>
      <c r="B684" t="s">
        <v>2736</v>
      </c>
      <c r="C684" t="s">
        <v>2152</v>
      </c>
      <c r="D684" t="s">
        <v>1118</v>
      </c>
      <c r="E684" t="s">
        <v>1119</v>
      </c>
      <c r="F684">
        <v>5000</v>
      </c>
      <c r="G684" t="s">
        <v>622</v>
      </c>
      <c r="H684">
        <v>5000</v>
      </c>
      <c r="I684" t="s">
        <v>2607</v>
      </c>
    </row>
    <row r="685" spans="1:9" x14ac:dyDescent="0.25">
      <c r="A685" s="91">
        <v>46059</v>
      </c>
      <c r="B685" t="s">
        <v>2608</v>
      </c>
      <c r="C685" t="s">
        <v>2051</v>
      </c>
      <c r="D685">
        <v>79501</v>
      </c>
      <c r="E685" t="s">
        <v>629</v>
      </c>
      <c r="F685">
        <v>105000</v>
      </c>
      <c r="G685" t="s">
        <v>622</v>
      </c>
      <c r="H685">
        <v>105000</v>
      </c>
      <c r="I685" t="s">
        <v>2609</v>
      </c>
    </row>
    <row r="686" spans="1:9" x14ac:dyDescent="0.25">
      <c r="A686" s="91">
        <v>46059</v>
      </c>
      <c r="B686" t="s">
        <v>2658</v>
      </c>
      <c r="C686" t="s">
        <v>2170</v>
      </c>
      <c r="D686" t="s">
        <v>637</v>
      </c>
      <c r="E686" t="s">
        <v>638</v>
      </c>
      <c r="F686">
        <v>2500</v>
      </c>
      <c r="G686" t="s">
        <v>619</v>
      </c>
      <c r="H686">
        <v>2500</v>
      </c>
      <c r="I686" t="s">
        <v>2607</v>
      </c>
    </row>
    <row r="687" spans="1:9" x14ac:dyDescent="0.25">
      <c r="A687" s="91">
        <v>46059</v>
      </c>
      <c r="B687" t="s">
        <v>81</v>
      </c>
      <c r="C687" t="s">
        <v>3107</v>
      </c>
      <c r="D687">
        <v>2206</v>
      </c>
      <c r="E687" t="s">
        <v>787</v>
      </c>
      <c r="F687">
        <v>72</v>
      </c>
      <c r="G687" t="s">
        <v>622</v>
      </c>
      <c r="H687">
        <v>72</v>
      </c>
      <c r="I687" t="s">
        <v>2607</v>
      </c>
    </row>
    <row r="688" spans="1:9" x14ac:dyDescent="0.25">
      <c r="A688" s="91">
        <v>46059</v>
      </c>
      <c r="B688" t="s">
        <v>81</v>
      </c>
      <c r="C688" t="s">
        <v>3108</v>
      </c>
      <c r="D688">
        <v>2254</v>
      </c>
      <c r="E688" t="s">
        <v>766</v>
      </c>
      <c r="F688">
        <v>204</v>
      </c>
      <c r="G688" t="s">
        <v>622</v>
      </c>
      <c r="H688">
        <v>204</v>
      </c>
      <c r="I688" t="s">
        <v>2607</v>
      </c>
    </row>
    <row r="689" spans="1:9" x14ac:dyDescent="0.25">
      <c r="A689" s="91">
        <v>46059</v>
      </c>
      <c r="B689" t="s">
        <v>81</v>
      </c>
      <c r="C689" t="s">
        <v>3109</v>
      </c>
      <c r="D689">
        <v>2244</v>
      </c>
      <c r="E689" t="s">
        <v>795</v>
      </c>
      <c r="F689">
        <v>108</v>
      </c>
      <c r="G689" t="s">
        <v>622</v>
      </c>
      <c r="H689">
        <v>108</v>
      </c>
      <c r="I689" t="s">
        <v>2607</v>
      </c>
    </row>
    <row r="690" spans="1:9" x14ac:dyDescent="0.25">
      <c r="A690" s="91">
        <v>46059</v>
      </c>
      <c r="B690" t="s">
        <v>2610</v>
      </c>
      <c r="C690" t="s">
        <v>2234</v>
      </c>
      <c r="D690">
        <v>522280</v>
      </c>
      <c r="E690" t="s">
        <v>2235</v>
      </c>
      <c r="F690">
        <v>16667</v>
      </c>
      <c r="G690" t="s">
        <v>619</v>
      </c>
      <c r="H690">
        <v>16667</v>
      </c>
      <c r="I690" t="s">
        <v>2607</v>
      </c>
    </row>
    <row r="691" spans="1:9" x14ac:dyDescent="0.25">
      <c r="A691" s="91">
        <v>46059</v>
      </c>
      <c r="B691" t="s">
        <v>2610</v>
      </c>
      <c r="C691" t="s">
        <v>3110</v>
      </c>
      <c r="D691" t="s">
        <v>2084</v>
      </c>
      <c r="E691" t="s">
        <v>2085</v>
      </c>
      <c r="F691">
        <v>15000</v>
      </c>
      <c r="G691" t="s">
        <v>619</v>
      </c>
      <c r="H691">
        <v>15000</v>
      </c>
      <c r="I691" t="s">
        <v>2607</v>
      </c>
    </row>
    <row r="692" spans="1:9" x14ac:dyDescent="0.25">
      <c r="A692" s="91">
        <v>46059</v>
      </c>
      <c r="B692" t="s">
        <v>2610</v>
      </c>
      <c r="C692" t="s">
        <v>2218</v>
      </c>
      <c r="D692">
        <v>517700</v>
      </c>
      <c r="E692" t="s">
        <v>1397</v>
      </c>
      <c r="F692">
        <v>16667</v>
      </c>
      <c r="G692" t="s">
        <v>619</v>
      </c>
      <c r="H692">
        <v>16667</v>
      </c>
      <c r="I692" t="s">
        <v>2607</v>
      </c>
    </row>
    <row r="693" spans="1:9" x14ac:dyDescent="0.25">
      <c r="A693" s="91">
        <v>46059</v>
      </c>
      <c r="B693" t="s">
        <v>2608</v>
      </c>
      <c r="C693" t="s">
        <v>2048</v>
      </c>
      <c r="D693">
        <v>79500</v>
      </c>
      <c r="E693" t="s">
        <v>625</v>
      </c>
      <c r="F693">
        <v>105000</v>
      </c>
      <c r="G693" t="s">
        <v>622</v>
      </c>
      <c r="H693">
        <v>105000</v>
      </c>
      <c r="I693" t="s">
        <v>2609</v>
      </c>
    </row>
    <row r="694" spans="1:9" x14ac:dyDescent="0.25">
      <c r="A694" s="91">
        <v>46059</v>
      </c>
      <c r="B694" t="s">
        <v>2608</v>
      </c>
      <c r="C694" t="s">
        <v>2058</v>
      </c>
      <c r="D694" t="s">
        <v>120</v>
      </c>
      <c r="E694" t="s">
        <v>2056</v>
      </c>
      <c r="F694">
        <v>7300</v>
      </c>
      <c r="G694" t="s">
        <v>619</v>
      </c>
      <c r="H694">
        <v>7300</v>
      </c>
      <c r="I694" t="s">
        <v>2607</v>
      </c>
    </row>
    <row r="695" spans="1:9" x14ac:dyDescent="0.25">
      <c r="A695" s="91">
        <v>46059</v>
      </c>
      <c r="B695" t="s">
        <v>2608</v>
      </c>
      <c r="C695" t="s">
        <v>2054</v>
      </c>
      <c r="D695">
        <v>79502</v>
      </c>
      <c r="E695" t="s">
        <v>885</v>
      </c>
      <c r="F695">
        <v>98000</v>
      </c>
      <c r="G695" t="s">
        <v>622</v>
      </c>
      <c r="H695">
        <v>98000</v>
      </c>
      <c r="I695" t="s">
        <v>2609</v>
      </c>
    </row>
    <row r="696" spans="1:9" x14ac:dyDescent="0.25">
      <c r="A696" s="91">
        <v>46059</v>
      </c>
      <c r="B696" t="s">
        <v>685</v>
      </c>
      <c r="C696" t="s">
        <v>3111</v>
      </c>
      <c r="D696">
        <v>7373</v>
      </c>
      <c r="E696" t="s">
        <v>783</v>
      </c>
      <c r="F696">
        <v>25000</v>
      </c>
      <c r="G696" t="s">
        <v>622</v>
      </c>
      <c r="H696">
        <v>25000</v>
      </c>
      <c r="I696" t="s">
        <v>2633</v>
      </c>
    </row>
    <row r="697" spans="1:9" x14ac:dyDescent="0.25">
      <c r="A697" s="91">
        <v>46059</v>
      </c>
      <c r="B697" t="s">
        <v>2665</v>
      </c>
      <c r="C697" t="s">
        <v>2440</v>
      </c>
      <c r="D697" t="s">
        <v>916</v>
      </c>
      <c r="E697" t="s">
        <v>2666</v>
      </c>
      <c r="F697">
        <v>6500</v>
      </c>
      <c r="G697" t="s">
        <v>619</v>
      </c>
      <c r="H697">
        <v>6500</v>
      </c>
      <c r="I697" t="s">
        <v>2607</v>
      </c>
    </row>
    <row r="698" spans="1:9" x14ac:dyDescent="0.25">
      <c r="A698" s="91">
        <v>46059</v>
      </c>
      <c r="B698" t="s">
        <v>2736</v>
      </c>
      <c r="C698" t="s">
        <v>2151</v>
      </c>
      <c r="D698" t="s">
        <v>1118</v>
      </c>
      <c r="E698" t="s">
        <v>1119</v>
      </c>
      <c r="F698">
        <v>4100</v>
      </c>
      <c r="G698" t="s">
        <v>622</v>
      </c>
      <c r="H698">
        <v>4100</v>
      </c>
      <c r="I698" t="s">
        <v>2607</v>
      </c>
    </row>
    <row r="699" spans="1:9" x14ac:dyDescent="0.25">
      <c r="A699" s="91">
        <v>46059</v>
      </c>
      <c r="B699" t="s">
        <v>715</v>
      </c>
      <c r="C699" t="s">
        <v>3112</v>
      </c>
      <c r="D699">
        <v>7185</v>
      </c>
      <c r="E699" t="s">
        <v>717</v>
      </c>
      <c r="F699">
        <v>55000</v>
      </c>
      <c r="G699" t="s">
        <v>622</v>
      </c>
      <c r="H699">
        <v>55000</v>
      </c>
      <c r="I699" t="s">
        <v>2633</v>
      </c>
    </row>
    <row r="700" spans="1:9" x14ac:dyDescent="0.25">
      <c r="A700" s="91">
        <v>46059</v>
      </c>
      <c r="B700" t="s">
        <v>712</v>
      </c>
      <c r="C700" t="s">
        <v>3113</v>
      </c>
      <c r="D700" t="s">
        <v>1128</v>
      </c>
      <c r="E700" t="s">
        <v>781</v>
      </c>
      <c r="F700">
        <v>40000</v>
      </c>
      <c r="G700" t="s">
        <v>622</v>
      </c>
      <c r="H700">
        <v>40000</v>
      </c>
      <c r="I700" t="s">
        <v>2607</v>
      </c>
    </row>
    <row r="701" spans="1:9" x14ac:dyDescent="0.25">
      <c r="A701" s="91">
        <v>46059</v>
      </c>
      <c r="B701" t="s">
        <v>682</v>
      </c>
      <c r="C701" t="s">
        <v>3114</v>
      </c>
      <c r="D701" t="s">
        <v>806</v>
      </c>
      <c r="E701" t="s">
        <v>807</v>
      </c>
      <c r="F701">
        <v>28000</v>
      </c>
      <c r="G701" t="s">
        <v>622</v>
      </c>
      <c r="H701">
        <v>28000</v>
      </c>
      <c r="I701" t="s">
        <v>2633</v>
      </c>
    </row>
    <row r="702" spans="1:9" x14ac:dyDescent="0.25">
      <c r="A702" s="91">
        <v>46059</v>
      </c>
      <c r="B702" t="s">
        <v>688</v>
      </c>
      <c r="C702" t="s">
        <v>3115</v>
      </c>
      <c r="D702">
        <v>7746</v>
      </c>
      <c r="E702" t="s">
        <v>692</v>
      </c>
      <c r="F702">
        <v>68000</v>
      </c>
      <c r="G702" t="s">
        <v>622</v>
      </c>
      <c r="H702">
        <v>68000</v>
      </c>
      <c r="I702" t="s">
        <v>2633</v>
      </c>
    </row>
    <row r="703" spans="1:9" x14ac:dyDescent="0.25">
      <c r="A703" s="91">
        <v>46059</v>
      </c>
      <c r="B703" t="s">
        <v>2608</v>
      </c>
      <c r="C703" t="s">
        <v>2078</v>
      </c>
      <c r="D703" t="s">
        <v>103</v>
      </c>
      <c r="E703" t="s">
        <v>2077</v>
      </c>
      <c r="F703">
        <v>7300</v>
      </c>
      <c r="G703" t="s">
        <v>619</v>
      </c>
      <c r="H703">
        <v>7300</v>
      </c>
      <c r="I703" t="s">
        <v>2607</v>
      </c>
    </row>
    <row r="704" spans="1:9" x14ac:dyDescent="0.25">
      <c r="A704" s="91">
        <v>46062</v>
      </c>
      <c r="B704" t="s">
        <v>2652</v>
      </c>
      <c r="C704" t="s">
        <v>3116</v>
      </c>
      <c r="D704">
        <v>2239</v>
      </c>
      <c r="E704" t="s">
        <v>892</v>
      </c>
      <c r="F704">
        <v>60</v>
      </c>
      <c r="G704" t="s">
        <v>622</v>
      </c>
      <c r="H704">
        <v>60</v>
      </c>
      <c r="I704" t="s">
        <v>2607</v>
      </c>
    </row>
    <row r="705" spans="1:9" x14ac:dyDescent="0.25">
      <c r="A705" s="91">
        <v>46062</v>
      </c>
      <c r="B705" t="s">
        <v>2652</v>
      </c>
      <c r="C705" t="s">
        <v>2446</v>
      </c>
      <c r="D705">
        <v>2255</v>
      </c>
      <c r="E705" t="s">
        <v>2291</v>
      </c>
      <c r="F705">
        <v>204</v>
      </c>
      <c r="G705" t="s">
        <v>622</v>
      </c>
      <c r="H705">
        <v>204</v>
      </c>
      <c r="I705" t="s">
        <v>2607</v>
      </c>
    </row>
    <row r="706" spans="1:9" x14ac:dyDescent="0.25">
      <c r="A706" s="91">
        <v>46062</v>
      </c>
      <c r="B706" t="s">
        <v>2652</v>
      </c>
      <c r="C706" t="s">
        <v>2443</v>
      </c>
      <c r="D706">
        <v>2241</v>
      </c>
      <c r="E706" t="s">
        <v>893</v>
      </c>
      <c r="F706">
        <v>108</v>
      </c>
      <c r="G706" t="s">
        <v>622</v>
      </c>
      <c r="H706">
        <v>108</v>
      </c>
      <c r="I706" t="s">
        <v>2607</v>
      </c>
    </row>
    <row r="707" spans="1:9" x14ac:dyDescent="0.25">
      <c r="A707" s="91">
        <v>46062</v>
      </c>
      <c r="B707" t="s">
        <v>2652</v>
      </c>
      <c r="C707" t="s">
        <v>2447</v>
      </c>
      <c r="D707">
        <v>2337</v>
      </c>
      <c r="E707" t="s">
        <v>1093</v>
      </c>
      <c r="F707">
        <v>100</v>
      </c>
      <c r="G707" t="s">
        <v>622</v>
      </c>
      <c r="H707">
        <v>100</v>
      </c>
      <c r="I707" t="s">
        <v>2607</v>
      </c>
    </row>
    <row r="708" spans="1:9" x14ac:dyDescent="0.25">
      <c r="A708" s="91">
        <v>46062</v>
      </c>
      <c r="B708" t="s">
        <v>2652</v>
      </c>
      <c r="C708" t="s">
        <v>3117</v>
      </c>
      <c r="D708">
        <v>2233</v>
      </c>
      <c r="E708" t="s">
        <v>890</v>
      </c>
      <c r="F708">
        <v>24</v>
      </c>
      <c r="G708" t="s">
        <v>622</v>
      </c>
      <c r="H708">
        <v>24</v>
      </c>
      <c r="I708" t="s">
        <v>2607</v>
      </c>
    </row>
    <row r="709" spans="1:9" x14ac:dyDescent="0.25">
      <c r="A709" s="91">
        <v>46062</v>
      </c>
      <c r="B709" t="s">
        <v>2652</v>
      </c>
      <c r="C709" t="s">
        <v>2445</v>
      </c>
      <c r="D709">
        <v>2253</v>
      </c>
      <c r="E709" t="s">
        <v>1016</v>
      </c>
      <c r="F709">
        <v>108</v>
      </c>
      <c r="G709" t="s">
        <v>622</v>
      </c>
      <c r="H709">
        <v>108</v>
      </c>
      <c r="I709" t="s">
        <v>2607</v>
      </c>
    </row>
    <row r="710" spans="1:9" x14ac:dyDescent="0.25">
      <c r="A710" s="91">
        <v>46062</v>
      </c>
      <c r="B710" t="s">
        <v>2617</v>
      </c>
      <c r="C710" t="s">
        <v>3118</v>
      </c>
      <c r="D710">
        <v>5150010451</v>
      </c>
      <c r="E710" t="s">
        <v>2706</v>
      </c>
      <c r="F710">
        <v>2256</v>
      </c>
      <c r="G710" t="s">
        <v>619</v>
      </c>
      <c r="H710">
        <v>2256</v>
      </c>
      <c r="I710" t="s">
        <v>2607</v>
      </c>
    </row>
    <row r="711" spans="1:9" x14ac:dyDescent="0.25">
      <c r="A711" s="91">
        <v>46062</v>
      </c>
      <c r="B711" t="s">
        <v>2614</v>
      </c>
      <c r="C711" t="s">
        <v>3119</v>
      </c>
      <c r="D711">
        <v>900304</v>
      </c>
      <c r="E711" t="s">
        <v>3120</v>
      </c>
      <c r="F711">
        <v>343</v>
      </c>
      <c r="G711" t="s">
        <v>619</v>
      </c>
      <c r="H711">
        <v>343</v>
      </c>
      <c r="I711" t="s">
        <v>2607</v>
      </c>
    </row>
    <row r="712" spans="1:9" x14ac:dyDescent="0.25">
      <c r="A712" s="91">
        <v>46062</v>
      </c>
      <c r="B712" t="s">
        <v>2617</v>
      </c>
      <c r="C712" t="s">
        <v>3121</v>
      </c>
      <c r="D712">
        <v>5150010451</v>
      </c>
      <c r="E712" t="s">
        <v>2706</v>
      </c>
      <c r="F712">
        <v>2256</v>
      </c>
      <c r="G712" t="s">
        <v>619</v>
      </c>
      <c r="H712">
        <v>2256</v>
      </c>
      <c r="I712" t="s">
        <v>2607</v>
      </c>
    </row>
    <row r="713" spans="1:9" x14ac:dyDescent="0.25">
      <c r="A713" s="91">
        <v>46062</v>
      </c>
      <c r="B713" t="s">
        <v>2614</v>
      </c>
      <c r="C713" t="s">
        <v>3122</v>
      </c>
      <c r="D713">
        <v>900303</v>
      </c>
      <c r="E713" t="s">
        <v>3085</v>
      </c>
      <c r="F713">
        <v>244</v>
      </c>
      <c r="G713" t="s">
        <v>619</v>
      </c>
      <c r="H713">
        <v>244</v>
      </c>
      <c r="I713" t="s">
        <v>2607</v>
      </c>
    </row>
    <row r="714" spans="1:9" x14ac:dyDescent="0.25">
      <c r="A714" s="91">
        <v>46062</v>
      </c>
      <c r="B714" t="s">
        <v>2614</v>
      </c>
      <c r="C714" t="s">
        <v>3123</v>
      </c>
      <c r="D714">
        <v>900303</v>
      </c>
      <c r="E714" t="s">
        <v>3085</v>
      </c>
      <c r="F714">
        <v>500</v>
      </c>
      <c r="G714" t="s">
        <v>619</v>
      </c>
      <c r="H714">
        <v>500</v>
      </c>
      <c r="I714" t="s">
        <v>2607</v>
      </c>
    </row>
    <row r="715" spans="1:9" x14ac:dyDescent="0.25">
      <c r="A715" s="91">
        <v>46062</v>
      </c>
      <c r="B715" t="s">
        <v>2611</v>
      </c>
      <c r="C715" t="s">
        <v>3124</v>
      </c>
      <c r="D715">
        <v>72001</v>
      </c>
      <c r="E715" t="s">
        <v>3056</v>
      </c>
      <c r="F715">
        <v>300</v>
      </c>
      <c r="G715" t="s">
        <v>619</v>
      </c>
      <c r="H715">
        <v>300</v>
      </c>
      <c r="I715" t="s">
        <v>2607</v>
      </c>
    </row>
    <row r="716" spans="1:9" x14ac:dyDescent="0.25">
      <c r="A716" s="91">
        <v>46062</v>
      </c>
      <c r="B716" t="s">
        <v>2658</v>
      </c>
      <c r="C716" t="s">
        <v>2171</v>
      </c>
      <c r="D716" t="s">
        <v>637</v>
      </c>
      <c r="E716" t="s">
        <v>638</v>
      </c>
      <c r="F716">
        <v>2500</v>
      </c>
      <c r="G716" t="s">
        <v>619</v>
      </c>
      <c r="H716">
        <v>2500</v>
      </c>
      <c r="I716" t="s">
        <v>2607</v>
      </c>
    </row>
    <row r="717" spans="1:9" x14ac:dyDescent="0.25">
      <c r="A717" s="91">
        <v>46062</v>
      </c>
      <c r="B717" t="s">
        <v>2617</v>
      </c>
      <c r="C717" t="s">
        <v>3125</v>
      </c>
      <c r="D717">
        <v>5150010451</v>
      </c>
      <c r="E717" t="s">
        <v>2706</v>
      </c>
      <c r="F717">
        <v>2256</v>
      </c>
      <c r="G717" t="s">
        <v>619</v>
      </c>
      <c r="H717">
        <v>2256</v>
      </c>
      <c r="I717" t="s">
        <v>2607</v>
      </c>
    </row>
    <row r="718" spans="1:9" x14ac:dyDescent="0.25">
      <c r="A718" s="91">
        <v>46062</v>
      </c>
      <c r="B718" t="s">
        <v>2652</v>
      </c>
      <c r="C718" t="s">
        <v>2444</v>
      </c>
      <c r="D718">
        <v>2251</v>
      </c>
      <c r="E718" t="s">
        <v>2286</v>
      </c>
      <c r="F718">
        <v>120</v>
      </c>
      <c r="G718" t="s">
        <v>622</v>
      </c>
      <c r="H718">
        <v>120</v>
      </c>
      <c r="I718" t="s">
        <v>2607</v>
      </c>
    </row>
    <row r="719" spans="1:9" x14ac:dyDescent="0.25">
      <c r="A719" s="91">
        <v>46062</v>
      </c>
      <c r="B719" t="s">
        <v>2624</v>
      </c>
      <c r="C719" t="s">
        <v>3126</v>
      </c>
      <c r="D719" t="s">
        <v>2910</v>
      </c>
      <c r="E719" t="s">
        <v>2911</v>
      </c>
      <c r="F719">
        <v>2083</v>
      </c>
      <c r="G719" t="s">
        <v>619</v>
      </c>
      <c r="H719">
        <v>2083</v>
      </c>
      <c r="I719" t="s">
        <v>2607</v>
      </c>
    </row>
    <row r="720" spans="1:9" x14ac:dyDescent="0.25">
      <c r="A720" s="91">
        <v>46062</v>
      </c>
      <c r="B720" t="s">
        <v>2610</v>
      </c>
      <c r="C720" t="s">
        <v>2227</v>
      </c>
      <c r="D720">
        <v>520860</v>
      </c>
      <c r="E720" t="s">
        <v>1388</v>
      </c>
      <c r="F720">
        <v>14584</v>
      </c>
      <c r="G720" t="s">
        <v>619</v>
      </c>
      <c r="H720">
        <v>14584</v>
      </c>
      <c r="I720" t="s">
        <v>2607</v>
      </c>
    </row>
    <row r="721" spans="1:9" x14ac:dyDescent="0.25">
      <c r="A721" s="91">
        <v>46062</v>
      </c>
      <c r="B721">
        <v>7002</v>
      </c>
      <c r="C721" t="s">
        <v>3127</v>
      </c>
      <c r="D721">
        <v>907015</v>
      </c>
      <c r="E721" t="s">
        <v>3128</v>
      </c>
      <c r="F721">
        <v>290</v>
      </c>
      <c r="G721" t="s">
        <v>619</v>
      </c>
      <c r="H721">
        <v>290</v>
      </c>
      <c r="I721" t="s">
        <v>2607</v>
      </c>
    </row>
    <row r="722" spans="1:9" x14ac:dyDescent="0.25">
      <c r="A722" s="91">
        <v>46062</v>
      </c>
      <c r="B722" t="s">
        <v>2610</v>
      </c>
      <c r="C722" t="s">
        <v>2231</v>
      </c>
      <c r="D722">
        <v>520880</v>
      </c>
      <c r="E722" t="s">
        <v>1399</v>
      </c>
      <c r="F722">
        <v>14584</v>
      </c>
      <c r="G722" t="s">
        <v>619</v>
      </c>
      <c r="H722">
        <v>14584</v>
      </c>
      <c r="I722" t="s">
        <v>2607</v>
      </c>
    </row>
    <row r="723" spans="1:9" x14ac:dyDescent="0.25">
      <c r="A723" s="91">
        <v>46062</v>
      </c>
      <c r="B723" t="s">
        <v>2624</v>
      </c>
      <c r="C723" t="s">
        <v>3129</v>
      </c>
      <c r="D723" t="s">
        <v>2713</v>
      </c>
      <c r="E723" t="s">
        <v>2714</v>
      </c>
      <c r="F723">
        <v>2083</v>
      </c>
      <c r="G723" t="s">
        <v>619</v>
      </c>
      <c r="H723">
        <v>2083</v>
      </c>
      <c r="I723" t="s">
        <v>2607</v>
      </c>
    </row>
    <row r="724" spans="1:9" x14ac:dyDescent="0.25">
      <c r="A724" s="91">
        <v>46062</v>
      </c>
      <c r="B724" t="s">
        <v>2624</v>
      </c>
      <c r="C724" t="s">
        <v>3130</v>
      </c>
      <c r="D724" t="s">
        <v>2910</v>
      </c>
      <c r="E724" t="s">
        <v>2911</v>
      </c>
      <c r="F724">
        <v>2083</v>
      </c>
      <c r="G724" t="s">
        <v>619</v>
      </c>
      <c r="H724">
        <v>2083</v>
      </c>
      <c r="I724" t="s">
        <v>2607</v>
      </c>
    </row>
    <row r="725" spans="1:9" x14ac:dyDescent="0.25">
      <c r="A725" s="91">
        <v>46062</v>
      </c>
      <c r="B725" t="s">
        <v>2621</v>
      </c>
      <c r="C725" t="s">
        <v>3131</v>
      </c>
      <c r="D725">
        <v>529300</v>
      </c>
      <c r="E725" t="s">
        <v>2623</v>
      </c>
      <c r="F725">
        <v>10832</v>
      </c>
      <c r="G725" t="s">
        <v>619</v>
      </c>
      <c r="H725">
        <v>10832</v>
      </c>
      <c r="I725" t="s">
        <v>2607</v>
      </c>
    </row>
    <row r="726" spans="1:9" x14ac:dyDescent="0.25">
      <c r="A726" s="91">
        <v>46062</v>
      </c>
      <c r="B726" t="s">
        <v>2621</v>
      </c>
      <c r="C726" t="s">
        <v>3132</v>
      </c>
      <c r="D726" t="s">
        <v>2669</v>
      </c>
      <c r="E726" t="s">
        <v>2670</v>
      </c>
      <c r="F726">
        <v>7505</v>
      </c>
      <c r="G726" t="s">
        <v>619</v>
      </c>
      <c r="H726">
        <v>7505</v>
      </c>
      <c r="I726" t="s">
        <v>2607</v>
      </c>
    </row>
    <row r="727" spans="1:9" x14ac:dyDescent="0.25">
      <c r="A727" s="91">
        <v>46062</v>
      </c>
      <c r="B727">
        <v>7002</v>
      </c>
      <c r="C727" t="s">
        <v>3133</v>
      </c>
      <c r="D727">
        <v>907017</v>
      </c>
      <c r="E727" t="s">
        <v>3134</v>
      </c>
      <c r="F727">
        <v>251</v>
      </c>
      <c r="G727" t="s">
        <v>619</v>
      </c>
      <c r="H727">
        <v>251</v>
      </c>
      <c r="I727" t="s">
        <v>2607</v>
      </c>
    </row>
    <row r="728" spans="1:9" x14ac:dyDescent="0.25">
      <c r="A728" s="91">
        <v>46062</v>
      </c>
      <c r="B728" t="s">
        <v>2736</v>
      </c>
      <c r="C728" t="s">
        <v>2142</v>
      </c>
      <c r="D728" t="s">
        <v>2140</v>
      </c>
      <c r="E728" t="s">
        <v>2141</v>
      </c>
      <c r="F728">
        <v>5500</v>
      </c>
      <c r="G728" t="s">
        <v>622</v>
      </c>
      <c r="H728">
        <v>5500</v>
      </c>
      <c r="I728" t="s">
        <v>2607</v>
      </c>
    </row>
    <row r="729" spans="1:9" x14ac:dyDescent="0.25">
      <c r="A729" s="91">
        <v>46062</v>
      </c>
      <c r="B729" t="s">
        <v>2665</v>
      </c>
      <c r="C729" t="s">
        <v>2441</v>
      </c>
      <c r="D729" t="s">
        <v>623</v>
      </c>
      <c r="E729" t="s">
        <v>2703</v>
      </c>
      <c r="F729">
        <v>6500</v>
      </c>
      <c r="G729" t="s">
        <v>619</v>
      </c>
      <c r="H729">
        <v>6500</v>
      </c>
      <c r="I729" t="s">
        <v>2607</v>
      </c>
    </row>
    <row r="730" spans="1:9" x14ac:dyDescent="0.25">
      <c r="A730" s="91">
        <v>46062</v>
      </c>
      <c r="B730" t="s">
        <v>2606</v>
      </c>
      <c r="C730" t="s">
        <v>2115</v>
      </c>
      <c r="D730">
        <v>7037</v>
      </c>
      <c r="E730" t="s">
        <v>632</v>
      </c>
      <c r="F730">
        <v>105000</v>
      </c>
      <c r="G730" t="s">
        <v>622</v>
      </c>
      <c r="H730">
        <v>105000</v>
      </c>
      <c r="I730" t="s">
        <v>2609</v>
      </c>
    </row>
    <row r="731" spans="1:9" x14ac:dyDescent="0.25">
      <c r="A731" s="91">
        <v>46062</v>
      </c>
      <c r="B731" t="s">
        <v>2606</v>
      </c>
      <c r="C731" t="s">
        <v>3135</v>
      </c>
      <c r="D731" t="s">
        <v>1400</v>
      </c>
      <c r="E731" t="s">
        <v>2941</v>
      </c>
      <c r="F731">
        <v>7300</v>
      </c>
      <c r="G731" t="s">
        <v>619</v>
      </c>
      <c r="H731">
        <v>7300</v>
      </c>
      <c r="I731" t="s">
        <v>2607</v>
      </c>
    </row>
    <row r="732" spans="1:9" x14ac:dyDescent="0.25">
      <c r="A732" s="91">
        <v>46062</v>
      </c>
      <c r="B732" t="s">
        <v>2608</v>
      </c>
      <c r="C732" t="s">
        <v>2079</v>
      </c>
      <c r="D732" t="s">
        <v>103</v>
      </c>
      <c r="E732" t="s">
        <v>2077</v>
      </c>
      <c r="F732">
        <v>7300</v>
      </c>
      <c r="G732" t="s">
        <v>619</v>
      </c>
      <c r="H732">
        <v>7300</v>
      </c>
      <c r="I732" t="s">
        <v>2607</v>
      </c>
    </row>
    <row r="733" spans="1:9" x14ac:dyDescent="0.25">
      <c r="A733" s="91">
        <v>46062</v>
      </c>
      <c r="B733" t="s">
        <v>2610</v>
      </c>
      <c r="C733" t="s">
        <v>2099</v>
      </c>
      <c r="D733" t="s">
        <v>2100</v>
      </c>
      <c r="E733" t="s">
        <v>2101</v>
      </c>
      <c r="F733">
        <v>15000</v>
      </c>
      <c r="G733" t="s">
        <v>619</v>
      </c>
      <c r="H733">
        <v>15000</v>
      </c>
      <c r="I733" t="s">
        <v>2607</v>
      </c>
    </row>
    <row r="734" spans="1:9" x14ac:dyDescent="0.25">
      <c r="A734" s="91">
        <v>46062</v>
      </c>
      <c r="B734" t="s">
        <v>2621</v>
      </c>
      <c r="C734" t="s">
        <v>3136</v>
      </c>
      <c r="D734" t="s">
        <v>2639</v>
      </c>
      <c r="E734" t="s">
        <v>2640</v>
      </c>
      <c r="F734">
        <v>7505</v>
      </c>
      <c r="G734" t="s">
        <v>619</v>
      </c>
      <c r="H734">
        <v>7505</v>
      </c>
      <c r="I734" t="s">
        <v>2607</v>
      </c>
    </row>
    <row r="735" spans="1:9" x14ac:dyDescent="0.25">
      <c r="A735" s="91">
        <v>46063</v>
      </c>
      <c r="B735" t="s">
        <v>2610</v>
      </c>
      <c r="C735" t="s">
        <v>2213</v>
      </c>
      <c r="D735">
        <v>517640</v>
      </c>
      <c r="E735" t="s">
        <v>3137</v>
      </c>
      <c r="F735">
        <v>16667</v>
      </c>
      <c r="G735" t="s">
        <v>619</v>
      </c>
      <c r="H735">
        <v>16667</v>
      </c>
      <c r="I735" t="s">
        <v>2607</v>
      </c>
    </row>
    <row r="736" spans="1:9" x14ac:dyDescent="0.25">
      <c r="A736" s="91">
        <v>46063</v>
      </c>
      <c r="B736" t="s">
        <v>2652</v>
      </c>
      <c r="C736" t="s">
        <v>2476</v>
      </c>
      <c r="D736" t="s">
        <v>990</v>
      </c>
      <c r="E736" t="s">
        <v>991</v>
      </c>
      <c r="F736">
        <v>120</v>
      </c>
      <c r="G736" t="s">
        <v>622</v>
      </c>
      <c r="H736">
        <v>120</v>
      </c>
      <c r="I736" t="s">
        <v>2607</v>
      </c>
    </row>
    <row r="737" spans="1:9" x14ac:dyDescent="0.25">
      <c r="A737" s="91">
        <v>46063</v>
      </c>
      <c r="B737" t="s">
        <v>2652</v>
      </c>
      <c r="C737" t="s">
        <v>2465</v>
      </c>
      <c r="D737" t="s">
        <v>974</v>
      </c>
      <c r="E737" t="s">
        <v>975</v>
      </c>
      <c r="F737">
        <v>120</v>
      </c>
      <c r="G737" t="s">
        <v>622</v>
      </c>
      <c r="H737">
        <v>120</v>
      </c>
      <c r="I737" t="s">
        <v>2607</v>
      </c>
    </row>
    <row r="738" spans="1:9" x14ac:dyDescent="0.25">
      <c r="A738" s="91">
        <v>46063</v>
      </c>
      <c r="B738" t="s">
        <v>2652</v>
      </c>
      <c r="C738" t="s">
        <v>2475</v>
      </c>
      <c r="D738" t="s">
        <v>988</v>
      </c>
      <c r="E738" t="s">
        <v>989</v>
      </c>
      <c r="F738">
        <v>120</v>
      </c>
      <c r="G738" t="s">
        <v>622</v>
      </c>
      <c r="H738">
        <v>120</v>
      </c>
      <c r="I738" t="s">
        <v>2607</v>
      </c>
    </row>
    <row r="739" spans="1:9" x14ac:dyDescent="0.25">
      <c r="A739" s="91">
        <v>46063</v>
      </c>
      <c r="B739" t="s">
        <v>2652</v>
      </c>
      <c r="C739" t="s">
        <v>2474</v>
      </c>
      <c r="D739" t="s">
        <v>986</v>
      </c>
      <c r="E739" t="s">
        <v>987</v>
      </c>
      <c r="F739">
        <v>120</v>
      </c>
      <c r="G739" t="s">
        <v>622</v>
      </c>
      <c r="H739">
        <v>120</v>
      </c>
      <c r="I739" t="s">
        <v>2607</v>
      </c>
    </row>
    <row r="740" spans="1:9" x14ac:dyDescent="0.25">
      <c r="A740" s="91">
        <v>46063</v>
      </c>
      <c r="B740" t="s">
        <v>2614</v>
      </c>
      <c r="C740" t="s">
        <v>3138</v>
      </c>
      <c r="D740">
        <v>623281</v>
      </c>
      <c r="E740" t="s">
        <v>2635</v>
      </c>
      <c r="F740">
        <v>788</v>
      </c>
      <c r="G740" t="s">
        <v>619</v>
      </c>
      <c r="H740">
        <v>788</v>
      </c>
      <c r="I740" t="s">
        <v>2607</v>
      </c>
    </row>
    <row r="741" spans="1:9" x14ac:dyDescent="0.25">
      <c r="A741" s="91">
        <v>46063</v>
      </c>
      <c r="B741" t="s">
        <v>2617</v>
      </c>
      <c r="C741" t="s">
        <v>3139</v>
      </c>
      <c r="D741">
        <v>5150010451</v>
      </c>
      <c r="E741" t="s">
        <v>2706</v>
      </c>
      <c r="F741">
        <v>2256</v>
      </c>
      <c r="G741" t="s">
        <v>619</v>
      </c>
      <c r="H741">
        <v>2256</v>
      </c>
      <c r="I741" t="s">
        <v>2607</v>
      </c>
    </row>
    <row r="742" spans="1:9" x14ac:dyDescent="0.25">
      <c r="A742" s="91">
        <v>46063</v>
      </c>
      <c r="B742" t="s">
        <v>2680</v>
      </c>
      <c r="C742" t="s">
        <v>3140</v>
      </c>
      <c r="D742">
        <v>800500</v>
      </c>
      <c r="E742" t="s">
        <v>2945</v>
      </c>
      <c r="F742">
        <v>300</v>
      </c>
      <c r="G742" t="s">
        <v>619</v>
      </c>
      <c r="H742">
        <v>300</v>
      </c>
      <c r="I742" t="s">
        <v>2939</v>
      </c>
    </row>
    <row r="743" spans="1:9" x14ac:dyDescent="0.25">
      <c r="A743" s="91">
        <v>46063</v>
      </c>
      <c r="B743" t="s">
        <v>2611</v>
      </c>
      <c r="C743" t="s">
        <v>3141</v>
      </c>
      <c r="D743">
        <v>72003</v>
      </c>
      <c r="E743" t="s">
        <v>3142</v>
      </c>
      <c r="F743">
        <v>250</v>
      </c>
      <c r="G743" t="s">
        <v>619</v>
      </c>
      <c r="H743">
        <v>250</v>
      </c>
      <c r="I743" t="s">
        <v>2607</v>
      </c>
    </row>
    <row r="744" spans="1:9" x14ac:dyDescent="0.25">
      <c r="A744" s="91">
        <v>46063</v>
      </c>
      <c r="B744" t="s">
        <v>2610</v>
      </c>
      <c r="C744" t="s">
        <v>2092</v>
      </c>
      <c r="D744" t="s">
        <v>2093</v>
      </c>
      <c r="E744" t="s">
        <v>2094</v>
      </c>
      <c r="F744">
        <v>15000</v>
      </c>
      <c r="G744" t="s">
        <v>619</v>
      </c>
      <c r="H744">
        <v>15000</v>
      </c>
      <c r="I744" t="s">
        <v>2607</v>
      </c>
    </row>
    <row r="745" spans="1:9" x14ac:dyDescent="0.25">
      <c r="A745" s="91">
        <v>46063</v>
      </c>
      <c r="B745" t="s">
        <v>2652</v>
      </c>
      <c r="C745" t="s">
        <v>2467</v>
      </c>
      <c r="D745" t="s">
        <v>978</v>
      </c>
      <c r="E745" t="s">
        <v>979</v>
      </c>
      <c r="F745">
        <v>240</v>
      </c>
      <c r="G745" t="s">
        <v>622</v>
      </c>
      <c r="H745">
        <v>240</v>
      </c>
      <c r="I745" t="s">
        <v>2607</v>
      </c>
    </row>
    <row r="746" spans="1:9" x14ac:dyDescent="0.25">
      <c r="A746" s="91">
        <v>46063</v>
      </c>
      <c r="B746" t="s">
        <v>2608</v>
      </c>
      <c r="C746" t="s">
        <v>2117</v>
      </c>
      <c r="D746">
        <v>7046</v>
      </c>
      <c r="E746" t="s">
        <v>1110</v>
      </c>
      <c r="F746">
        <v>105000</v>
      </c>
      <c r="G746" t="s">
        <v>622</v>
      </c>
      <c r="H746">
        <v>105000</v>
      </c>
      <c r="I746" t="s">
        <v>2609</v>
      </c>
    </row>
    <row r="747" spans="1:9" x14ac:dyDescent="0.25">
      <c r="A747" s="91">
        <v>46063</v>
      </c>
      <c r="B747" t="s">
        <v>2606</v>
      </c>
      <c r="C747" t="s">
        <v>3143</v>
      </c>
      <c r="D747">
        <v>220125</v>
      </c>
      <c r="E747" t="s">
        <v>2700</v>
      </c>
      <c r="F747">
        <v>4250</v>
      </c>
      <c r="G747" t="s">
        <v>619</v>
      </c>
      <c r="H747">
        <v>4250</v>
      </c>
      <c r="I747" t="s">
        <v>2607</v>
      </c>
    </row>
    <row r="748" spans="1:9" x14ac:dyDescent="0.25">
      <c r="A748" s="91">
        <v>46063</v>
      </c>
      <c r="B748" t="s">
        <v>2608</v>
      </c>
      <c r="C748" t="s">
        <v>3144</v>
      </c>
      <c r="D748">
        <v>7015</v>
      </c>
      <c r="E748" t="s">
        <v>3145</v>
      </c>
      <c r="F748">
        <v>4000</v>
      </c>
      <c r="G748" t="s">
        <v>622</v>
      </c>
      <c r="H748">
        <v>4000</v>
      </c>
      <c r="I748" t="s">
        <v>2609</v>
      </c>
    </row>
    <row r="749" spans="1:9" x14ac:dyDescent="0.25">
      <c r="A749" s="91">
        <v>46063</v>
      </c>
      <c r="B749" t="s">
        <v>685</v>
      </c>
      <c r="C749" t="s">
        <v>3146</v>
      </c>
      <c r="D749">
        <v>7372</v>
      </c>
      <c r="E749" t="s">
        <v>741</v>
      </c>
      <c r="F749">
        <v>40000</v>
      </c>
      <c r="G749" t="s">
        <v>622</v>
      </c>
      <c r="H749">
        <v>40000</v>
      </c>
      <c r="I749" t="s">
        <v>2633</v>
      </c>
    </row>
    <row r="750" spans="1:9" x14ac:dyDescent="0.25">
      <c r="A750" s="91">
        <v>46063</v>
      </c>
      <c r="B750" t="s">
        <v>2665</v>
      </c>
      <c r="C750" t="s">
        <v>2442</v>
      </c>
      <c r="D750" t="s">
        <v>623</v>
      </c>
      <c r="E750" t="s">
        <v>2703</v>
      </c>
      <c r="F750">
        <v>6500</v>
      </c>
      <c r="G750" t="s">
        <v>619</v>
      </c>
      <c r="H750">
        <v>6500</v>
      </c>
      <c r="I750" t="s">
        <v>2607</v>
      </c>
    </row>
    <row r="751" spans="1:9" x14ac:dyDescent="0.25">
      <c r="A751" s="91">
        <v>46063</v>
      </c>
      <c r="B751" t="s">
        <v>2736</v>
      </c>
      <c r="C751" t="s">
        <v>2147</v>
      </c>
      <c r="D751" t="s">
        <v>2148</v>
      </c>
      <c r="E751" t="s">
        <v>2149</v>
      </c>
      <c r="F751">
        <v>5400</v>
      </c>
      <c r="G751" t="s">
        <v>622</v>
      </c>
      <c r="H751">
        <v>5400</v>
      </c>
      <c r="I751" t="s">
        <v>2607</v>
      </c>
    </row>
    <row r="752" spans="1:9" x14ac:dyDescent="0.25">
      <c r="A752" s="91">
        <v>46063</v>
      </c>
      <c r="B752" t="s">
        <v>715</v>
      </c>
      <c r="C752" t="s">
        <v>3147</v>
      </c>
      <c r="D752">
        <v>7193</v>
      </c>
      <c r="E752" t="s">
        <v>811</v>
      </c>
      <c r="F752">
        <v>55000</v>
      </c>
      <c r="G752" t="s">
        <v>622</v>
      </c>
      <c r="H752">
        <v>55000</v>
      </c>
      <c r="I752" t="s">
        <v>2633</v>
      </c>
    </row>
    <row r="753" spans="1:9" x14ac:dyDescent="0.25">
      <c r="A753" s="91">
        <v>46063</v>
      </c>
      <c r="B753" t="s">
        <v>2621</v>
      </c>
      <c r="C753" t="s">
        <v>3148</v>
      </c>
      <c r="D753">
        <v>529300</v>
      </c>
      <c r="E753" t="s">
        <v>2623</v>
      </c>
      <c r="F753">
        <v>10832</v>
      </c>
      <c r="G753" t="s">
        <v>619</v>
      </c>
      <c r="H753">
        <v>10832</v>
      </c>
      <c r="I753" t="s">
        <v>2607</v>
      </c>
    </row>
    <row r="754" spans="1:9" x14ac:dyDescent="0.25">
      <c r="A754" s="91">
        <v>46063</v>
      </c>
      <c r="B754" t="s">
        <v>2624</v>
      </c>
      <c r="C754" t="s">
        <v>3149</v>
      </c>
      <c r="D754" t="s">
        <v>2713</v>
      </c>
      <c r="E754" t="s">
        <v>2714</v>
      </c>
      <c r="F754">
        <v>2083</v>
      </c>
      <c r="G754" t="s">
        <v>619</v>
      </c>
      <c r="H754">
        <v>2083</v>
      </c>
      <c r="I754" t="s">
        <v>2607</v>
      </c>
    </row>
    <row r="755" spans="1:9" x14ac:dyDescent="0.25">
      <c r="A755" s="91">
        <v>46063</v>
      </c>
      <c r="B755" t="s">
        <v>712</v>
      </c>
      <c r="C755" t="s">
        <v>3150</v>
      </c>
      <c r="D755" t="s">
        <v>1127</v>
      </c>
      <c r="E755" t="s">
        <v>713</v>
      </c>
      <c r="F755">
        <v>40000</v>
      </c>
      <c r="G755" t="s">
        <v>622</v>
      </c>
      <c r="H755">
        <v>40000</v>
      </c>
      <c r="I755" t="s">
        <v>2607</v>
      </c>
    </row>
    <row r="756" spans="1:9" x14ac:dyDescent="0.25">
      <c r="A756" s="91">
        <v>46063</v>
      </c>
      <c r="B756" t="s">
        <v>682</v>
      </c>
      <c r="C756" t="s">
        <v>3151</v>
      </c>
      <c r="D756">
        <v>7297</v>
      </c>
      <c r="E756" t="s">
        <v>684</v>
      </c>
      <c r="F756">
        <v>30000</v>
      </c>
      <c r="G756" t="s">
        <v>622</v>
      </c>
      <c r="H756">
        <v>30000</v>
      </c>
      <c r="I756" t="s">
        <v>2633</v>
      </c>
    </row>
    <row r="757" spans="1:9" x14ac:dyDescent="0.25">
      <c r="A757" s="91">
        <v>46063</v>
      </c>
      <c r="B757" t="s">
        <v>688</v>
      </c>
      <c r="C757" t="s">
        <v>3152</v>
      </c>
      <c r="D757">
        <v>7741</v>
      </c>
      <c r="E757" t="s">
        <v>690</v>
      </c>
      <c r="F757">
        <v>68000</v>
      </c>
      <c r="G757" t="s">
        <v>622</v>
      </c>
      <c r="H757">
        <v>68000</v>
      </c>
      <c r="I757" t="s">
        <v>2633</v>
      </c>
    </row>
    <row r="758" spans="1:9" x14ac:dyDescent="0.25">
      <c r="A758" s="91">
        <v>46063</v>
      </c>
      <c r="B758">
        <v>7002</v>
      </c>
      <c r="C758" t="s">
        <v>3153</v>
      </c>
      <c r="D758">
        <v>907019</v>
      </c>
      <c r="E758" t="s">
        <v>3154</v>
      </c>
      <c r="F758">
        <v>50</v>
      </c>
      <c r="G758" t="s">
        <v>619</v>
      </c>
      <c r="H758">
        <v>50</v>
      </c>
      <c r="I758" t="s">
        <v>2607</v>
      </c>
    </row>
    <row r="759" spans="1:9" x14ac:dyDescent="0.25">
      <c r="A759" s="91">
        <v>46064</v>
      </c>
      <c r="B759" t="s">
        <v>2606</v>
      </c>
      <c r="C759" t="s">
        <v>3155</v>
      </c>
      <c r="D759">
        <v>220125</v>
      </c>
      <c r="E759" t="s">
        <v>2700</v>
      </c>
      <c r="F759">
        <v>2500</v>
      </c>
      <c r="G759" t="s">
        <v>619</v>
      </c>
      <c r="H759">
        <v>2500</v>
      </c>
      <c r="I759" t="s">
        <v>2607</v>
      </c>
    </row>
    <row r="760" spans="1:9" x14ac:dyDescent="0.25">
      <c r="A760" s="91">
        <v>46064</v>
      </c>
      <c r="B760" t="s">
        <v>2608</v>
      </c>
      <c r="C760" t="s">
        <v>2103</v>
      </c>
      <c r="D760">
        <v>7010</v>
      </c>
      <c r="E760" t="s">
        <v>621</v>
      </c>
      <c r="F760">
        <v>105000</v>
      </c>
      <c r="G760" t="s">
        <v>622</v>
      </c>
      <c r="H760">
        <v>105000</v>
      </c>
      <c r="I760" t="s">
        <v>2609</v>
      </c>
    </row>
    <row r="761" spans="1:9" x14ac:dyDescent="0.25">
      <c r="A761" s="91">
        <v>46064</v>
      </c>
      <c r="B761" t="s">
        <v>2610</v>
      </c>
      <c r="C761" t="s">
        <v>2219</v>
      </c>
      <c r="D761">
        <v>519180</v>
      </c>
      <c r="E761" t="s">
        <v>1410</v>
      </c>
      <c r="F761">
        <v>16667</v>
      </c>
      <c r="G761" t="s">
        <v>619</v>
      </c>
      <c r="H761">
        <v>16667</v>
      </c>
      <c r="I761" t="s">
        <v>2607</v>
      </c>
    </row>
    <row r="762" spans="1:9" x14ac:dyDescent="0.25">
      <c r="A762" s="91">
        <v>46064</v>
      </c>
      <c r="B762" t="s">
        <v>81</v>
      </c>
      <c r="C762" t="s">
        <v>3156</v>
      </c>
      <c r="D762" t="s">
        <v>1036</v>
      </c>
      <c r="E762" t="s">
        <v>1037</v>
      </c>
      <c r="F762">
        <v>600</v>
      </c>
      <c r="G762" t="s">
        <v>622</v>
      </c>
      <c r="H762">
        <v>600</v>
      </c>
      <c r="I762" t="s">
        <v>2607</v>
      </c>
    </row>
    <row r="763" spans="1:9" x14ac:dyDescent="0.25">
      <c r="A763" s="91">
        <v>46064</v>
      </c>
      <c r="B763" t="s">
        <v>81</v>
      </c>
      <c r="C763" t="s">
        <v>3157</v>
      </c>
      <c r="D763" t="s">
        <v>1032</v>
      </c>
      <c r="E763" t="s">
        <v>1033</v>
      </c>
      <c r="F763">
        <v>600</v>
      </c>
      <c r="G763" t="s">
        <v>622</v>
      </c>
      <c r="H763">
        <v>600</v>
      </c>
      <c r="I763" t="s">
        <v>2607</v>
      </c>
    </row>
    <row r="764" spans="1:9" x14ac:dyDescent="0.25">
      <c r="A764" s="91">
        <v>46064</v>
      </c>
      <c r="B764" t="s">
        <v>2617</v>
      </c>
      <c r="C764" t="s">
        <v>3158</v>
      </c>
      <c r="D764">
        <v>5150010451</v>
      </c>
      <c r="E764" t="s">
        <v>2706</v>
      </c>
      <c r="F764">
        <v>2256</v>
      </c>
      <c r="G764" t="s">
        <v>619</v>
      </c>
      <c r="H764">
        <v>2256</v>
      </c>
      <c r="I764" t="s">
        <v>2607</v>
      </c>
    </row>
    <row r="765" spans="1:9" x14ac:dyDescent="0.25">
      <c r="A765" s="91">
        <v>46064</v>
      </c>
      <c r="B765" t="s">
        <v>2614</v>
      </c>
      <c r="C765" t="s">
        <v>3159</v>
      </c>
      <c r="D765">
        <v>623281</v>
      </c>
      <c r="E765" t="s">
        <v>2635</v>
      </c>
      <c r="F765">
        <v>700</v>
      </c>
      <c r="G765" t="s">
        <v>619</v>
      </c>
      <c r="H765">
        <v>700</v>
      </c>
      <c r="I765" t="s">
        <v>2607</v>
      </c>
    </row>
    <row r="766" spans="1:9" x14ac:dyDescent="0.25">
      <c r="A766" s="91">
        <v>46064</v>
      </c>
      <c r="B766" t="s">
        <v>2614</v>
      </c>
      <c r="C766" t="s">
        <v>3160</v>
      </c>
      <c r="D766">
        <v>623281</v>
      </c>
      <c r="E766" t="s">
        <v>2635</v>
      </c>
      <c r="F766">
        <v>250</v>
      </c>
      <c r="G766" t="s">
        <v>619</v>
      </c>
      <c r="H766">
        <v>250</v>
      </c>
      <c r="I766" t="s">
        <v>2607</v>
      </c>
    </row>
    <row r="767" spans="1:9" x14ac:dyDescent="0.25">
      <c r="A767" s="91">
        <v>46064</v>
      </c>
      <c r="B767" t="s">
        <v>2658</v>
      </c>
      <c r="C767" t="s">
        <v>2172</v>
      </c>
      <c r="D767" t="s">
        <v>637</v>
      </c>
      <c r="E767" t="s">
        <v>638</v>
      </c>
      <c r="F767">
        <v>2500</v>
      </c>
      <c r="G767" t="s">
        <v>619</v>
      </c>
      <c r="H767">
        <v>2500</v>
      </c>
      <c r="I767" t="s">
        <v>2607</v>
      </c>
    </row>
    <row r="768" spans="1:9" x14ac:dyDescent="0.25">
      <c r="A768" s="91">
        <v>46064</v>
      </c>
      <c r="B768" t="s">
        <v>685</v>
      </c>
      <c r="C768" t="s">
        <v>3161</v>
      </c>
      <c r="D768">
        <v>7372</v>
      </c>
      <c r="E768" t="s">
        <v>741</v>
      </c>
      <c r="F768">
        <v>40000</v>
      </c>
      <c r="G768" t="s">
        <v>622</v>
      </c>
      <c r="H768">
        <v>40000</v>
      </c>
      <c r="I768" t="s">
        <v>2633</v>
      </c>
    </row>
    <row r="769" spans="1:9" x14ac:dyDescent="0.25">
      <c r="A769" s="91">
        <v>46064</v>
      </c>
      <c r="B769" t="s">
        <v>81</v>
      </c>
      <c r="C769" t="s">
        <v>3162</v>
      </c>
      <c r="D769" t="s">
        <v>1038</v>
      </c>
      <c r="E769" t="s">
        <v>1039</v>
      </c>
      <c r="F769">
        <v>600</v>
      </c>
      <c r="G769" t="s">
        <v>622</v>
      </c>
      <c r="H769">
        <v>600</v>
      </c>
      <c r="I769" t="s">
        <v>2607</v>
      </c>
    </row>
    <row r="770" spans="1:9" x14ac:dyDescent="0.25">
      <c r="A770" s="91">
        <v>46064</v>
      </c>
      <c r="B770" t="s">
        <v>2665</v>
      </c>
      <c r="C770" t="s">
        <v>2449</v>
      </c>
      <c r="D770" t="s">
        <v>623</v>
      </c>
      <c r="E770" t="s">
        <v>2703</v>
      </c>
      <c r="F770">
        <v>4500</v>
      </c>
      <c r="G770" t="s">
        <v>619</v>
      </c>
      <c r="H770">
        <v>4500</v>
      </c>
      <c r="I770" t="s">
        <v>2607</v>
      </c>
    </row>
    <row r="771" spans="1:9" x14ac:dyDescent="0.25">
      <c r="A771" s="91">
        <v>46064</v>
      </c>
      <c r="B771" t="s">
        <v>2665</v>
      </c>
      <c r="C771" t="s">
        <v>2448</v>
      </c>
      <c r="D771" t="s">
        <v>2183</v>
      </c>
      <c r="E771" t="s">
        <v>2922</v>
      </c>
      <c r="F771">
        <v>400</v>
      </c>
      <c r="G771" t="s">
        <v>619</v>
      </c>
      <c r="H771">
        <v>400</v>
      </c>
      <c r="I771" t="s">
        <v>2607</v>
      </c>
    </row>
    <row r="772" spans="1:9" x14ac:dyDescent="0.25">
      <c r="A772" s="91">
        <v>46064</v>
      </c>
      <c r="B772" t="s">
        <v>2736</v>
      </c>
      <c r="C772" t="s">
        <v>2143</v>
      </c>
      <c r="D772" t="s">
        <v>2140</v>
      </c>
      <c r="E772" t="s">
        <v>2141</v>
      </c>
      <c r="F772">
        <v>5500</v>
      </c>
      <c r="G772" t="s">
        <v>622</v>
      </c>
      <c r="H772">
        <v>5500</v>
      </c>
      <c r="I772" t="s">
        <v>2607</v>
      </c>
    </row>
    <row r="773" spans="1:9" x14ac:dyDescent="0.25">
      <c r="A773" s="91">
        <v>46064</v>
      </c>
      <c r="B773">
        <v>7002</v>
      </c>
      <c r="C773" t="s">
        <v>3163</v>
      </c>
      <c r="D773">
        <v>907019</v>
      </c>
      <c r="E773" t="s">
        <v>3154</v>
      </c>
      <c r="F773">
        <v>437</v>
      </c>
      <c r="G773" t="s">
        <v>619</v>
      </c>
      <c r="H773">
        <v>437</v>
      </c>
      <c r="I773" t="s">
        <v>2607</v>
      </c>
    </row>
    <row r="774" spans="1:9" x14ac:dyDescent="0.25">
      <c r="A774" s="91">
        <v>46064</v>
      </c>
      <c r="B774" t="s">
        <v>682</v>
      </c>
      <c r="C774" t="s">
        <v>3164</v>
      </c>
      <c r="D774">
        <v>7302</v>
      </c>
      <c r="E774" t="s">
        <v>768</v>
      </c>
      <c r="F774">
        <v>27000</v>
      </c>
      <c r="G774" t="s">
        <v>622</v>
      </c>
      <c r="H774">
        <v>27000</v>
      </c>
      <c r="I774" t="s">
        <v>2633</v>
      </c>
    </row>
    <row r="775" spans="1:9" x14ac:dyDescent="0.25">
      <c r="A775" s="91">
        <v>46064</v>
      </c>
      <c r="B775" t="s">
        <v>679</v>
      </c>
      <c r="C775" t="s">
        <v>3165</v>
      </c>
      <c r="D775">
        <v>7212</v>
      </c>
      <c r="E775" t="s">
        <v>681</v>
      </c>
      <c r="F775">
        <v>85000</v>
      </c>
      <c r="G775" t="s">
        <v>622</v>
      </c>
      <c r="H775">
        <v>85000</v>
      </c>
      <c r="I775" t="s">
        <v>2633</v>
      </c>
    </row>
    <row r="776" spans="1:9" x14ac:dyDescent="0.25">
      <c r="A776" s="91">
        <v>46064</v>
      </c>
      <c r="B776" t="s">
        <v>712</v>
      </c>
      <c r="C776" t="s">
        <v>1432</v>
      </c>
      <c r="D776" t="s">
        <v>1127</v>
      </c>
      <c r="E776" t="s">
        <v>713</v>
      </c>
      <c r="F776">
        <v>40000</v>
      </c>
      <c r="G776" t="s">
        <v>622</v>
      </c>
      <c r="H776">
        <v>40000</v>
      </c>
      <c r="I776" t="s">
        <v>2607</v>
      </c>
    </row>
    <row r="777" spans="1:9" x14ac:dyDescent="0.25">
      <c r="A777" s="91">
        <v>46064</v>
      </c>
      <c r="B777" t="s">
        <v>2628</v>
      </c>
      <c r="C777" t="s">
        <v>3166</v>
      </c>
      <c r="D777">
        <v>9011235</v>
      </c>
      <c r="E777" t="s">
        <v>2630</v>
      </c>
      <c r="F777">
        <v>700</v>
      </c>
      <c r="G777" t="s">
        <v>619</v>
      </c>
      <c r="H777">
        <v>700</v>
      </c>
      <c r="I777" t="s">
        <v>2607</v>
      </c>
    </row>
    <row r="778" spans="1:9" x14ac:dyDescent="0.25">
      <c r="A778" s="91">
        <v>46064</v>
      </c>
      <c r="B778" t="s">
        <v>688</v>
      </c>
      <c r="C778" t="s">
        <v>3167</v>
      </c>
      <c r="D778">
        <v>7741</v>
      </c>
      <c r="E778" t="s">
        <v>690</v>
      </c>
      <c r="F778">
        <v>68000</v>
      </c>
      <c r="G778" t="s">
        <v>622</v>
      </c>
      <c r="H778">
        <v>68000</v>
      </c>
      <c r="I778" t="s">
        <v>2633</v>
      </c>
    </row>
    <row r="779" spans="1:9" x14ac:dyDescent="0.25">
      <c r="A779" s="91">
        <v>46064</v>
      </c>
      <c r="B779" t="s">
        <v>693</v>
      </c>
      <c r="C779" t="s">
        <v>3168</v>
      </c>
      <c r="D779">
        <v>910526</v>
      </c>
      <c r="E779" t="s">
        <v>1602</v>
      </c>
      <c r="F779">
        <v>9120</v>
      </c>
      <c r="G779" t="s">
        <v>619</v>
      </c>
      <c r="H779">
        <v>9120</v>
      </c>
      <c r="I779" t="s">
        <v>2607</v>
      </c>
    </row>
    <row r="780" spans="1:9" x14ac:dyDescent="0.25">
      <c r="A780" s="91">
        <v>46064</v>
      </c>
      <c r="B780" t="s">
        <v>693</v>
      </c>
      <c r="C780" t="s">
        <v>3169</v>
      </c>
      <c r="D780">
        <v>910326</v>
      </c>
      <c r="E780" t="s">
        <v>1583</v>
      </c>
      <c r="F780">
        <v>9120</v>
      </c>
      <c r="G780" t="s">
        <v>619</v>
      </c>
      <c r="H780">
        <v>9120</v>
      </c>
      <c r="I780" t="s">
        <v>2607</v>
      </c>
    </row>
    <row r="781" spans="1:9" x14ac:dyDescent="0.25">
      <c r="A781" s="91">
        <v>46064</v>
      </c>
      <c r="B781" t="s">
        <v>715</v>
      </c>
      <c r="C781" t="s">
        <v>3170</v>
      </c>
      <c r="D781">
        <v>7185</v>
      </c>
      <c r="E781" t="s">
        <v>717</v>
      </c>
      <c r="F781">
        <v>55000</v>
      </c>
      <c r="G781" t="s">
        <v>622</v>
      </c>
      <c r="H781">
        <v>55000</v>
      </c>
      <c r="I781" t="s">
        <v>2633</v>
      </c>
    </row>
    <row r="782" spans="1:9" x14ac:dyDescent="0.25">
      <c r="A782" s="91">
        <v>46064</v>
      </c>
      <c r="B782" t="s">
        <v>2736</v>
      </c>
      <c r="C782" t="s">
        <v>2144</v>
      </c>
      <c r="D782" t="s">
        <v>2140</v>
      </c>
      <c r="E782" t="s">
        <v>2141</v>
      </c>
      <c r="F782">
        <v>4500</v>
      </c>
      <c r="G782" t="s">
        <v>622</v>
      </c>
      <c r="H782">
        <v>4500</v>
      </c>
      <c r="I782" t="s">
        <v>2607</v>
      </c>
    </row>
    <row r="783" spans="1:9" x14ac:dyDescent="0.25">
      <c r="A783" s="91">
        <v>46064</v>
      </c>
      <c r="B783" t="s">
        <v>2621</v>
      </c>
      <c r="C783" t="s">
        <v>3171</v>
      </c>
      <c r="D783">
        <v>529300</v>
      </c>
      <c r="E783" t="s">
        <v>2623</v>
      </c>
      <c r="F783">
        <v>10832</v>
      </c>
      <c r="G783" t="s">
        <v>619</v>
      </c>
      <c r="H783">
        <v>10832</v>
      </c>
      <c r="I783" t="s">
        <v>2607</v>
      </c>
    </row>
    <row r="784" spans="1:9" x14ac:dyDescent="0.25">
      <c r="A784" s="91">
        <v>46065</v>
      </c>
      <c r="B784" t="s">
        <v>2658</v>
      </c>
      <c r="C784" t="s">
        <v>2173</v>
      </c>
      <c r="D784" t="s">
        <v>637</v>
      </c>
      <c r="E784" t="s">
        <v>638</v>
      </c>
      <c r="F784">
        <v>2500</v>
      </c>
      <c r="G784" t="s">
        <v>619</v>
      </c>
      <c r="H784">
        <v>2500</v>
      </c>
      <c r="I784" t="s">
        <v>2607</v>
      </c>
    </row>
    <row r="785" spans="1:9" x14ac:dyDescent="0.25">
      <c r="A785" s="91">
        <v>46065</v>
      </c>
      <c r="B785" t="s">
        <v>81</v>
      </c>
      <c r="C785" t="s">
        <v>3172</v>
      </c>
      <c r="D785" t="s">
        <v>1050</v>
      </c>
      <c r="E785" t="s">
        <v>1051</v>
      </c>
      <c r="F785">
        <v>240</v>
      </c>
      <c r="G785" t="s">
        <v>622</v>
      </c>
      <c r="H785">
        <v>240</v>
      </c>
      <c r="I785" t="s">
        <v>2607</v>
      </c>
    </row>
    <row r="786" spans="1:9" x14ac:dyDescent="0.25">
      <c r="A786" s="91">
        <v>46065</v>
      </c>
      <c r="B786" t="s">
        <v>2614</v>
      </c>
      <c r="C786" t="s">
        <v>3173</v>
      </c>
      <c r="D786">
        <v>900106</v>
      </c>
      <c r="E786" t="s">
        <v>2616</v>
      </c>
      <c r="F786">
        <v>480</v>
      </c>
      <c r="G786" t="s">
        <v>619</v>
      </c>
      <c r="H786">
        <v>480</v>
      </c>
      <c r="I786" t="s">
        <v>2607</v>
      </c>
    </row>
    <row r="787" spans="1:9" x14ac:dyDescent="0.25">
      <c r="A787" s="91">
        <v>46065</v>
      </c>
      <c r="B787" t="s">
        <v>2617</v>
      </c>
      <c r="C787" t="s">
        <v>3174</v>
      </c>
      <c r="D787">
        <v>5150010451</v>
      </c>
      <c r="E787" t="s">
        <v>2706</v>
      </c>
      <c r="F787">
        <v>2256</v>
      </c>
      <c r="G787" t="s">
        <v>619</v>
      </c>
      <c r="H787">
        <v>2256</v>
      </c>
      <c r="I787" t="s">
        <v>2607</v>
      </c>
    </row>
    <row r="788" spans="1:9" x14ac:dyDescent="0.25">
      <c r="A788" s="91">
        <v>46065</v>
      </c>
      <c r="B788" t="s">
        <v>81</v>
      </c>
      <c r="C788" t="s">
        <v>3175</v>
      </c>
      <c r="D788" t="s">
        <v>2822</v>
      </c>
      <c r="E788" t="s">
        <v>2823</v>
      </c>
      <c r="F788">
        <v>240</v>
      </c>
      <c r="G788" t="s">
        <v>622</v>
      </c>
      <c r="H788">
        <v>240</v>
      </c>
      <c r="I788" t="s">
        <v>2607</v>
      </c>
    </row>
    <row r="789" spans="1:9" x14ac:dyDescent="0.25">
      <c r="A789" s="91">
        <v>46065</v>
      </c>
      <c r="B789" t="s">
        <v>81</v>
      </c>
      <c r="C789" t="s">
        <v>3176</v>
      </c>
      <c r="D789" t="s">
        <v>1048</v>
      </c>
      <c r="E789" t="s">
        <v>1049</v>
      </c>
      <c r="F789">
        <v>240</v>
      </c>
      <c r="G789" t="s">
        <v>622</v>
      </c>
      <c r="H789">
        <v>240</v>
      </c>
      <c r="I789" t="s">
        <v>2607</v>
      </c>
    </row>
    <row r="790" spans="1:9" x14ac:dyDescent="0.25">
      <c r="A790" s="91">
        <v>46065</v>
      </c>
      <c r="B790" t="s">
        <v>81</v>
      </c>
      <c r="C790" t="s">
        <v>3177</v>
      </c>
      <c r="D790" t="s">
        <v>1046</v>
      </c>
      <c r="E790" t="s">
        <v>1047</v>
      </c>
      <c r="F790">
        <v>240</v>
      </c>
      <c r="G790" t="s">
        <v>622</v>
      </c>
      <c r="H790">
        <v>240</v>
      </c>
      <c r="I790" t="s">
        <v>2607</v>
      </c>
    </row>
    <row r="791" spans="1:9" x14ac:dyDescent="0.25">
      <c r="A791" s="91">
        <v>46065</v>
      </c>
      <c r="B791" t="s">
        <v>81</v>
      </c>
      <c r="C791" t="s">
        <v>3178</v>
      </c>
      <c r="D791" t="s">
        <v>1034</v>
      </c>
      <c r="E791" t="s">
        <v>1035</v>
      </c>
      <c r="F791">
        <v>600</v>
      </c>
      <c r="G791" t="s">
        <v>622</v>
      </c>
      <c r="H791">
        <v>600</v>
      </c>
      <c r="I791" t="s">
        <v>2607</v>
      </c>
    </row>
    <row r="792" spans="1:9" x14ac:dyDescent="0.25">
      <c r="A792" s="91">
        <v>46065</v>
      </c>
      <c r="B792" t="s">
        <v>81</v>
      </c>
      <c r="C792" t="s">
        <v>3179</v>
      </c>
      <c r="D792" t="s">
        <v>1030</v>
      </c>
      <c r="E792" t="s">
        <v>1031</v>
      </c>
      <c r="F792">
        <v>600</v>
      </c>
      <c r="G792" t="s">
        <v>622</v>
      </c>
      <c r="H792">
        <v>600</v>
      </c>
      <c r="I792" t="s">
        <v>2607</v>
      </c>
    </row>
    <row r="793" spans="1:9" x14ac:dyDescent="0.25">
      <c r="A793" s="91">
        <v>46065</v>
      </c>
      <c r="B793" t="s">
        <v>81</v>
      </c>
      <c r="C793" t="s">
        <v>3180</v>
      </c>
      <c r="D793" t="s">
        <v>1056</v>
      </c>
      <c r="E793" t="s">
        <v>1057</v>
      </c>
      <c r="F793">
        <v>480</v>
      </c>
      <c r="G793" t="s">
        <v>622</v>
      </c>
      <c r="H793">
        <v>480</v>
      </c>
      <c r="I793" t="s">
        <v>2607</v>
      </c>
    </row>
    <row r="794" spans="1:9" x14ac:dyDescent="0.25">
      <c r="A794" s="91">
        <v>46065</v>
      </c>
      <c r="B794" t="s">
        <v>2610</v>
      </c>
      <c r="C794" t="s">
        <v>3181</v>
      </c>
      <c r="D794" t="s">
        <v>2095</v>
      </c>
      <c r="E794" t="s">
        <v>2096</v>
      </c>
      <c r="F794">
        <v>15000</v>
      </c>
      <c r="G794" t="s">
        <v>619</v>
      </c>
      <c r="H794">
        <v>15000</v>
      </c>
      <c r="I794" t="s">
        <v>2607</v>
      </c>
    </row>
    <row r="795" spans="1:9" x14ac:dyDescent="0.25">
      <c r="A795" s="91">
        <v>46065</v>
      </c>
      <c r="B795" t="s">
        <v>688</v>
      </c>
      <c r="C795" t="s">
        <v>3182</v>
      </c>
      <c r="D795">
        <v>7741</v>
      </c>
      <c r="E795" t="s">
        <v>690</v>
      </c>
      <c r="F795">
        <v>68000</v>
      </c>
      <c r="G795" t="s">
        <v>622</v>
      </c>
      <c r="H795">
        <v>68000</v>
      </c>
      <c r="I795" t="s">
        <v>2633</v>
      </c>
    </row>
    <row r="796" spans="1:9" x14ac:dyDescent="0.25">
      <c r="A796" s="91">
        <v>46065</v>
      </c>
      <c r="B796" t="s">
        <v>2606</v>
      </c>
      <c r="C796" t="s">
        <v>3183</v>
      </c>
      <c r="D796">
        <v>220125</v>
      </c>
      <c r="E796" t="s">
        <v>2700</v>
      </c>
      <c r="F796">
        <v>3200</v>
      </c>
      <c r="G796" t="s">
        <v>619</v>
      </c>
      <c r="H796">
        <v>3200</v>
      </c>
      <c r="I796" t="s">
        <v>2607</v>
      </c>
    </row>
    <row r="797" spans="1:9" x14ac:dyDescent="0.25">
      <c r="A797" s="91">
        <v>46065</v>
      </c>
      <c r="B797">
        <v>7002</v>
      </c>
      <c r="C797" t="s">
        <v>3184</v>
      </c>
      <c r="D797">
        <v>961515</v>
      </c>
      <c r="E797" t="s">
        <v>2691</v>
      </c>
      <c r="F797">
        <v>325</v>
      </c>
      <c r="G797" t="s">
        <v>619</v>
      </c>
      <c r="H797">
        <v>325</v>
      </c>
      <c r="I797" t="s">
        <v>2607</v>
      </c>
    </row>
    <row r="798" spans="1:9" x14ac:dyDescent="0.25">
      <c r="A798" s="91">
        <v>46065</v>
      </c>
      <c r="B798" t="s">
        <v>2606</v>
      </c>
      <c r="C798" t="s">
        <v>3185</v>
      </c>
      <c r="D798">
        <v>7013</v>
      </c>
      <c r="E798" t="s">
        <v>630</v>
      </c>
      <c r="F798">
        <v>105000</v>
      </c>
      <c r="G798" t="s">
        <v>622</v>
      </c>
      <c r="H798">
        <v>105000</v>
      </c>
      <c r="I798" t="s">
        <v>2609</v>
      </c>
    </row>
    <row r="799" spans="1:9" x14ac:dyDescent="0.25">
      <c r="A799" s="91">
        <v>46065</v>
      </c>
      <c r="B799" t="s">
        <v>712</v>
      </c>
      <c r="C799" t="s">
        <v>1465</v>
      </c>
      <c r="D799" t="s">
        <v>1126</v>
      </c>
      <c r="E799" t="s">
        <v>808</v>
      </c>
      <c r="F799">
        <v>40000</v>
      </c>
      <c r="G799" t="s">
        <v>622</v>
      </c>
      <c r="H799">
        <v>40000</v>
      </c>
      <c r="I799" t="s">
        <v>2607</v>
      </c>
    </row>
    <row r="800" spans="1:9" x14ac:dyDescent="0.25">
      <c r="A800" s="91">
        <v>46065</v>
      </c>
      <c r="B800" t="s">
        <v>2628</v>
      </c>
      <c r="C800" t="s">
        <v>3186</v>
      </c>
      <c r="D800">
        <v>9011235</v>
      </c>
      <c r="E800" t="s">
        <v>2630</v>
      </c>
      <c r="F800">
        <v>700</v>
      </c>
      <c r="G800" t="s">
        <v>619</v>
      </c>
      <c r="H800">
        <v>700</v>
      </c>
      <c r="I800" t="s">
        <v>2607</v>
      </c>
    </row>
    <row r="801" spans="1:9" x14ac:dyDescent="0.25">
      <c r="A801" s="91">
        <v>46065</v>
      </c>
      <c r="B801" t="s">
        <v>682</v>
      </c>
      <c r="C801" t="s">
        <v>3187</v>
      </c>
      <c r="D801" t="s">
        <v>806</v>
      </c>
      <c r="E801" t="s">
        <v>807</v>
      </c>
      <c r="F801">
        <v>28000</v>
      </c>
      <c r="G801" t="s">
        <v>622</v>
      </c>
      <c r="H801">
        <v>28000</v>
      </c>
      <c r="I801" t="s">
        <v>2633</v>
      </c>
    </row>
    <row r="802" spans="1:9" x14ac:dyDescent="0.25">
      <c r="A802" s="91">
        <v>46065</v>
      </c>
      <c r="B802" t="s">
        <v>2624</v>
      </c>
      <c r="C802" t="s">
        <v>3188</v>
      </c>
      <c r="D802" t="s">
        <v>3189</v>
      </c>
      <c r="E802" t="s">
        <v>3190</v>
      </c>
      <c r="F802">
        <v>5208</v>
      </c>
      <c r="G802" t="s">
        <v>619</v>
      </c>
      <c r="H802">
        <v>5208</v>
      </c>
      <c r="I802" t="s">
        <v>2939</v>
      </c>
    </row>
    <row r="803" spans="1:9" x14ac:dyDescent="0.25">
      <c r="A803" s="91">
        <v>46065</v>
      </c>
      <c r="B803" t="s">
        <v>2621</v>
      </c>
      <c r="C803" t="s">
        <v>3191</v>
      </c>
      <c r="D803" t="s">
        <v>2639</v>
      </c>
      <c r="E803" t="s">
        <v>2640</v>
      </c>
      <c r="F803">
        <v>7505</v>
      </c>
      <c r="G803" t="s">
        <v>619</v>
      </c>
      <c r="H803">
        <v>7505</v>
      </c>
      <c r="I803" t="s">
        <v>2607</v>
      </c>
    </row>
    <row r="804" spans="1:9" x14ac:dyDescent="0.25">
      <c r="A804" s="91">
        <v>46065</v>
      </c>
      <c r="B804" t="s">
        <v>2665</v>
      </c>
      <c r="C804" t="s">
        <v>1406</v>
      </c>
      <c r="D804" t="s">
        <v>1405</v>
      </c>
      <c r="E804" t="s">
        <v>2709</v>
      </c>
      <c r="F804">
        <v>6500</v>
      </c>
      <c r="G804" t="s">
        <v>619</v>
      </c>
      <c r="H804">
        <v>6500</v>
      </c>
      <c r="I804" t="s">
        <v>2607</v>
      </c>
    </row>
    <row r="805" spans="1:9" x14ac:dyDescent="0.25">
      <c r="A805" s="91">
        <v>46065</v>
      </c>
      <c r="B805" t="s">
        <v>685</v>
      </c>
      <c r="C805" t="s">
        <v>3192</v>
      </c>
      <c r="D805" t="s">
        <v>686</v>
      </c>
      <c r="E805" t="s">
        <v>687</v>
      </c>
      <c r="F805">
        <v>40000</v>
      </c>
      <c r="G805" t="s">
        <v>622</v>
      </c>
      <c r="H805">
        <v>40000</v>
      </c>
      <c r="I805" t="s">
        <v>2633</v>
      </c>
    </row>
    <row r="806" spans="1:9" x14ac:dyDescent="0.25">
      <c r="A806" s="91">
        <v>46065</v>
      </c>
      <c r="B806" t="s">
        <v>2624</v>
      </c>
      <c r="C806" t="s">
        <v>3193</v>
      </c>
      <c r="D806" t="s">
        <v>3194</v>
      </c>
      <c r="E806" t="s">
        <v>3195</v>
      </c>
      <c r="F806">
        <v>5208</v>
      </c>
      <c r="G806" t="s">
        <v>619</v>
      </c>
      <c r="H806">
        <v>5208</v>
      </c>
      <c r="I806" t="s">
        <v>2939</v>
      </c>
    </row>
    <row r="807" spans="1:9" x14ac:dyDescent="0.25">
      <c r="A807" s="91">
        <v>46066</v>
      </c>
      <c r="B807" t="s">
        <v>2652</v>
      </c>
      <c r="C807" t="s">
        <v>2479</v>
      </c>
      <c r="D807" t="s">
        <v>1097</v>
      </c>
      <c r="E807" t="s">
        <v>1098</v>
      </c>
      <c r="F807">
        <v>120</v>
      </c>
      <c r="G807" t="s">
        <v>622</v>
      </c>
      <c r="H807">
        <v>120</v>
      </c>
      <c r="I807" t="s">
        <v>2607</v>
      </c>
    </row>
    <row r="808" spans="1:9" x14ac:dyDescent="0.25">
      <c r="A808" s="91">
        <v>46066</v>
      </c>
      <c r="B808" t="s">
        <v>2652</v>
      </c>
      <c r="C808" t="s">
        <v>2478</v>
      </c>
      <c r="D808" t="s">
        <v>1095</v>
      </c>
      <c r="E808" t="s">
        <v>1096</v>
      </c>
      <c r="F808">
        <v>120</v>
      </c>
      <c r="G808" t="s">
        <v>622</v>
      </c>
      <c r="H808">
        <v>120</v>
      </c>
      <c r="I808" t="s">
        <v>2607</v>
      </c>
    </row>
    <row r="809" spans="1:9" x14ac:dyDescent="0.25">
      <c r="A809" s="91">
        <v>46066</v>
      </c>
      <c r="B809" t="s">
        <v>2652</v>
      </c>
      <c r="C809" t="s">
        <v>2457</v>
      </c>
      <c r="D809" t="s">
        <v>958</v>
      </c>
      <c r="E809" t="s">
        <v>959</v>
      </c>
      <c r="F809">
        <v>160</v>
      </c>
      <c r="G809" t="s">
        <v>622</v>
      </c>
      <c r="H809">
        <v>160</v>
      </c>
      <c r="I809" t="s">
        <v>2607</v>
      </c>
    </row>
    <row r="810" spans="1:9" x14ac:dyDescent="0.25">
      <c r="A810" s="91">
        <v>46066</v>
      </c>
      <c r="B810" t="s">
        <v>2652</v>
      </c>
      <c r="C810" t="s">
        <v>2472</v>
      </c>
      <c r="D810" t="s">
        <v>982</v>
      </c>
      <c r="E810" t="s">
        <v>983</v>
      </c>
      <c r="F810">
        <v>120</v>
      </c>
      <c r="G810" t="s">
        <v>622</v>
      </c>
      <c r="H810">
        <v>120</v>
      </c>
      <c r="I810" t="s">
        <v>2607</v>
      </c>
    </row>
    <row r="811" spans="1:9" x14ac:dyDescent="0.25">
      <c r="A811" s="91">
        <v>46066</v>
      </c>
      <c r="B811" t="s">
        <v>2652</v>
      </c>
      <c r="C811" t="s">
        <v>2460</v>
      </c>
      <c r="D811" t="s">
        <v>964</v>
      </c>
      <c r="E811" t="s">
        <v>965</v>
      </c>
      <c r="F811">
        <v>120</v>
      </c>
      <c r="G811" t="s">
        <v>622</v>
      </c>
      <c r="H811">
        <v>120</v>
      </c>
      <c r="I811" t="s">
        <v>2607</v>
      </c>
    </row>
    <row r="812" spans="1:9" x14ac:dyDescent="0.25">
      <c r="A812" s="91">
        <v>46066</v>
      </c>
      <c r="B812" t="s">
        <v>2652</v>
      </c>
      <c r="C812" t="s">
        <v>2455</v>
      </c>
      <c r="D812" t="s">
        <v>954</v>
      </c>
      <c r="E812" t="s">
        <v>955</v>
      </c>
      <c r="F812">
        <v>160</v>
      </c>
      <c r="G812" t="s">
        <v>622</v>
      </c>
      <c r="H812">
        <v>160</v>
      </c>
      <c r="I812" t="s">
        <v>2607</v>
      </c>
    </row>
    <row r="813" spans="1:9" x14ac:dyDescent="0.25">
      <c r="A813" s="91">
        <v>46066</v>
      </c>
      <c r="B813" t="s">
        <v>2652</v>
      </c>
      <c r="C813" t="s">
        <v>2471</v>
      </c>
      <c r="D813" t="s">
        <v>980</v>
      </c>
      <c r="E813" t="s">
        <v>981</v>
      </c>
      <c r="F813">
        <v>120</v>
      </c>
      <c r="G813" t="s">
        <v>622</v>
      </c>
      <c r="H813">
        <v>120</v>
      </c>
      <c r="I813" t="s">
        <v>2607</v>
      </c>
    </row>
    <row r="814" spans="1:9" x14ac:dyDescent="0.25">
      <c r="A814" s="91">
        <v>46066</v>
      </c>
      <c r="B814" t="s">
        <v>81</v>
      </c>
      <c r="C814" t="s">
        <v>3196</v>
      </c>
      <c r="D814" t="s">
        <v>1042</v>
      </c>
      <c r="E814" t="s">
        <v>1043</v>
      </c>
      <c r="F814">
        <v>600</v>
      </c>
      <c r="G814" t="s">
        <v>622</v>
      </c>
      <c r="H814">
        <v>600</v>
      </c>
      <c r="I814" t="s">
        <v>2607</v>
      </c>
    </row>
    <row r="815" spans="1:9" x14ac:dyDescent="0.25">
      <c r="A815" s="91">
        <v>46066</v>
      </c>
      <c r="B815" t="s">
        <v>2652</v>
      </c>
      <c r="C815" t="s">
        <v>2464</v>
      </c>
      <c r="D815" t="s">
        <v>970</v>
      </c>
      <c r="E815" t="s">
        <v>971</v>
      </c>
      <c r="F815">
        <v>120</v>
      </c>
      <c r="G815" t="s">
        <v>622</v>
      </c>
      <c r="H815">
        <v>120</v>
      </c>
      <c r="I815" t="s">
        <v>2607</v>
      </c>
    </row>
    <row r="816" spans="1:9" x14ac:dyDescent="0.25">
      <c r="A816" s="91">
        <v>46066</v>
      </c>
      <c r="B816" t="s">
        <v>2652</v>
      </c>
      <c r="C816" t="s">
        <v>2473</v>
      </c>
      <c r="D816" t="s">
        <v>984</v>
      </c>
      <c r="E816" t="s">
        <v>985</v>
      </c>
      <c r="F816">
        <v>120</v>
      </c>
      <c r="G816" t="s">
        <v>622</v>
      </c>
      <c r="H816">
        <v>120</v>
      </c>
      <c r="I816" t="s">
        <v>2607</v>
      </c>
    </row>
    <row r="817" spans="1:9" x14ac:dyDescent="0.25">
      <c r="A817" s="91">
        <v>46066</v>
      </c>
      <c r="B817" t="s">
        <v>2652</v>
      </c>
      <c r="C817" t="s">
        <v>2463</v>
      </c>
      <c r="D817" t="s">
        <v>968</v>
      </c>
      <c r="E817" t="s">
        <v>969</v>
      </c>
      <c r="F817">
        <v>120</v>
      </c>
      <c r="G817" t="s">
        <v>622</v>
      </c>
      <c r="H817">
        <v>120</v>
      </c>
      <c r="I817" t="s">
        <v>2607</v>
      </c>
    </row>
    <row r="818" spans="1:9" x14ac:dyDescent="0.25">
      <c r="A818" s="91">
        <v>46066</v>
      </c>
      <c r="B818" t="s">
        <v>2617</v>
      </c>
      <c r="C818" t="s">
        <v>3197</v>
      </c>
      <c r="D818">
        <v>5150010451</v>
      </c>
      <c r="E818" t="s">
        <v>2706</v>
      </c>
      <c r="F818">
        <v>2256</v>
      </c>
      <c r="G818" t="s">
        <v>619</v>
      </c>
      <c r="H818">
        <v>2256</v>
      </c>
      <c r="I818" t="s">
        <v>2607</v>
      </c>
    </row>
    <row r="819" spans="1:9" x14ac:dyDescent="0.25">
      <c r="A819" s="91">
        <v>46066</v>
      </c>
      <c r="B819" t="s">
        <v>2614</v>
      </c>
      <c r="C819" t="s">
        <v>3198</v>
      </c>
      <c r="D819">
        <v>900106</v>
      </c>
      <c r="E819" t="s">
        <v>2616</v>
      </c>
      <c r="F819">
        <v>480</v>
      </c>
      <c r="G819" t="s">
        <v>619</v>
      </c>
      <c r="H819">
        <v>480</v>
      </c>
      <c r="I819" t="s">
        <v>2607</v>
      </c>
    </row>
    <row r="820" spans="1:9" x14ac:dyDescent="0.25">
      <c r="A820" s="91">
        <v>46066</v>
      </c>
      <c r="B820" t="s">
        <v>2658</v>
      </c>
      <c r="C820" t="s">
        <v>2174</v>
      </c>
      <c r="D820" t="s">
        <v>637</v>
      </c>
      <c r="E820" t="s">
        <v>638</v>
      </c>
      <c r="F820">
        <v>2500</v>
      </c>
      <c r="G820" t="s">
        <v>619</v>
      </c>
      <c r="H820">
        <v>2500</v>
      </c>
      <c r="I820" t="s">
        <v>2607</v>
      </c>
    </row>
    <row r="821" spans="1:9" x14ac:dyDescent="0.25">
      <c r="A821" s="91">
        <v>46066</v>
      </c>
      <c r="B821" t="s">
        <v>2652</v>
      </c>
      <c r="C821" t="s">
        <v>2459</v>
      </c>
      <c r="D821" t="s">
        <v>962</v>
      </c>
      <c r="E821" t="s">
        <v>963</v>
      </c>
      <c r="F821">
        <v>120</v>
      </c>
      <c r="G821" t="s">
        <v>622</v>
      </c>
      <c r="H821">
        <v>120</v>
      </c>
      <c r="I821" t="s">
        <v>2607</v>
      </c>
    </row>
    <row r="822" spans="1:9" x14ac:dyDescent="0.25">
      <c r="A822" s="91">
        <v>46066</v>
      </c>
      <c r="B822" t="s">
        <v>81</v>
      </c>
      <c r="C822" t="s">
        <v>3199</v>
      </c>
      <c r="D822" t="s">
        <v>1040</v>
      </c>
      <c r="E822" t="s">
        <v>1041</v>
      </c>
      <c r="F822">
        <v>600</v>
      </c>
      <c r="G822" t="s">
        <v>622</v>
      </c>
      <c r="H822">
        <v>600</v>
      </c>
      <c r="I822" t="s">
        <v>2607</v>
      </c>
    </row>
    <row r="823" spans="1:9" x14ac:dyDescent="0.25">
      <c r="A823" s="91">
        <v>46066</v>
      </c>
      <c r="B823" t="s">
        <v>2652</v>
      </c>
      <c r="C823" t="s">
        <v>2462</v>
      </c>
      <c r="D823" t="s">
        <v>966</v>
      </c>
      <c r="E823" t="s">
        <v>967</v>
      </c>
      <c r="F823">
        <v>120</v>
      </c>
      <c r="G823" t="s">
        <v>622</v>
      </c>
      <c r="H823">
        <v>120</v>
      </c>
      <c r="I823" t="s">
        <v>2607</v>
      </c>
    </row>
    <row r="824" spans="1:9" x14ac:dyDescent="0.25">
      <c r="A824" s="91">
        <v>46066</v>
      </c>
      <c r="B824" t="s">
        <v>2610</v>
      </c>
      <c r="C824" t="s">
        <v>2216</v>
      </c>
      <c r="D824">
        <v>517660</v>
      </c>
      <c r="E824" t="s">
        <v>2215</v>
      </c>
      <c r="F824">
        <v>14585</v>
      </c>
      <c r="G824" t="s">
        <v>619</v>
      </c>
      <c r="H824">
        <v>14585</v>
      </c>
      <c r="I824" t="s">
        <v>2607</v>
      </c>
    </row>
    <row r="825" spans="1:9" x14ac:dyDescent="0.25">
      <c r="A825" s="91">
        <v>46066</v>
      </c>
      <c r="B825">
        <v>7002</v>
      </c>
      <c r="C825" t="s">
        <v>3200</v>
      </c>
      <c r="D825">
        <v>961515</v>
      </c>
      <c r="E825" t="s">
        <v>2691</v>
      </c>
      <c r="F825">
        <v>325</v>
      </c>
      <c r="G825" t="s">
        <v>619</v>
      </c>
      <c r="H825">
        <v>325</v>
      </c>
      <c r="I825" t="s">
        <v>2607</v>
      </c>
    </row>
    <row r="826" spans="1:9" x14ac:dyDescent="0.25">
      <c r="A826" s="91">
        <v>46066</v>
      </c>
      <c r="B826" t="s">
        <v>688</v>
      </c>
      <c r="C826" t="s">
        <v>3201</v>
      </c>
      <c r="D826">
        <v>7741</v>
      </c>
      <c r="E826" t="s">
        <v>690</v>
      </c>
      <c r="F826">
        <v>68000</v>
      </c>
      <c r="G826" t="s">
        <v>622</v>
      </c>
      <c r="H826">
        <v>68000</v>
      </c>
      <c r="I826" t="s">
        <v>2633</v>
      </c>
    </row>
    <row r="827" spans="1:9" x14ac:dyDescent="0.25">
      <c r="A827" s="91">
        <v>46066</v>
      </c>
      <c r="B827" t="s">
        <v>682</v>
      </c>
      <c r="C827" t="s">
        <v>3202</v>
      </c>
      <c r="D827">
        <v>7297</v>
      </c>
      <c r="E827" t="s">
        <v>684</v>
      </c>
      <c r="F827">
        <v>30000</v>
      </c>
      <c r="G827" t="s">
        <v>622</v>
      </c>
      <c r="H827">
        <v>30000</v>
      </c>
      <c r="I827" t="s">
        <v>2633</v>
      </c>
    </row>
    <row r="828" spans="1:9" x14ac:dyDescent="0.25">
      <c r="A828" s="91">
        <v>46066</v>
      </c>
      <c r="B828" t="s">
        <v>712</v>
      </c>
      <c r="C828" t="s">
        <v>3203</v>
      </c>
      <c r="D828" t="s">
        <v>1128</v>
      </c>
      <c r="E828" t="s">
        <v>781</v>
      </c>
      <c r="F828">
        <v>40000</v>
      </c>
      <c r="G828" t="s">
        <v>622</v>
      </c>
      <c r="H828">
        <v>40000</v>
      </c>
      <c r="I828" t="s">
        <v>2607</v>
      </c>
    </row>
    <row r="829" spans="1:9" x14ac:dyDescent="0.25">
      <c r="A829" s="91">
        <v>46066</v>
      </c>
      <c r="B829" t="s">
        <v>2624</v>
      </c>
      <c r="C829" t="s">
        <v>3204</v>
      </c>
      <c r="D829" t="s">
        <v>2937</v>
      </c>
      <c r="E829" t="s">
        <v>2938</v>
      </c>
      <c r="F829">
        <v>6000</v>
      </c>
      <c r="G829" t="s">
        <v>619</v>
      </c>
      <c r="H829">
        <v>6000</v>
      </c>
      <c r="I829" t="s">
        <v>2939</v>
      </c>
    </row>
    <row r="830" spans="1:9" x14ac:dyDescent="0.25">
      <c r="A830" s="91">
        <v>46066</v>
      </c>
      <c r="B830" t="s">
        <v>2610</v>
      </c>
      <c r="C830" t="s">
        <v>2228</v>
      </c>
      <c r="D830">
        <v>520860</v>
      </c>
      <c r="E830" t="s">
        <v>1388</v>
      </c>
      <c r="F830">
        <v>12500</v>
      </c>
      <c r="G830" t="s">
        <v>619</v>
      </c>
      <c r="H830">
        <v>12500</v>
      </c>
      <c r="I830" t="s">
        <v>2607</v>
      </c>
    </row>
    <row r="831" spans="1:9" x14ac:dyDescent="0.25">
      <c r="A831" s="91">
        <v>46066</v>
      </c>
      <c r="B831" t="s">
        <v>2621</v>
      </c>
      <c r="C831" t="s">
        <v>3205</v>
      </c>
      <c r="D831" t="s">
        <v>2756</v>
      </c>
      <c r="E831" t="s">
        <v>2757</v>
      </c>
      <c r="F831">
        <v>7505</v>
      </c>
      <c r="G831" t="s">
        <v>619</v>
      </c>
      <c r="H831">
        <v>7505</v>
      </c>
      <c r="I831" t="s">
        <v>2607</v>
      </c>
    </row>
    <row r="832" spans="1:9" x14ac:dyDescent="0.25">
      <c r="A832" s="91">
        <v>46066</v>
      </c>
      <c r="B832" t="s">
        <v>2628</v>
      </c>
      <c r="C832" t="s">
        <v>3206</v>
      </c>
      <c r="D832">
        <v>9011235</v>
      </c>
      <c r="E832" t="s">
        <v>2630</v>
      </c>
      <c r="F832">
        <v>700</v>
      </c>
      <c r="G832" t="s">
        <v>619</v>
      </c>
      <c r="H832">
        <v>700</v>
      </c>
      <c r="I832" t="s">
        <v>2607</v>
      </c>
    </row>
    <row r="833" spans="1:9" x14ac:dyDescent="0.25">
      <c r="A833" s="91">
        <v>46066</v>
      </c>
      <c r="B833" t="s">
        <v>2665</v>
      </c>
      <c r="C833" t="s">
        <v>2498</v>
      </c>
      <c r="D833" t="s">
        <v>1405</v>
      </c>
      <c r="E833" t="s">
        <v>2709</v>
      </c>
      <c r="F833">
        <v>6500</v>
      </c>
      <c r="G833" t="s">
        <v>619</v>
      </c>
      <c r="H833">
        <v>6500</v>
      </c>
      <c r="I833" t="s">
        <v>2607</v>
      </c>
    </row>
    <row r="834" spans="1:9" x14ac:dyDescent="0.25">
      <c r="A834" s="91">
        <v>46066</v>
      </c>
      <c r="B834" t="s">
        <v>2665</v>
      </c>
      <c r="C834" t="s">
        <v>2205</v>
      </c>
      <c r="D834" t="s">
        <v>996</v>
      </c>
      <c r="E834" t="s">
        <v>3207</v>
      </c>
      <c r="F834">
        <v>2833</v>
      </c>
      <c r="G834" t="s">
        <v>619</v>
      </c>
      <c r="H834">
        <v>2833</v>
      </c>
      <c r="I834" t="s">
        <v>2607</v>
      </c>
    </row>
    <row r="835" spans="1:9" x14ac:dyDescent="0.25">
      <c r="A835" s="91">
        <v>46066</v>
      </c>
      <c r="B835" t="s">
        <v>685</v>
      </c>
      <c r="C835" t="s">
        <v>3208</v>
      </c>
      <c r="D835" t="s">
        <v>722</v>
      </c>
      <c r="E835" t="s">
        <v>723</v>
      </c>
      <c r="F835">
        <v>40000</v>
      </c>
      <c r="G835" t="s">
        <v>622</v>
      </c>
      <c r="H835">
        <v>40000</v>
      </c>
      <c r="I835" t="s">
        <v>2633</v>
      </c>
    </row>
    <row r="836" spans="1:9" x14ac:dyDescent="0.25">
      <c r="A836" s="91">
        <v>46066</v>
      </c>
      <c r="B836" t="s">
        <v>2606</v>
      </c>
      <c r="C836" t="s">
        <v>3209</v>
      </c>
      <c r="D836">
        <v>220125</v>
      </c>
      <c r="E836" t="s">
        <v>2700</v>
      </c>
      <c r="F836">
        <v>3300</v>
      </c>
      <c r="G836" t="s">
        <v>619</v>
      </c>
      <c r="H836">
        <v>3300</v>
      </c>
      <c r="I836" t="s">
        <v>2607</v>
      </c>
    </row>
    <row r="837" spans="1:9" x14ac:dyDescent="0.25">
      <c r="A837" s="91">
        <v>46066</v>
      </c>
      <c r="B837" t="s">
        <v>2610</v>
      </c>
      <c r="C837" t="s">
        <v>2226</v>
      </c>
      <c r="D837">
        <v>520860</v>
      </c>
      <c r="E837" t="s">
        <v>1388</v>
      </c>
      <c r="F837">
        <v>12500</v>
      </c>
      <c r="G837" t="s">
        <v>619</v>
      </c>
      <c r="H837">
        <v>12500</v>
      </c>
      <c r="I837" t="s">
        <v>2607</v>
      </c>
    </row>
    <row r="838" spans="1:9" x14ac:dyDescent="0.25">
      <c r="A838" s="91">
        <v>46066</v>
      </c>
      <c r="B838" t="s">
        <v>2610</v>
      </c>
      <c r="C838" t="s">
        <v>3210</v>
      </c>
      <c r="D838" t="s">
        <v>2084</v>
      </c>
      <c r="E838" t="s">
        <v>2085</v>
      </c>
      <c r="F838">
        <v>6200</v>
      </c>
      <c r="G838" t="s">
        <v>619</v>
      </c>
      <c r="H838">
        <v>6200</v>
      </c>
      <c r="I838" t="s">
        <v>2607</v>
      </c>
    </row>
    <row r="839" spans="1:9" x14ac:dyDescent="0.25">
      <c r="A839" s="91">
        <v>46066</v>
      </c>
      <c r="B839" t="s">
        <v>2736</v>
      </c>
      <c r="C839" t="s">
        <v>2145</v>
      </c>
      <c r="D839" t="s">
        <v>2140</v>
      </c>
      <c r="E839" t="s">
        <v>2141</v>
      </c>
      <c r="F839">
        <v>5500</v>
      </c>
      <c r="G839" t="s">
        <v>622</v>
      </c>
      <c r="H839">
        <v>5500</v>
      </c>
      <c r="I839" t="s">
        <v>2607</v>
      </c>
    </row>
    <row r="840" spans="1:9" x14ac:dyDescent="0.25">
      <c r="A840" s="91">
        <v>46069</v>
      </c>
      <c r="B840" t="s">
        <v>2652</v>
      </c>
      <c r="C840" t="s">
        <v>2477</v>
      </c>
      <c r="D840" t="s">
        <v>992</v>
      </c>
      <c r="E840" t="s">
        <v>993</v>
      </c>
      <c r="F840">
        <v>120</v>
      </c>
      <c r="G840" t="s">
        <v>622</v>
      </c>
      <c r="H840">
        <v>120</v>
      </c>
      <c r="I840" t="s">
        <v>2607</v>
      </c>
    </row>
    <row r="841" spans="1:9" x14ac:dyDescent="0.25">
      <c r="A841" s="91">
        <v>46069</v>
      </c>
      <c r="B841" t="s">
        <v>2652</v>
      </c>
      <c r="C841" t="s">
        <v>2485</v>
      </c>
      <c r="D841" t="s">
        <v>2486</v>
      </c>
      <c r="E841" t="s">
        <v>2487</v>
      </c>
      <c r="F841">
        <v>120</v>
      </c>
      <c r="G841" t="s">
        <v>622</v>
      </c>
      <c r="H841">
        <v>120</v>
      </c>
      <c r="I841" t="s">
        <v>2607</v>
      </c>
    </row>
    <row r="842" spans="1:9" x14ac:dyDescent="0.25">
      <c r="A842" s="91">
        <v>46069</v>
      </c>
      <c r="B842" t="s">
        <v>2652</v>
      </c>
      <c r="C842" t="s">
        <v>2466</v>
      </c>
      <c r="D842" t="s">
        <v>976</v>
      </c>
      <c r="E842" t="s">
        <v>977</v>
      </c>
      <c r="F842">
        <v>60</v>
      </c>
      <c r="G842" t="s">
        <v>622</v>
      </c>
      <c r="H842">
        <v>60</v>
      </c>
      <c r="I842" t="s">
        <v>2607</v>
      </c>
    </row>
    <row r="843" spans="1:9" x14ac:dyDescent="0.25">
      <c r="A843" s="91">
        <v>46069</v>
      </c>
      <c r="B843" t="s">
        <v>2652</v>
      </c>
      <c r="C843" t="s">
        <v>2503</v>
      </c>
      <c r="D843" t="s">
        <v>1078</v>
      </c>
      <c r="E843" t="s">
        <v>1079</v>
      </c>
      <c r="F843">
        <v>600</v>
      </c>
      <c r="G843" t="s">
        <v>622</v>
      </c>
      <c r="H843">
        <v>600</v>
      </c>
      <c r="I843" t="s">
        <v>2607</v>
      </c>
    </row>
    <row r="844" spans="1:9" x14ac:dyDescent="0.25">
      <c r="A844" s="91">
        <v>46069</v>
      </c>
      <c r="B844" t="s">
        <v>2652</v>
      </c>
      <c r="C844" t="s">
        <v>2481</v>
      </c>
      <c r="D844" t="s">
        <v>1101</v>
      </c>
      <c r="E844" t="s">
        <v>1102</v>
      </c>
      <c r="F844">
        <v>120</v>
      </c>
      <c r="G844" t="s">
        <v>622</v>
      </c>
      <c r="H844">
        <v>120</v>
      </c>
      <c r="I844" t="s">
        <v>2607</v>
      </c>
    </row>
    <row r="845" spans="1:9" x14ac:dyDescent="0.25">
      <c r="A845" s="91">
        <v>46069</v>
      </c>
      <c r="B845" t="s">
        <v>2652</v>
      </c>
      <c r="C845" t="s">
        <v>2461</v>
      </c>
      <c r="D845" t="s">
        <v>1078</v>
      </c>
      <c r="E845" t="s">
        <v>1079</v>
      </c>
      <c r="F845">
        <v>120</v>
      </c>
      <c r="G845" t="s">
        <v>622</v>
      </c>
      <c r="H845">
        <v>120</v>
      </c>
      <c r="I845" t="s">
        <v>2607</v>
      </c>
    </row>
    <row r="846" spans="1:9" x14ac:dyDescent="0.25">
      <c r="A846" s="91">
        <v>46069</v>
      </c>
      <c r="B846" t="s">
        <v>2652</v>
      </c>
      <c r="C846" t="s">
        <v>2480</v>
      </c>
      <c r="D846" t="s">
        <v>1099</v>
      </c>
      <c r="E846" t="s">
        <v>1100</v>
      </c>
      <c r="F846">
        <v>120</v>
      </c>
      <c r="G846" t="s">
        <v>622</v>
      </c>
      <c r="H846">
        <v>120</v>
      </c>
      <c r="I846" t="s">
        <v>2607</v>
      </c>
    </row>
    <row r="847" spans="1:9" x14ac:dyDescent="0.25">
      <c r="A847" s="91">
        <v>46069</v>
      </c>
      <c r="B847" t="s">
        <v>2658</v>
      </c>
      <c r="C847" t="s">
        <v>3211</v>
      </c>
      <c r="D847" t="s">
        <v>637</v>
      </c>
      <c r="E847" t="s">
        <v>638</v>
      </c>
      <c r="F847">
        <v>2500</v>
      </c>
      <c r="G847" t="s">
        <v>619</v>
      </c>
      <c r="H847">
        <v>2500</v>
      </c>
      <c r="I847" t="s">
        <v>2607</v>
      </c>
    </row>
    <row r="848" spans="1:9" x14ac:dyDescent="0.25">
      <c r="A848" s="91">
        <v>46069</v>
      </c>
      <c r="B848" t="s">
        <v>2617</v>
      </c>
      <c r="C848" t="s">
        <v>3212</v>
      </c>
      <c r="D848">
        <v>5150010450</v>
      </c>
      <c r="E848" t="s">
        <v>2619</v>
      </c>
      <c r="F848">
        <v>2256</v>
      </c>
      <c r="G848" t="s">
        <v>619</v>
      </c>
      <c r="H848">
        <v>2256</v>
      </c>
      <c r="I848" t="s">
        <v>2607</v>
      </c>
    </row>
    <row r="849" spans="1:9" x14ac:dyDescent="0.25">
      <c r="A849" s="91">
        <v>46069</v>
      </c>
      <c r="B849" t="s">
        <v>2617</v>
      </c>
      <c r="C849" t="s">
        <v>3213</v>
      </c>
      <c r="D849">
        <v>5150010450</v>
      </c>
      <c r="E849" t="s">
        <v>2619</v>
      </c>
      <c r="F849">
        <v>2256</v>
      </c>
      <c r="G849" t="s">
        <v>619</v>
      </c>
      <c r="H849">
        <v>2256</v>
      </c>
      <c r="I849" t="s">
        <v>2607</v>
      </c>
    </row>
    <row r="850" spans="1:9" x14ac:dyDescent="0.25">
      <c r="A850" s="91">
        <v>46069</v>
      </c>
      <c r="B850" t="s">
        <v>2617</v>
      </c>
      <c r="C850" t="s">
        <v>3214</v>
      </c>
      <c r="D850">
        <v>5150010451</v>
      </c>
      <c r="E850" t="s">
        <v>2706</v>
      </c>
      <c r="F850">
        <v>2256</v>
      </c>
      <c r="G850" t="s">
        <v>619</v>
      </c>
      <c r="H850">
        <v>2256</v>
      </c>
      <c r="I850" t="s">
        <v>2607</v>
      </c>
    </row>
    <row r="851" spans="1:9" x14ac:dyDescent="0.25">
      <c r="A851" s="91">
        <v>46069</v>
      </c>
      <c r="B851" t="s">
        <v>2614</v>
      </c>
      <c r="C851" t="s">
        <v>3215</v>
      </c>
      <c r="D851">
        <v>500401</v>
      </c>
      <c r="E851" t="s">
        <v>2863</v>
      </c>
      <c r="F851">
        <v>150</v>
      </c>
      <c r="G851" t="s">
        <v>619</v>
      </c>
      <c r="H851">
        <v>150</v>
      </c>
      <c r="I851" t="s">
        <v>2607</v>
      </c>
    </row>
    <row r="852" spans="1:9" x14ac:dyDescent="0.25">
      <c r="A852" s="91">
        <v>46069</v>
      </c>
      <c r="B852" t="s">
        <v>2614</v>
      </c>
      <c r="C852" t="s">
        <v>3216</v>
      </c>
      <c r="D852">
        <v>900101</v>
      </c>
      <c r="E852" t="s">
        <v>2827</v>
      </c>
      <c r="F852">
        <v>480</v>
      </c>
      <c r="G852" t="s">
        <v>619</v>
      </c>
      <c r="H852">
        <v>480</v>
      </c>
      <c r="I852" t="s">
        <v>2607</v>
      </c>
    </row>
    <row r="853" spans="1:9" x14ac:dyDescent="0.25">
      <c r="A853" s="91">
        <v>46069</v>
      </c>
      <c r="B853" t="s">
        <v>2614</v>
      </c>
      <c r="C853" t="s">
        <v>3217</v>
      </c>
      <c r="D853">
        <v>900105</v>
      </c>
      <c r="E853" t="s">
        <v>2884</v>
      </c>
      <c r="F853">
        <v>480</v>
      </c>
      <c r="G853" t="s">
        <v>619</v>
      </c>
      <c r="H853">
        <v>480</v>
      </c>
      <c r="I853" t="s">
        <v>2607</v>
      </c>
    </row>
    <row r="854" spans="1:9" x14ac:dyDescent="0.25">
      <c r="A854" s="91">
        <v>46069</v>
      </c>
      <c r="B854" t="s">
        <v>2652</v>
      </c>
      <c r="C854" t="s">
        <v>2456</v>
      </c>
      <c r="D854" t="s">
        <v>956</v>
      </c>
      <c r="E854" t="s">
        <v>957</v>
      </c>
      <c r="F854">
        <v>160</v>
      </c>
      <c r="G854" t="s">
        <v>622</v>
      </c>
      <c r="H854">
        <v>160</v>
      </c>
      <c r="I854" t="s">
        <v>2607</v>
      </c>
    </row>
    <row r="855" spans="1:9" x14ac:dyDescent="0.25">
      <c r="A855" s="91">
        <v>46069</v>
      </c>
      <c r="B855" t="s">
        <v>2652</v>
      </c>
      <c r="C855" t="s">
        <v>2458</v>
      </c>
      <c r="D855" t="s">
        <v>960</v>
      </c>
      <c r="E855" t="s">
        <v>961</v>
      </c>
      <c r="F855">
        <v>140</v>
      </c>
      <c r="G855" t="s">
        <v>622</v>
      </c>
      <c r="H855">
        <v>140</v>
      </c>
      <c r="I855" t="s">
        <v>2607</v>
      </c>
    </row>
    <row r="856" spans="1:9" x14ac:dyDescent="0.25">
      <c r="A856" s="91">
        <v>46069</v>
      </c>
      <c r="B856" t="s">
        <v>2652</v>
      </c>
      <c r="C856" t="s">
        <v>2482</v>
      </c>
      <c r="D856" t="s">
        <v>2483</v>
      </c>
      <c r="E856" t="s">
        <v>2484</v>
      </c>
      <c r="F856">
        <v>120</v>
      </c>
      <c r="G856" t="s">
        <v>622</v>
      </c>
      <c r="H856">
        <v>120</v>
      </c>
      <c r="I856" t="s">
        <v>2607</v>
      </c>
    </row>
    <row r="857" spans="1:9" x14ac:dyDescent="0.25">
      <c r="A857" s="91">
        <v>46069</v>
      </c>
      <c r="B857" t="s">
        <v>2610</v>
      </c>
      <c r="C857" t="s">
        <v>2087</v>
      </c>
      <c r="D857" t="s">
        <v>2088</v>
      </c>
      <c r="E857" t="s">
        <v>2089</v>
      </c>
      <c r="F857">
        <v>15000</v>
      </c>
      <c r="G857" t="s">
        <v>619</v>
      </c>
      <c r="H857">
        <v>15000</v>
      </c>
      <c r="I857" t="s">
        <v>2607</v>
      </c>
    </row>
    <row r="858" spans="1:9" x14ac:dyDescent="0.25">
      <c r="A858" s="91">
        <v>46069</v>
      </c>
      <c r="B858">
        <v>7002</v>
      </c>
      <c r="C858" t="s">
        <v>3218</v>
      </c>
      <c r="D858">
        <v>961515</v>
      </c>
      <c r="E858" t="s">
        <v>2691</v>
      </c>
      <c r="F858">
        <v>325</v>
      </c>
      <c r="G858" t="s">
        <v>619</v>
      </c>
      <c r="H858">
        <v>325</v>
      </c>
      <c r="I858" t="s">
        <v>2607</v>
      </c>
    </row>
    <row r="859" spans="1:9" x14ac:dyDescent="0.25">
      <c r="A859" s="91">
        <v>46069</v>
      </c>
      <c r="B859">
        <v>7002</v>
      </c>
      <c r="C859" t="s">
        <v>3219</v>
      </c>
      <c r="D859">
        <v>961515</v>
      </c>
      <c r="E859" t="s">
        <v>2691</v>
      </c>
      <c r="F859">
        <v>325</v>
      </c>
      <c r="G859" t="s">
        <v>619</v>
      </c>
      <c r="H859">
        <v>325</v>
      </c>
      <c r="I859" t="s">
        <v>2607</v>
      </c>
    </row>
    <row r="860" spans="1:9" x14ac:dyDescent="0.25">
      <c r="A860" s="91">
        <v>46069</v>
      </c>
      <c r="B860" t="s">
        <v>2610</v>
      </c>
      <c r="C860" t="s">
        <v>2232</v>
      </c>
      <c r="D860">
        <v>520880</v>
      </c>
      <c r="E860" t="s">
        <v>1399</v>
      </c>
      <c r="F860">
        <v>12500</v>
      </c>
      <c r="G860" t="s">
        <v>619</v>
      </c>
      <c r="H860">
        <v>12500</v>
      </c>
      <c r="I860" t="s">
        <v>2607</v>
      </c>
    </row>
    <row r="861" spans="1:9" x14ac:dyDescent="0.25">
      <c r="A861" s="91">
        <v>46069</v>
      </c>
      <c r="B861">
        <v>7002</v>
      </c>
      <c r="C861" t="s">
        <v>3220</v>
      </c>
      <c r="D861">
        <v>961515</v>
      </c>
      <c r="E861" t="s">
        <v>2691</v>
      </c>
      <c r="F861">
        <v>325</v>
      </c>
      <c r="G861" t="s">
        <v>619</v>
      </c>
      <c r="H861">
        <v>325</v>
      </c>
      <c r="I861" t="s">
        <v>2607</v>
      </c>
    </row>
    <row r="862" spans="1:9" x14ac:dyDescent="0.25">
      <c r="A862" s="91">
        <v>46069</v>
      </c>
      <c r="B862" t="s">
        <v>679</v>
      </c>
      <c r="C862" t="s">
        <v>3221</v>
      </c>
      <c r="D862">
        <v>7212</v>
      </c>
      <c r="E862" t="s">
        <v>681</v>
      </c>
      <c r="F862">
        <v>5760</v>
      </c>
      <c r="G862" t="s">
        <v>622</v>
      </c>
      <c r="H862">
        <v>5760</v>
      </c>
      <c r="I862" t="s">
        <v>2633</v>
      </c>
    </row>
    <row r="863" spans="1:9" x14ac:dyDescent="0.25">
      <c r="A863" s="91">
        <v>46069</v>
      </c>
      <c r="B863" t="s">
        <v>2624</v>
      </c>
      <c r="C863" t="s">
        <v>3222</v>
      </c>
      <c r="D863" t="s">
        <v>2694</v>
      </c>
      <c r="E863" t="s">
        <v>2695</v>
      </c>
      <c r="F863">
        <v>2083</v>
      </c>
      <c r="G863" t="s">
        <v>619</v>
      </c>
      <c r="H863">
        <v>2083</v>
      </c>
      <c r="I863" t="s">
        <v>2607</v>
      </c>
    </row>
    <row r="864" spans="1:9" x14ac:dyDescent="0.25">
      <c r="A864" s="91">
        <v>46069</v>
      </c>
      <c r="B864" t="s">
        <v>2624</v>
      </c>
      <c r="C864" t="s">
        <v>3223</v>
      </c>
      <c r="D864" t="s">
        <v>2626</v>
      </c>
      <c r="E864" t="s">
        <v>2627</v>
      </c>
      <c r="F864">
        <v>3505</v>
      </c>
      <c r="G864" t="s">
        <v>619</v>
      </c>
      <c r="H864">
        <v>3505</v>
      </c>
      <c r="I864" t="s">
        <v>2607</v>
      </c>
    </row>
    <row r="865" spans="1:9" x14ac:dyDescent="0.25">
      <c r="A865" s="91">
        <v>46069</v>
      </c>
      <c r="B865" t="s">
        <v>2621</v>
      </c>
      <c r="C865" t="s">
        <v>3224</v>
      </c>
      <c r="D865">
        <v>528400</v>
      </c>
      <c r="E865" t="s">
        <v>3045</v>
      </c>
      <c r="F865">
        <v>10416</v>
      </c>
      <c r="G865" t="s">
        <v>619</v>
      </c>
      <c r="H865">
        <v>10416</v>
      </c>
      <c r="I865" t="s">
        <v>2607</v>
      </c>
    </row>
    <row r="866" spans="1:9" x14ac:dyDescent="0.25">
      <c r="A866" s="91">
        <v>46069</v>
      </c>
      <c r="B866" t="s">
        <v>2624</v>
      </c>
      <c r="C866" t="s">
        <v>3225</v>
      </c>
      <c r="D866" t="s">
        <v>2643</v>
      </c>
      <c r="E866" t="s">
        <v>2644</v>
      </c>
      <c r="F866">
        <v>1000</v>
      </c>
      <c r="G866" t="s">
        <v>619</v>
      </c>
      <c r="H866">
        <v>1000</v>
      </c>
      <c r="I866" t="s">
        <v>2607</v>
      </c>
    </row>
    <row r="867" spans="1:9" x14ac:dyDescent="0.25">
      <c r="A867" s="91">
        <v>46069</v>
      </c>
      <c r="B867" t="s">
        <v>2621</v>
      </c>
      <c r="C867" t="s">
        <v>3226</v>
      </c>
      <c r="D867">
        <v>529300</v>
      </c>
      <c r="E867" t="s">
        <v>2623</v>
      </c>
      <c r="F867">
        <v>10832</v>
      </c>
      <c r="G867" t="s">
        <v>619</v>
      </c>
      <c r="H867">
        <v>10832</v>
      </c>
      <c r="I867" t="s">
        <v>2607</v>
      </c>
    </row>
    <row r="868" spans="1:9" x14ac:dyDescent="0.25">
      <c r="A868" s="91">
        <v>46069</v>
      </c>
      <c r="B868" t="s">
        <v>2736</v>
      </c>
      <c r="C868" t="s">
        <v>2146</v>
      </c>
      <c r="D868" t="s">
        <v>2140</v>
      </c>
      <c r="E868" t="s">
        <v>2141</v>
      </c>
      <c r="F868">
        <v>5500</v>
      </c>
      <c r="G868" t="s">
        <v>622</v>
      </c>
      <c r="H868">
        <v>5500</v>
      </c>
      <c r="I868" t="s">
        <v>2607</v>
      </c>
    </row>
    <row r="869" spans="1:9" x14ac:dyDescent="0.25">
      <c r="A869" s="91">
        <v>46069</v>
      </c>
      <c r="B869" t="s">
        <v>2606</v>
      </c>
      <c r="C869" t="s">
        <v>3227</v>
      </c>
      <c r="D869">
        <v>220125</v>
      </c>
      <c r="E869" t="s">
        <v>2700</v>
      </c>
      <c r="F869">
        <v>3400</v>
      </c>
      <c r="G869" t="s">
        <v>619</v>
      </c>
      <c r="H869">
        <v>3400</v>
      </c>
      <c r="I869" t="s">
        <v>2607</v>
      </c>
    </row>
    <row r="870" spans="1:9" x14ac:dyDescent="0.25">
      <c r="A870" s="91">
        <v>46069</v>
      </c>
      <c r="B870" t="s">
        <v>2606</v>
      </c>
      <c r="C870" t="s">
        <v>3228</v>
      </c>
      <c r="D870">
        <v>220125</v>
      </c>
      <c r="E870" t="s">
        <v>2700</v>
      </c>
      <c r="F870">
        <v>3400</v>
      </c>
      <c r="G870" t="s">
        <v>619</v>
      </c>
      <c r="H870">
        <v>3400</v>
      </c>
      <c r="I870" t="s">
        <v>2607</v>
      </c>
    </row>
    <row r="871" spans="1:9" x14ac:dyDescent="0.25">
      <c r="A871" s="91">
        <v>46069</v>
      </c>
      <c r="B871" t="s">
        <v>2608</v>
      </c>
      <c r="C871" t="s">
        <v>2049</v>
      </c>
      <c r="D871">
        <v>79500</v>
      </c>
      <c r="E871" t="s">
        <v>625</v>
      </c>
      <c r="F871">
        <v>105000</v>
      </c>
      <c r="G871" t="s">
        <v>622</v>
      </c>
      <c r="H871">
        <v>105000</v>
      </c>
      <c r="I871" t="s">
        <v>2609</v>
      </c>
    </row>
    <row r="872" spans="1:9" x14ac:dyDescent="0.25">
      <c r="A872" s="91">
        <v>46069</v>
      </c>
      <c r="B872" t="s">
        <v>2608</v>
      </c>
      <c r="C872" t="s">
        <v>3229</v>
      </c>
      <c r="D872">
        <v>7016</v>
      </c>
      <c r="E872" t="s">
        <v>628</v>
      </c>
      <c r="F872">
        <v>105000</v>
      </c>
      <c r="G872" t="s">
        <v>622</v>
      </c>
      <c r="H872">
        <v>105000</v>
      </c>
      <c r="I872" t="s">
        <v>2609</v>
      </c>
    </row>
    <row r="873" spans="1:9" x14ac:dyDescent="0.25">
      <c r="A873" s="91">
        <v>46069</v>
      </c>
      <c r="B873" t="s">
        <v>2621</v>
      </c>
      <c r="C873" t="s">
        <v>3230</v>
      </c>
      <c r="D873">
        <v>528400</v>
      </c>
      <c r="E873" t="s">
        <v>3045</v>
      </c>
      <c r="F873">
        <v>10416</v>
      </c>
      <c r="G873" t="s">
        <v>619</v>
      </c>
      <c r="H873">
        <v>10416</v>
      </c>
      <c r="I873" t="s">
        <v>2607</v>
      </c>
    </row>
    <row r="874" spans="1:9" x14ac:dyDescent="0.25">
      <c r="A874" s="91">
        <v>46070</v>
      </c>
      <c r="B874" t="s">
        <v>81</v>
      </c>
      <c r="C874" t="s">
        <v>3231</v>
      </c>
      <c r="D874" t="s">
        <v>1064</v>
      </c>
      <c r="E874" t="s">
        <v>1065</v>
      </c>
      <c r="F874">
        <v>240</v>
      </c>
      <c r="G874" t="s">
        <v>622</v>
      </c>
      <c r="H874">
        <v>240</v>
      </c>
      <c r="I874" t="s">
        <v>2607</v>
      </c>
    </row>
    <row r="875" spans="1:9" x14ac:dyDescent="0.25">
      <c r="A875" s="91">
        <v>46070</v>
      </c>
      <c r="B875" t="s">
        <v>81</v>
      </c>
      <c r="C875" t="s">
        <v>3232</v>
      </c>
      <c r="D875" t="s">
        <v>1060</v>
      </c>
      <c r="E875" t="s">
        <v>1061</v>
      </c>
      <c r="F875">
        <v>240</v>
      </c>
      <c r="G875" t="s">
        <v>622</v>
      </c>
      <c r="H875">
        <v>240</v>
      </c>
      <c r="I875" t="s">
        <v>2607</v>
      </c>
    </row>
    <row r="876" spans="1:9" x14ac:dyDescent="0.25">
      <c r="A876" s="91">
        <v>46070</v>
      </c>
      <c r="B876" t="s">
        <v>81</v>
      </c>
      <c r="C876" t="s">
        <v>3233</v>
      </c>
      <c r="D876" t="s">
        <v>1052</v>
      </c>
      <c r="E876" t="s">
        <v>1053</v>
      </c>
      <c r="F876">
        <v>240</v>
      </c>
      <c r="G876" t="s">
        <v>622</v>
      </c>
      <c r="H876">
        <v>240</v>
      </c>
      <c r="I876" t="s">
        <v>2607</v>
      </c>
    </row>
    <row r="877" spans="1:9" x14ac:dyDescent="0.25">
      <c r="A877" s="91">
        <v>46070</v>
      </c>
      <c r="B877" t="s">
        <v>81</v>
      </c>
      <c r="C877" t="s">
        <v>3234</v>
      </c>
      <c r="D877" t="s">
        <v>1054</v>
      </c>
      <c r="E877" t="s">
        <v>1055</v>
      </c>
      <c r="F877">
        <v>240</v>
      </c>
      <c r="G877" t="s">
        <v>622</v>
      </c>
      <c r="H877">
        <v>240</v>
      </c>
      <c r="I877" t="s">
        <v>2607</v>
      </c>
    </row>
    <row r="878" spans="1:9" x14ac:dyDescent="0.25">
      <c r="A878" s="91">
        <v>46070</v>
      </c>
      <c r="B878" t="s">
        <v>2652</v>
      </c>
      <c r="C878" t="s">
        <v>2506</v>
      </c>
      <c r="D878" t="s">
        <v>966</v>
      </c>
      <c r="E878" t="s">
        <v>967</v>
      </c>
      <c r="F878">
        <v>240</v>
      </c>
      <c r="G878" t="s">
        <v>622</v>
      </c>
      <c r="H878">
        <v>240</v>
      </c>
      <c r="I878" t="s">
        <v>2607</v>
      </c>
    </row>
    <row r="879" spans="1:9" x14ac:dyDescent="0.25">
      <c r="A879" s="91">
        <v>46070</v>
      </c>
      <c r="B879" t="s">
        <v>2610</v>
      </c>
      <c r="C879" t="s">
        <v>3235</v>
      </c>
      <c r="D879" t="s">
        <v>114</v>
      </c>
      <c r="E879" t="s">
        <v>2211</v>
      </c>
      <c r="F879">
        <v>8334</v>
      </c>
      <c r="G879" t="s">
        <v>619</v>
      </c>
      <c r="H879">
        <v>8334</v>
      </c>
      <c r="I879" t="s">
        <v>2607</v>
      </c>
    </row>
    <row r="880" spans="1:9" x14ac:dyDescent="0.25">
      <c r="A880" s="91">
        <v>46070</v>
      </c>
      <c r="B880" t="s">
        <v>2652</v>
      </c>
      <c r="C880" t="s">
        <v>2494</v>
      </c>
      <c r="D880" t="s">
        <v>954</v>
      </c>
      <c r="E880" t="s">
        <v>955</v>
      </c>
      <c r="F880">
        <v>600</v>
      </c>
      <c r="G880" t="s">
        <v>622</v>
      </c>
      <c r="H880">
        <v>600</v>
      </c>
      <c r="I880" t="s">
        <v>2607</v>
      </c>
    </row>
    <row r="881" spans="1:9" x14ac:dyDescent="0.25">
      <c r="A881" s="91">
        <v>46070</v>
      </c>
      <c r="B881" t="s">
        <v>2652</v>
      </c>
      <c r="C881" t="s">
        <v>2501</v>
      </c>
      <c r="D881" t="s">
        <v>962</v>
      </c>
      <c r="E881" t="s">
        <v>963</v>
      </c>
      <c r="F881">
        <v>600</v>
      </c>
      <c r="G881" t="s">
        <v>622</v>
      </c>
      <c r="H881">
        <v>600</v>
      </c>
      <c r="I881" t="s">
        <v>2607</v>
      </c>
    </row>
    <row r="882" spans="1:9" x14ac:dyDescent="0.25">
      <c r="A882" s="91">
        <v>46070</v>
      </c>
      <c r="B882" t="s">
        <v>2652</v>
      </c>
      <c r="C882" t="s">
        <v>2508</v>
      </c>
      <c r="D882" t="s">
        <v>970</v>
      </c>
      <c r="E882" t="s">
        <v>971</v>
      </c>
      <c r="F882">
        <v>240</v>
      </c>
      <c r="G882" t="s">
        <v>622</v>
      </c>
      <c r="H882">
        <v>240</v>
      </c>
      <c r="I882" t="s">
        <v>2607</v>
      </c>
    </row>
    <row r="883" spans="1:9" x14ac:dyDescent="0.25">
      <c r="A883" s="91">
        <v>46070</v>
      </c>
      <c r="B883" t="s">
        <v>2617</v>
      </c>
      <c r="C883" t="s">
        <v>3236</v>
      </c>
      <c r="D883">
        <v>5150010450</v>
      </c>
      <c r="E883" t="s">
        <v>2619</v>
      </c>
      <c r="F883">
        <v>2256</v>
      </c>
      <c r="G883" t="s">
        <v>619</v>
      </c>
      <c r="H883">
        <v>2256</v>
      </c>
      <c r="I883" t="s">
        <v>2607</v>
      </c>
    </row>
    <row r="884" spans="1:9" x14ac:dyDescent="0.25">
      <c r="A884" s="91">
        <v>46070</v>
      </c>
      <c r="B884" t="s">
        <v>2614</v>
      </c>
      <c r="C884" t="s">
        <v>3237</v>
      </c>
      <c r="D884">
        <v>623281</v>
      </c>
      <c r="E884" t="s">
        <v>2635</v>
      </c>
      <c r="F884">
        <v>788</v>
      </c>
      <c r="G884" t="s">
        <v>619</v>
      </c>
      <c r="H884">
        <v>788</v>
      </c>
      <c r="I884" t="s">
        <v>2607</v>
      </c>
    </row>
    <row r="885" spans="1:9" x14ac:dyDescent="0.25">
      <c r="A885" s="91">
        <v>46070</v>
      </c>
      <c r="B885" t="s">
        <v>2652</v>
      </c>
      <c r="C885" t="s">
        <v>2507</v>
      </c>
      <c r="D885" t="s">
        <v>968</v>
      </c>
      <c r="E885" t="s">
        <v>969</v>
      </c>
      <c r="F885">
        <v>240</v>
      </c>
      <c r="G885" t="s">
        <v>622</v>
      </c>
      <c r="H885">
        <v>240</v>
      </c>
      <c r="I885" t="s">
        <v>2607</v>
      </c>
    </row>
    <row r="886" spans="1:9" x14ac:dyDescent="0.25">
      <c r="A886" s="91">
        <v>46070</v>
      </c>
      <c r="B886" t="s">
        <v>2608</v>
      </c>
      <c r="C886" t="s">
        <v>2113</v>
      </c>
      <c r="D886">
        <v>7033</v>
      </c>
      <c r="E886" t="s">
        <v>1109</v>
      </c>
      <c r="F886">
        <v>95000</v>
      </c>
      <c r="G886" t="s">
        <v>622</v>
      </c>
      <c r="H886">
        <v>95000</v>
      </c>
      <c r="I886" t="s">
        <v>2609</v>
      </c>
    </row>
    <row r="887" spans="1:9" x14ac:dyDescent="0.25">
      <c r="A887" s="91">
        <v>46070</v>
      </c>
      <c r="B887" t="s">
        <v>688</v>
      </c>
      <c r="C887" t="s">
        <v>3238</v>
      </c>
      <c r="D887">
        <v>7746</v>
      </c>
      <c r="E887" t="s">
        <v>692</v>
      </c>
      <c r="F887">
        <v>68000</v>
      </c>
      <c r="G887" t="s">
        <v>622</v>
      </c>
      <c r="H887">
        <v>68000</v>
      </c>
      <c r="I887" t="s">
        <v>2633</v>
      </c>
    </row>
    <row r="888" spans="1:9" x14ac:dyDescent="0.25">
      <c r="A888" s="91">
        <v>46070</v>
      </c>
      <c r="B888" t="s">
        <v>2606</v>
      </c>
      <c r="C888" t="s">
        <v>3239</v>
      </c>
      <c r="D888">
        <v>85134</v>
      </c>
      <c r="E888" t="s">
        <v>2488</v>
      </c>
      <c r="F888">
        <v>3130</v>
      </c>
      <c r="G888" t="s">
        <v>619</v>
      </c>
      <c r="H888">
        <v>3130</v>
      </c>
      <c r="I888" t="s">
        <v>2607</v>
      </c>
    </row>
    <row r="889" spans="1:9" x14ac:dyDescent="0.25">
      <c r="A889" s="91">
        <v>46070</v>
      </c>
      <c r="B889" t="s">
        <v>2606</v>
      </c>
      <c r="C889" t="s">
        <v>3240</v>
      </c>
      <c r="D889">
        <v>220125</v>
      </c>
      <c r="E889" t="s">
        <v>2700</v>
      </c>
      <c r="F889">
        <v>3800</v>
      </c>
      <c r="G889" t="s">
        <v>619</v>
      </c>
      <c r="H889">
        <v>3800</v>
      </c>
      <c r="I889" t="s">
        <v>2607</v>
      </c>
    </row>
    <row r="890" spans="1:9" x14ac:dyDescent="0.25">
      <c r="A890" s="91">
        <v>46070</v>
      </c>
      <c r="B890" t="s">
        <v>682</v>
      </c>
      <c r="C890" t="s">
        <v>3241</v>
      </c>
      <c r="D890">
        <v>7279</v>
      </c>
      <c r="E890" t="s">
        <v>754</v>
      </c>
      <c r="F890">
        <v>29000</v>
      </c>
      <c r="G890" t="s">
        <v>622</v>
      </c>
      <c r="H890">
        <v>29000</v>
      </c>
      <c r="I890" t="s">
        <v>2633</v>
      </c>
    </row>
    <row r="891" spans="1:9" x14ac:dyDescent="0.25">
      <c r="A891" s="91">
        <v>46070</v>
      </c>
      <c r="B891" t="s">
        <v>712</v>
      </c>
      <c r="C891" t="s">
        <v>3242</v>
      </c>
      <c r="D891" t="s">
        <v>1128</v>
      </c>
      <c r="E891" t="s">
        <v>781</v>
      </c>
      <c r="F891">
        <v>40000</v>
      </c>
      <c r="G891" t="s">
        <v>622</v>
      </c>
      <c r="H891">
        <v>40000</v>
      </c>
      <c r="I891" t="s">
        <v>2607</v>
      </c>
    </row>
    <row r="892" spans="1:9" x14ac:dyDescent="0.25">
      <c r="A892" s="91">
        <v>46070</v>
      </c>
      <c r="B892" t="s">
        <v>2628</v>
      </c>
      <c r="C892" t="s">
        <v>3243</v>
      </c>
      <c r="D892">
        <v>9011235</v>
      </c>
      <c r="E892" t="s">
        <v>2630</v>
      </c>
      <c r="F892">
        <v>700</v>
      </c>
      <c r="G892" t="s">
        <v>619</v>
      </c>
      <c r="H892">
        <v>700</v>
      </c>
      <c r="I892" t="s">
        <v>2607</v>
      </c>
    </row>
    <row r="893" spans="1:9" x14ac:dyDescent="0.25">
      <c r="A893" s="91">
        <v>46070</v>
      </c>
      <c r="B893" t="s">
        <v>2628</v>
      </c>
      <c r="C893" t="s">
        <v>3244</v>
      </c>
      <c r="D893">
        <v>9011235</v>
      </c>
      <c r="E893" t="s">
        <v>2630</v>
      </c>
      <c r="F893">
        <v>700</v>
      </c>
      <c r="G893" t="s">
        <v>619</v>
      </c>
      <c r="H893">
        <v>700</v>
      </c>
      <c r="I893" t="s">
        <v>2607</v>
      </c>
    </row>
    <row r="894" spans="1:9" x14ac:dyDescent="0.25">
      <c r="A894" s="91">
        <v>46070</v>
      </c>
      <c r="B894">
        <v>7002</v>
      </c>
      <c r="C894" t="s">
        <v>3245</v>
      </c>
      <c r="D894">
        <v>961515</v>
      </c>
      <c r="E894" t="s">
        <v>2691</v>
      </c>
      <c r="F894">
        <v>325</v>
      </c>
      <c r="G894" t="s">
        <v>619</v>
      </c>
      <c r="H894">
        <v>325</v>
      </c>
      <c r="I894" t="s">
        <v>2607</v>
      </c>
    </row>
    <row r="895" spans="1:9" x14ac:dyDescent="0.25">
      <c r="A895" s="91">
        <v>46070</v>
      </c>
      <c r="B895" t="s">
        <v>2621</v>
      </c>
      <c r="C895" t="s">
        <v>3246</v>
      </c>
      <c r="D895" t="s">
        <v>2910</v>
      </c>
      <c r="E895" t="s">
        <v>2911</v>
      </c>
      <c r="F895">
        <v>3505</v>
      </c>
      <c r="G895" t="s">
        <v>619</v>
      </c>
      <c r="H895">
        <v>3505</v>
      </c>
      <c r="I895" t="s">
        <v>2607</v>
      </c>
    </row>
    <row r="896" spans="1:9" x14ac:dyDescent="0.25">
      <c r="A896" s="91">
        <v>46070</v>
      </c>
      <c r="B896" t="s">
        <v>693</v>
      </c>
      <c r="C896" t="s">
        <v>3247</v>
      </c>
      <c r="D896">
        <v>910526</v>
      </c>
      <c r="E896" t="s">
        <v>1602</v>
      </c>
      <c r="F896">
        <v>9120</v>
      </c>
      <c r="G896" t="s">
        <v>619</v>
      </c>
      <c r="H896">
        <v>9120</v>
      </c>
      <c r="I896" t="s">
        <v>2607</v>
      </c>
    </row>
    <row r="897" spans="1:9" x14ac:dyDescent="0.25">
      <c r="A897" s="91">
        <v>46070</v>
      </c>
      <c r="B897" t="s">
        <v>693</v>
      </c>
      <c r="C897" t="s">
        <v>3248</v>
      </c>
      <c r="D897">
        <v>910326</v>
      </c>
      <c r="E897" t="s">
        <v>1583</v>
      </c>
      <c r="F897">
        <v>9120</v>
      </c>
      <c r="G897" t="s">
        <v>619</v>
      </c>
      <c r="H897">
        <v>9120</v>
      </c>
      <c r="I897" t="s">
        <v>2607</v>
      </c>
    </row>
    <row r="898" spans="1:9" x14ac:dyDescent="0.25">
      <c r="A898" s="91">
        <v>46070</v>
      </c>
      <c r="B898" t="s">
        <v>2665</v>
      </c>
      <c r="C898" t="s">
        <v>2493</v>
      </c>
      <c r="D898" t="s">
        <v>641</v>
      </c>
      <c r="E898" t="s">
        <v>2917</v>
      </c>
      <c r="F898">
        <v>6500</v>
      </c>
      <c r="G898" t="s">
        <v>619</v>
      </c>
      <c r="H898">
        <v>6500</v>
      </c>
      <c r="I898" t="s">
        <v>2607</v>
      </c>
    </row>
    <row r="899" spans="1:9" x14ac:dyDescent="0.25">
      <c r="A899" s="91">
        <v>46070</v>
      </c>
      <c r="B899" t="s">
        <v>2665</v>
      </c>
      <c r="C899" t="s">
        <v>1103</v>
      </c>
      <c r="D899" t="s">
        <v>916</v>
      </c>
      <c r="E899" t="s">
        <v>2666</v>
      </c>
      <c r="F899">
        <v>6500</v>
      </c>
      <c r="G899" t="s">
        <v>619</v>
      </c>
      <c r="H899">
        <v>6500</v>
      </c>
      <c r="I899" t="s">
        <v>2607</v>
      </c>
    </row>
    <row r="900" spans="1:9" x14ac:dyDescent="0.25">
      <c r="A900" s="91">
        <v>46070</v>
      </c>
      <c r="B900" t="s">
        <v>2624</v>
      </c>
      <c r="C900" t="s">
        <v>3249</v>
      </c>
      <c r="D900" t="s">
        <v>2650</v>
      </c>
      <c r="E900" t="s">
        <v>2651</v>
      </c>
      <c r="F900">
        <v>1000</v>
      </c>
      <c r="G900" t="s">
        <v>619</v>
      </c>
      <c r="H900">
        <v>1000</v>
      </c>
      <c r="I900" t="s">
        <v>2607</v>
      </c>
    </row>
    <row r="901" spans="1:9" x14ac:dyDescent="0.25">
      <c r="A901" s="91">
        <v>46071</v>
      </c>
      <c r="B901" t="s">
        <v>81</v>
      </c>
      <c r="C901" t="s">
        <v>3250</v>
      </c>
      <c r="D901" t="s">
        <v>2850</v>
      </c>
      <c r="E901" t="s">
        <v>2851</v>
      </c>
      <c r="F901">
        <v>240</v>
      </c>
      <c r="G901" t="s">
        <v>622</v>
      </c>
      <c r="H901">
        <v>240</v>
      </c>
      <c r="I901" t="s">
        <v>2607</v>
      </c>
    </row>
    <row r="902" spans="1:9" x14ac:dyDescent="0.25">
      <c r="A902" s="91">
        <v>46071</v>
      </c>
      <c r="B902" t="s">
        <v>81</v>
      </c>
      <c r="C902" t="s">
        <v>3251</v>
      </c>
      <c r="D902" t="s">
        <v>1066</v>
      </c>
      <c r="E902" t="s">
        <v>1067</v>
      </c>
      <c r="F902">
        <v>72</v>
      </c>
      <c r="G902" t="s">
        <v>622</v>
      </c>
      <c r="H902">
        <v>72</v>
      </c>
      <c r="I902" t="s">
        <v>2607</v>
      </c>
    </row>
    <row r="903" spans="1:9" x14ac:dyDescent="0.25">
      <c r="A903" s="91">
        <v>46071</v>
      </c>
      <c r="B903" t="s">
        <v>81</v>
      </c>
      <c r="C903" t="s">
        <v>3252</v>
      </c>
      <c r="D903" t="s">
        <v>1058</v>
      </c>
      <c r="E903" t="s">
        <v>1059</v>
      </c>
      <c r="F903">
        <v>72</v>
      </c>
      <c r="G903" t="s">
        <v>622</v>
      </c>
      <c r="H903">
        <v>72</v>
      </c>
      <c r="I903" t="s">
        <v>2607</v>
      </c>
    </row>
    <row r="904" spans="1:9" x14ac:dyDescent="0.25">
      <c r="A904" s="91">
        <v>46071</v>
      </c>
      <c r="B904" t="s">
        <v>81</v>
      </c>
      <c r="C904" t="s">
        <v>3253</v>
      </c>
      <c r="D904" t="s">
        <v>1040</v>
      </c>
      <c r="E904" t="s">
        <v>1041</v>
      </c>
      <c r="F904">
        <v>144</v>
      </c>
      <c r="G904" t="s">
        <v>622</v>
      </c>
      <c r="H904">
        <v>144</v>
      </c>
      <c r="I904" t="s">
        <v>2607</v>
      </c>
    </row>
    <row r="905" spans="1:9" x14ac:dyDescent="0.25">
      <c r="A905" s="91">
        <v>46071</v>
      </c>
      <c r="B905" t="s">
        <v>81</v>
      </c>
      <c r="C905" t="s">
        <v>3254</v>
      </c>
      <c r="D905" t="s">
        <v>1050</v>
      </c>
      <c r="E905" t="s">
        <v>1051</v>
      </c>
      <c r="F905">
        <v>72</v>
      </c>
      <c r="G905" t="s">
        <v>622</v>
      </c>
      <c r="H905">
        <v>72</v>
      </c>
      <c r="I905" t="s">
        <v>2607</v>
      </c>
    </row>
    <row r="906" spans="1:9" x14ac:dyDescent="0.25">
      <c r="A906" s="91">
        <v>46071</v>
      </c>
      <c r="B906" t="s">
        <v>81</v>
      </c>
      <c r="C906" t="s">
        <v>3255</v>
      </c>
      <c r="D906" t="s">
        <v>1064</v>
      </c>
      <c r="E906" t="s">
        <v>1065</v>
      </c>
      <c r="F906">
        <v>72</v>
      </c>
      <c r="G906" t="s">
        <v>622</v>
      </c>
      <c r="H906">
        <v>72</v>
      </c>
      <c r="I906" t="s">
        <v>2607</v>
      </c>
    </row>
    <row r="907" spans="1:9" x14ac:dyDescent="0.25">
      <c r="A907" s="91">
        <v>46071</v>
      </c>
      <c r="B907" t="s">
        <v>81</v>
      </c>
      <c r="C907" t="s">
        <v>3256</v>
      </c>
      <c r="D907" t="s">
        <v>1058</v>
      </c>
      <c r="E907" t="s">
        <v>1059</v>
      </c>
      <c r="F907">
        <v>240</v>
      </c>
      <c r="G907" t="s">
        <v>622</v>
      </c>
      <c r="H907">
        <v>240</v>
      </c>
      <c r="I907" t="s">
        <v>2607</v>
      </c>
    </row>
    <row r="908" spans="1:9" x14ac:dyDescent="0.25">
      <c r="A908" s="91">
        <v>46071</v>
      </c>
      <c r="B908" t="s">
        <v>81</v>
      </c>
      <c r="C908" t="s">
        <v>3257</v>
      </c>
      <c r="D908" t="s">
        <v>1066</v>
      </c>
      <c r="E908" t="s">
        <v>1067</v>
      </c>
      <c r="F908">
        <v>240</v>
      </c>
      <c r="G908" t="s">
        <v>622</v>
      </c>
      <c r="H908">
        <v>240</v>
      </c>
      <c r="I908" t="s">
        <v>2607</v>
      </c>
    </row>
    <row r="909" spans="1:9" x14ac:dyDescent="0.25">
      <c r="A909" s="91">
        <v>46071</v>
      </c>
      <c r="B909" t="s">
        <v>81</v>
      </c>
      <c r="C909" t="s">
        <v>3258</v>
      </c>
      <c r="D909">
        <v>2252</v>
      </c>
      <c r="E909" t="s">
        <v>799</v>
      </c>
      <c r="F909">
        <v>12</v>
      </c>
      <c r="G909" t="s">
        <v>622</v>
      </c>
      <c r="H909">
        <v>12</v>
      </c>
      <c r="I909" t="s">
        <v>2607</v>
      </c>
    </row>
    <row r="910" spans="1:9" x14ac:dyDescent="0.25">
      <c r="A910" s="91">
        <v>46071</v>
      </c>
      <c r="B910" t="s">
        <v>81</v>
      </c>
      <c r="C910" t="s">
        <v>3259</v>
      </c>
      <c r="D910" t="s">
        <v>2830</v>
      </c>
      <c r="E910" t="s">
        <v>2831</v>
      </c>
      <c r="F910">
        <v>240</v>
      </c>
      <c r="G910" t="s">
        <v>622</v>
      </c>
      <c r="H910">
        <v>240</v>
      </c>
      <c r="I910" t="s">
        <v>2607</v>
      </c>
    </row>
    <row r="911" spans="1:9" x14ac:dyDescent="0.25">
      <c r="A911" s="91">
        <v>46071</v>
      </c>
      <c r="B911" t="s">
        <v>81</v>
      </c>
      <c r="C911" t="s">
        <v>3260</v>
      </c>
      <c r="D911">
        <v>2202</v>
      </c>
      <c r="E911" t="s">
        <v>772</v>
      </c>
      <c r="F911">
        <v>3</v>
      </c>
      <c r="G911" t="s">
        <v>622</v>
      </c>
      <c r="H911">
        <v>3</v>
      </c>
      <c r="I911" t="s">
        <v>2607</v>
      </c>
    </row>
    <row r="912" spans="1:9" x14ac:dyDescent="0.25">
      <c r="A912" s="91">
        <v>46071</v>
      </c>
      <c r="B912" t="s">
        <v>81</v>
      </c>
      <c r="C912" t="s">
        <v>3261</v>
      </c>
      <c r="D912" t="s">
        <v>2822</v>
      </c>
      <c r="E912" t="s">
        <v>2823</v>
      </c>
      <c r="F912">
        <v>72</v>
      </c>
      <c r="G912" t="s">
        <v>622</v>
      </c>
      <c r="H912">
        <v>72</v>
      </c>
      <c r="I912" t="s">
        <v>2607</v>
      </c>
    </row>
    <row r="913" spans="1:9" x14ac:dyDescent="0.25">
      <c r="A913" s="91">
        <v>46071</v>
      </c>
      <c r="B913" t="s">
        <v>2652</v>
      </c>
      <c r="C913" t="s">
        <v>2511</v>
      </c>
      <c r="D913" t="s">
        <v>976</v>
      </c>
      <c r="E913" t="s">
        <v>977</v>
      </c>
      <c r="F913">
        <v>240</v>
      </c>
      <c r="G913" t="s">
        <v>622</v>
      </c>
      <c r="H913">
        <v>240</v>
      </c>
      <c r="I913" t="s">
        <v>2607</v>
      </c>
    </row>
    <row r="914" spans="1:9" x14ac:dyDescent="0.25">
      <c r="A914" s="91">
        <v>46071</v>
      </c>
      <c r="B914" t="s">
        <v>81</v>
      </c>
      <c r="C914" t="s">
        <v>3262</v>
      </c>
      <c r="D914">
        <v>2256</v>
      </c>
      <c r="E914" t="s">
        <v>801</v>
      </c>
      <c r="F914">
        <v>60</v>
      </c>
      <c r="G914" t="s">
        <v>622</v>
      </c>
      <c r="H914">
        <v>60</v>
      </c>
      <c r="I914" t="s">
        <v>2607</v>
      </c>
    </row>
    <row r="915" spans="1:9" x14ac:dyDescent="0.25">
      <c r="A915" s="91">
        <v>46071</v>
      </c>
      <c r="B915" t="s">
        <v>2680</v>
      </c>
      <c r="C915" t="s">
        <v>3263</v>
      </c>
      <c r="D915">
        <v>900402</v>
      </c>
      <c r="E915" t="s">
        <v>2886</v>
      </c>
      <c r="F915">
        <v>480</v>
      </c>
      <c r="G915" t="s">
        <v>619</v>
      </c>
      <c r="H915">
        <v>480</v>
      </c>
      <c r="I915" t="s">
        <v>2607</v>
      </c>
    </row>
    <row r="916" spans="1:9" x14ac:dyDescent="0.25">
      <c r="A916" s="91">
        <v>46071</v>
      </c>
      <c r="B916" t="s">
        <v>81</v>
      </c>
      <c r="C916" t="s">
        <v>3264</v>
      </c>
      <c r="D916">
        <v>2210</v>
      </c>
      <c r="E916" t="s">
        <v>774</v>
      </c>
      <c r="F916">
        <v>12</v>
      </c>
      <c r="G916" t="s">
        <v>622</v>
      </c>
      <c r="H916">
        <v>12</v>
      </c>
      <c r="I916" t="s">
        <v>2607</v>
      </c>
    </row>
    <row r="917" spans="1:9" x14ac:dyDescent="0.25">
      <c r="A917" s="91">
        <v>46071</v>
      </c>
      <c r="B917" t="s">
        <v>81</v>
      </c>
      <c r="C917" t="s">
        <v>3265</v>
      </c>
      <c r="D917">
        <v>2212</v>
      </c>
      <c r="E917" t="s">
        <v>776</v>
      </c>
      <c r="F917">
        <v>16</v>
      </c>
      <c r="G917" t="s">
        <v>622</v>
      </c>
      <c r="H917">
        <v>16</v>
      </c>
      <c r="I917" t="s">
        <v>2607</v>
      </c>
    </row>
    <row r="918" spans="1:9" x14ac:dyDescent="0.25">
      <c r="A918" s="91">
        <v>46071</v>
      </c>
      <c r="B918" t="s">
        <v>81</v>
      </c>
      <c r="C918" t="s">
        <v>3266</v>
      </c>
      <c r="D918" t="s">
        <v>1046</v>
      </c>
      <c r="E918" t="s">
        <v>1047</v>
      </c>
      <c r="F918">
        <v>72</v>
      </c>
      <c r="G918" t="s">
        <v>622</v>
      </c>
      <c r="H918">
        <v>72</v>
      </c>
      <c r="I918" t="s">
        <v>2607</v>
      </c>
    </row>
    <row r="919" spans="1:9" x14ac:dyDescent="0.25">
      <c r="A919" s="91">
        <v>46071</v>
      </c>
      <c r="B919" t="s">
        <v>2652</v>
      </c>
      <c r="C919" t="s">
        <v>2500</v>
      </c>
      <c r="D919" t="s">
        <v>960</v>
      </c>
      <c r="E919" t="s">
        <v>961</v>
      </c>
      <c r="F919">
        <v>600</v>
      </c>
      <c r="G919" t="s">
        <v>622</v>
      </c>
      <c r="H919">
        <v>600</v>
      </c>
      <c r="I919" t="s">
        <v>2607</v>
      </c>
    </row>
    <row r="920" spans="1:9" x14ac:dyDescent="0.25">
      <c r="A920" s="91">
        <v>46071</v>
      </c>
      <c r="B920" t="s">
        <v>2652</v>
      </c>
      <c r="C920" t="s">
        <v>2510</v>
      </c>
      <c r="D920" t="s">
        <v>974</v>
      </c>
      <c r="E920" t="s">
        <v>975</v>
      </c>
      <c r="F920">
        <v>240</v>
      </c>
      <c r="G920" t="s">
        <v>622</v>
      </c>
      <c r="H920">
        <v>240</v>
      </c>
      <c r="I920" t="s">
        <v>2607</v>
      </c>
    </row>
    <row r="921" spans="1:9" x14ac:dyDescent="0.25">
      <c r="A921" s="91">
        <v>46071</v>
      </c>
      <c r="B921" t="s">
        <v>2652</v>
      </c>
      <c r="C921" t="s">
        <v>2509</v>
      </c>
      <c r="D921" t="s">
        <v>972</v>
      </c>
      <c r="E921" t="s">
        <v>973</v>
      </c>
      <c r="F921">
        <v>240</v>
      </c>
      <c r="G921" t="s">
        <v>622</v>
      </c>
      <c r="H921">
        <v>240</v>
      </c>
      <c r="I921" t="s">
        <v>2607</v>
      </c>
    </row>
    <row r="922" spans="1:9" x14ac:dyDescent="0.25">
      <c r="A922" s="91">
        <v>46071</v>
      </c>
      <c r="B922" t="s">
        <v>2652</v>
      </c>
      <c r="C922" t="s">
        <v>2496</v>
      </c>
      <c r="D922" t="s">
        <v>958</v>
      </c>
      <c r="E922" t="s">
        <v>959</v>
      </c>
      <c r="F922">
        <v>600</v>
      </c>
      <c r="G922" t="s">
        <v>622</v>
      </c>
      <c r="H922">
        <v>600</v>
      </c>
      <c r="I922" t="s">
        <v>2607</v>
      </c>
    </row>
    <row r="923" spans="1:9" x14ac:dyDescent="0.25">
      <c r="A923" s="91">
        <v>46071</v>
      </c>
      <c r="B923" t="s">
        <v>2617</v>
      </c>
      <c r="C923" t="s">
        <v>3267</v>
      </c>
      <c r="D923">
        <v>5150010450</v>
      </c>
      <c r="E923" t="s">
        <v>2619</v>
      </c>
      <c r="F923">
        <v>2256</v>
      </c>
      <c r="G923" t="s">
        <v>619</v>
      </c>
      <c r="H923">
        <v>2256</v>
      </c>
      <c r="I923" t="s">
        <v>2607</v>
      </c>
    </row>
    <row r="924" spans="1:9" x14ac:dyDescent="0.25">
      <c r="A924" s="91">
        <v>46071</v>
      </c>
      <c r="B924" t="s">
        <v>2614</v>
      </c>
      <c r="C924" t="s">
        <v>3268</v>
      </c>
      <c r="D924">
        <v>500402</v>
      </c>
      <c r="E924" t="s">
        <v>3269</v>
      </c>
      <c r="F924">
        <v>480</v>
      </c>
      <c r="G924" t="s">
        <v>619</v>
      </c>
      <c r="H924">
        <v>480</v>
      </c>
      <c r="I924" t="s">
        <v>2607</v>
      </c>
    </row>
    <row r="925" spans="1:9" x14ac:dyDescent="0.25">
      <c r="A925" s="91">
        <v>46071</v>
      </c>
      <c r="B925" t="s">
        <v>81</v>
      </c>
      <c r="C925" t="s">
        <v>3270</v>
      </c>
      <c r="D925">
        <v>2336</v>
      </c>
      <c r="E925" t="s">
        <v>780</v>
      </c>
      <c r="F925">
        <v>144</v>
      </c>
      <c r="G925" t="s">
        <v>622</v>
      </c>
      <c r="H925">
        <v>144</v>
      </c>
      <c r="I925" t="s">
        <v>2607</v>
      </c>
    </row>
    <row r="926" spans="1:9" x14ac:dyDescent="0.25">
      <c r="A926" s="91">
        <v>46071</v>
      </c>
      <c r="B926" t="s">
        <v>81</v>
      </c>
      <c r="C926" t="s">
        <v>3271</v>
      </c>
      <c r="D926" t="s">
        <v>1054</v>
      </c>
      <c r="E926" t="s">
        <v>1055</v>
      </c>
      <c r="F926">
        <v>72</v>
      </c>
      <c r="G926" t="s">
        <v>622</v>
      </c>
      <c r="H926">
        <v>72</v>
      </c>
      <c r="I926" t="s">
        <v>2607</v>
      </c>
    </row>
    <row r="927" spans="1:9" x14ac:dyDescent="0.25">
      <c r="A927" s="91">
        <v>46071</v>
      </c>
      <c r="B927" t="s">
        <v>81</v>
      </c>
      <c r="C927" t="s">
        <v>3272</v>
      </c>
      <c r="D927">
        <v>2240</v>
      </c>
      <c r="E927" t="s">
        <v>762</v>
      </c>
      <c r="F927">
        <v>180</v>
      </c>
      <c r="G927" t="s">
        <v>622</v>
      </c>
      <c r="H927">
        <v>180</v>
      </c>
      <c r="I927" t="s">
        <v>2607</v>
      </c>
    </row>
    <row r="928" spans="1:9" x14ac:dyDescent="0.25">
      <c r="A928" s="91">
        <v>46071</v>
      </c>
      <c r="B928" t="s">
        <v>2606</v>
      </c>
      <c r="C928" t="s">
        <v>3273</v>
      </c>
      <c r="D928">
        <v>85134</v>
      </c>
      <c r="E928" t="s">
        <v>2488</v>
      </c>
      <c r="F928">
        <v>3130</v>
      </c>
      <c r="G928" t="s">
        <v>619</v>
      </c>
      <c r="H928">
        <v>3130</v>
      </c>
      <c r="I928" t="s">
        <v>2607</v>
      </c>
    </row>
    <row r="929" spans="1:9" x14ac:dyDescent="0.25">
      <c r="A929" s="91">
        <v>46071</v>
      </c>
      <c r="B929" t="s">
        <v>81</v>
      </c>
      <c r="C929" t="s">
        <v>3274</v>
      </c>
      <c r="D929" t="s">
        <v>2850</v>
      </c>
      <c r="E929" t="s">
        <v>2851</v>
      </c>
      <c r="F929">
        <v>72</v>
      </c>
      <c r="G929" t="s">
        <v>622</v>
      </c>
      <c r="H929">
        <v>72</v>
      </c>
      <c r="I929" t="s">
        <v>2607</v>
      </c>
    </row>
    <row r="930" spans="1:9" x14ac:dyDescent="0.25">
      <c r="A930" s="91">
        <v>46071</v>
      </c>
      <c r="B930">
        <v>7002</v>
      </c>
      <c r="C930" t="s">
        <v>3275</v>
      </c>
      <c r="D930">
        <v>961515</v>
      </c>
      <c r="E930" t="s">
        <v>2691</v>
      </c>
      <c r="F930">
        <v>325</v>
      </c>
      <c r="G930" t="s">
        <v>619</v>
      </c>
      <c r="H930">
        <v>325</v>
      </c>
      <c r="I930" t="s">
        <v>2607</v>
      </c>
    </row>
    <row r="931" spans="1:9" x14ac:dyDescent="0.25">
      <c r="A931" s="91">
        <v>46071</v>
      </c>
      <c r="B931">
        <v>7002</v>
      </c>
      <c r="C931" t="s">
        <v>3276</v>
      </c>
      <c r="D931">
        <v>961517</v>
      </c>
      <c r="E931" t="s">
        <v>2960</v>
      </c>
      <c r="F931">
        <v>345</v>
      </c>
      <c r="G931" t="s">
        <v>619</v>
      </c>
      <c r="H931">
        <v>345</v>
      </c>
      <c r="I931" t="s">
        <v>2607</v>
      </c>
    </row>
    <row r="932" spans="1:9" x14ac:dyDescent="0.25">
      <c r="A932" s="91">
        <v>46071</v>
      </c>
      <c r="B932" t="s">
        <v>688</v>
      </c>
      <c r="C932" t="s">
        <v>3277</v>
      </c>
      <c r="D932">
        <v>7746</v>
      </c>
      <c r="E932" t="s">
        <v>692</v>
      </c>
      <c r="F932">
        <v>68000</v>
      </c>
      <c r="G932" t="s">
        <v>622</v>
      </c>
      <c r="H932">
        <v>68000</v>
      </c>
      <c r="I932" t="s">
        <v>2633</v>
      </c>
    </row>
    <row r="933" spans="1:9" x14ac:dyDescent="0.25">
      <c r="A933" s="91">
        <v>46071</v>
      </c>
      <c r="B933" t="s">
        <v>682</v>
      </c>
      <c r="C933" t="s">
        <v>3278</v>
      </c>
      <c r="D933">
        <v>7304</v>
      </c>
      <c r="E933" t="s">
        <v>770</v>
      </c>
      <c r="F933">
        <v>27000</v>
      </c>
      <c r="G933" t="s">
        <v>622</v>
      </c>
      <c r="H933">
        <v>27000</v>
      </c>
      <c r="I933" t="s">
        <v>2633</v>
      </c>
    </row>
    <row r="934" spans="1:9" x14ac:dyDescent="0.25">
      <c r="A934" s="91">
        <v>46071</v>
      </c>
      <c r="B934" t="s">
        <v>679</v>
      </c>
      <c r="C934" t="s">
        <v>3279</v>
      </c>
      <c r="D934">
        <v>7213</v>
      </c>
      <c r="E934" t="s">
        <v>719</v>
      </c>
      <c r="F934">
        <v>85000</v>
      </c>
      <c r="G934" t="s">
        <v>622</v>
      </c>
      <c r="H934">
        <v>85000</v>
      </c>
      <c r="I934" t="s">
        <v>2633</v>
      </c>
    </row>
    <row r="935" spans="1:9" x14ac:dyDescent="0.25">
      <c r="A935" s="91">
        <v>46071</v>
      </c>
      <c r="B935" t="s">
        <v>712</v>
      </c>
      <c r="C935" t="s">
        <v>3280</v>
      </c>
      <c r="D935" t="s">
        <v>1128</v>
      </c>
      <c r="E935" t="s">
        <v>781</v>
      </c>
      <c r="F935">
        <v>40000</v>
      </c>
      <c r="G935" t="s">
        <v>622</v>
      </c>
      <c r="H935">
        <v>40000</v>
      </c>
      <c r="I935" t="s">
        <v>2607</v>
      </c>
    </row>
    <row r="936" spans="1:9" x14ac:dyDescent="0.25">
      <c r="A936" s="91">
        <v>46071</v>
      </c>
      <c r="B936" t="s">
        <v>712</v>
      </c>
      <c r="C936" t="s">
        <v>1461</v>
      </c>
      <c r="D936" t="s">
        <v>1126</v>
      </c>
      <c r="E936" t="s">
        <v>808</v>
      </c>
      <c r="F936">
        <v>9848</v>
      </c>
      <c r="G936" t="s">
        <v>622</v>
      </c>
      <c r="H936">
        <v>9848</v>
      </c>
      <c r="I936" t="s">
        <v>2607</v>
      </c>
    </row>
    <row r="937" spans="1:9" x14ac:dyDescent="0.25">
      <c r="A937" s="91">
        <v>46071</v>
      </c>
      <c r="B937" t="s">
        <v>81</v>
      </c>
      <c r="C937" t="s">
        <v>3281</v>
      </c>
      <c r="D937" t="s">
        <v>1038</v>
      </c>
      <c r="E937" t="s">
        <v>1039</v>
      </c>
      <c r="F937">
        <v>144</v>
      </c>
      <c r="G937" t="s">
        <v>622</v>
      </c>
      <c r="H937">
        <v>144</v>
      </c>
      <c r="I937" t="s">
        <v>2607</v>
      </c>
    </row>
    <row r="938" spans="1:9" x14ac:dyDescent="0.25">
      <c r="A938" s="91">
        <v>46071</v>
      </c>
      <c r="B938" t="s">
        <v>2621</v>
      </c>
      <c r="C938" t="s">
        <v>3282</v>
      </c>
      <c r="D938" t="s">
        <v>2910</v>
      </c>
      <c r="E938" t="s">
        <v>2911</v>
      </c>
      <c r="F938">
        <v>3505</v>
      </c>
      <c r="G938" t="s">
        <v>619</v>
      </c>
      <c r="H938">
        <v>3505</v>
      </c>
      <c r="I938" t="s">
        <v>2607</v>
      </c>
    </row>
    <row r="939" spans="1:9" x14ac:dyDescent="0.25">
      <c r="A939" s="91">
        <v>46071</v>
      </c>
      <c r="B939" t="s">
        <v>2665</v>
      </c>
      <c r="C939" t="s">
        <v>2499</v>
      </c>
      <c r="D939" t="s">
        <v>641</v>
      </c>
      <c r="E939" t="s">
        <v>2917</v>
      </c>
      <c r="F939">
        <v>6500</v>
      </c>
      <c r="G939" t="s">
        <v>619</v>
      </c>
      <c r="H939">
        <v>6500</v>
      </c>
      <c r="I939" t="s">
        <v>2607</v>
      </c>
    </row>
    <row r="940" spans="1:9" x14ac:dyDescent="0.25">
      <c r="A940" s="91">
        <v>46071</v>
      </c>
      <c r="B940" t="s">
        <v>2606</v>
      </c>
      <c r="C940" t="s">
        <v>3283</v>
      </c>
      <c r="D940">
        <v>220125</v>
      </c>
      <c r="E940" t="s">
        <v>2700</v>
      </c>
      <c r="F940">
        <v>2500</v>
      </c>
      <c r="G940" t="s">
        <v>619</v>
      </c>
      <c r="H940">
        <v>2500</v>
      </c>
      <c r="I940" t="s">
        <v>2607</v>
      </c>
    </row>
    <row r="941" spans="1:9" x14ac:dyDescent="0.25">
      <c r="A941" s="91">
        <v>46071</v>
      </c>
      <c r="B941" t="s">
        <v>2608</v>
      </c>
      <c r="C941" t="s">
        <v>2122</v>
      </c>
      <c r="D941">
        <v>7121</v>
      </c>
      <c r="E941" t="s">
        <v>635</v>
      </c>
      <c r="F941">
        <v>95000</v>
      </c>
      <c r="G941" t="s">
        <v>622</v>
      </c>
      <c r="H941">
        <v>95000</v>
      </c>
      <c r="I941" t="s">
        <v>2609</v>
      </c>
    </row>
    <row r="942" spans="1:9" x14ac:dyDescent="0.25">
      <c r="A942" s="91">
        <v>46071</v>
      </c>
      <c r="B942" t="s">
        <v>2624</v>
      </c>
      <c r="C942" t="s">
        <v>3284</v>
      </c>
      <c r="D942" t="s">
        <v>2793</v>
      </c>
      <c r="E942" t="s">
        <v>2794</v>
      </c>
      <c r="F942">
        <v>2083</v>
      </c>
      <c r="G942" t="s">
        <v>619</v>
      </c>
      <c r="H942">
        <v>2083</v>
      </c>
      <c r="I942" t="s">
        <v>2607</v>
      </c>
    </row>
    <row r="943" spans="1:9" x14ac:dyDescent="0.25">
      <c r="A943" s="91">
        <v>46071</v>
      </c>
      <c r="B943" t="s">
        <v>81</v>
      </c>
      <c r="C943" t="s">
        <v>3285</v>
      </c>
      <c r="D943" t="s">
        <v>1056</v>
      </c>
      <c r="E943" t="s">
        <v>1057</v>
      </c>
      <c r="F943">
        <v>120</v>
      </c>
      <c r="G943" t="s">
        <v>622</v>
      </c>
      <c r="H943">
        <v>120</v>
      </c>
      <c r="I943" t="s">
        <v>2607</v>
      </c>
    </row>
    <row r="944" spans="1:9" x14ac:dyDescent="0.25">
      <c r="A944" s="91">
        <v>46071</v>
      </c>
      <c r="B944" t="s">
        <v>2610</v>
      </c>
      <c r="C944" t="s">
        <v>3286</v>
      </c>
      <c r="D944" t="s">
        <v>115</v>
      </c>
      <c r="E944" t="s">
        <v>2212</v>
      </c>
      <c r="F944">
        <v>8334</v>
      </c>
      <c r="G944" t="s">
        <v>619</v>
      </c>
      <c r="H944">
        <v>8334</v>
      </c>
      <c r="I944" t="s">
        <v>2607</v>
      </c>
    </row>
    <row r="945" spans="1:9" x14ac:dyDescent="0.25">
      <c r="A945" s="91">
        <v>46071</v>
      </c>
      <c r="B945" t="s">
        <v>81</v>
      </c>
      <c r="C945" t="s">
        <v>3287</v>
      </c>
      <c r="D945">
        <v>2204</v>
      </c>
      <c r="E945" t="s">
        <v>747</v>
      </c>
      <c r="F945">
        <v>24</v>
      </c>
      <c r="G945" t="s">
        <v>622</v>
      </c>
      <c r="H945">
        <v>24</v>
      </c>
      <c r="I945" t="s">
        <v>2607</v>
      </c>
    </row>
    <row r="946" spans="1:9" x14ac:dyDescent="0.25">
      <c r="A946" s="91">
        <v>46071</v>
      </c>
      <c r="B946" t="s">
        <v>81</v>
      </c>
      <c r="C946" t="s">
        <v>3288</v>
      </c>
      <c r="D946" t="s">
        <v>1036</v>
      </c>
      <c r="E946" t="s">
        <v>1037</v>
      </c>
      <c r="F946">
        <v>144</v>
      </c>
      <c r="G946" t="s">
        <v>622</v>
      </c>
      <c r="H946">
        <v>144</v>
      </c>
      <c r="I946" t="s">
        <v>2607</v>
      </c>
    </row>
    <row r="947" spans="1:9" x14ac:dyDescent="0.25">
      <c r="A947" s="91">
        <v>46071</v>
      </c>
      <c r="B947" t="s">
        <v>81</v>
      </c>
      <c r="C947" t="s">
        <v>3289</v>
      </c>
      <c r="D947">
        <v>2232</v>
      </c>
      <c r="E947" t="s">
        <v>778</v>
      </c>
      <c r="F947">
        <v>24</v>
      </c>
      <c r="G947" t="s">
        <v>622</v>
      </c>
      <c r="H947">
        <v>24</v>
      </c>
      <c r="I947" t="s">
        <v>2607</v>
      </c>
    </row>
    <row r="948" spans="1:9" x14ac:dyDescent="0.25">
      <c r="A948" s="91">
        <v>46071</v>
      </c>
      <c r="B948" t="s">
        <v>81</v>
      </c>
      <c r="C948" t="s">
        <v>3290</v>
      </c>
      <c r="D948">
        <v>2250</v>
      </c>
      <c r="E948" t="s">
        <v>797</v>
      </c>
      <c r="F948">
        <v>12</v>
      </c>
      <c r="G948" t="s">
        <v>622</v>
      </c>
      <c r="H948">
        <v>12</v>
      </c>
      <c r="I948" t="s">
        <v>2607</v>
      </c>
    </row>
    <row r="949" spans="1:9" x14ac:dyDescent="0.25">
      <c r="A949" s="91">
        <v>46071</v>
      </c>
      <c r="B949" t="s">
        <v>81</v>
      </c>
      <c r="C949" t="s">
        <v>3291</v>
      </c>
      <c r="D949">
        <v>2334</v>
      </c>
      <c r="E949" t="s">
        <v>803</v>
      </c>
      <c r="F949">
        <v>36</v>
      </c>
      <c r="G949" t="s">
        <v>622</v>
      </c>
      <c r="H949">
        <v>36</v>
      </c>
      <c r="I949" t="s">
        <v>2607</v>
      </c>
    </row>
    <row r="950" spans="1:9" x14ac:dyDescent="0.25">
      <c r="A950" s="91">
        <v>46071</v>
      </c>
      <c r="B950" t="s">
        <v>81</v>
      </c>
      <c r="C950" t="s">
        <v>3292</v>
      </c>
      <c r="D950" t="s">
        <v>1042</v>
      </c>
      <c r="E950" t="s">
        <v>1043</v>
      </c>
      <c r="F950">
        <v>144</v>
      </c>
      <c r="G950" t="s">
        <v>622</v>
      </c>
      <c r="H950">
        <v>144</v>
      </c>
      <c r="I950" t="s">
        <v>2607</v>
      </c>
    </row>
    <row r="951" spans="1:9" x14ac:dyDescent="0.25">
      <c r="A951" s="91">
        <v>46071</v>
      </c>
      <c r="B951" t="s">
        <v>81</v>
      </c>
      <c r="C951" t="s">
        <v>3293</v>
      </c>
      <c r="D951" t="s">
        <v>1032</v>
      </c>
      <c r="E951" t="s">
        <v>1033</v>
      </c>
      <c r="F951">
        <v>144</v>
      </c>
      <c r="G951" t="s">
        <v>622</v>
      </c>
      <c r="H951">
        <v>144</v>
      </c>
      <c r="I951" t="s">
        <v>2607</v>
      </c>
    </row>
    <row r="952" spans="1:9" x14ac:dyDescent="0.25">
      <c r="A952" s="91">
        <v>46071</v>
      </c>
      <c r="B952" t="s">
        <v>81</v>
      </c>
      <c r="C952" t="s">
        <v>3294</v>
      </c>
      <c r="D952" t="s">
        <v>1062</v>
      </c>
      <c r="E952" t="s">
        <v>1063</v>
      </c>
      <c r="F952">
        <v>72</v>
      </c>
      <c r="G952" t="s">
        <v>622</v>
      </c>
      <c r="H952">
        <v>72</v>
      </c>
      <c r="I952" t="s">
        <v>2607</v>
      </c>
    </row>
    <row r="953" spans="1:9" x14ac:dyDescent="0.25">
      <c r="A953" s="91">
        <v>46071</v>
      </c>
      <c r="B953" t="s">
        <v>81</v>
      </c>
      <c r="C953" t="s">
        <v>3295</v>
      </c>
      <c r="D953" t="s">
        <v>1062</v>
      </c>
      <c r="E953" t="s">
        <v>1063</v>
      </c>
      <c r="F953">
        <v>240</v>
      </c>
      <c r="G953" t="s">
        <v>622</v>
      </c>
      <c r="H953">
        <v>240</v>
      </c>
      <c r="I953" t="s">
        <v>2607</v>
      </c>
    </row>
    <row r="954" spans="1:9" x14ac:dyDescent="0.25">
      <c r="A954" s="91">
        <v>46071</v>
      </c>
      <c r="B954" t="s">
        <v>81</v>
      </c>
      <c r="C954" t="s">
        <v>3296</v>
      </c>
      <c r="D954">
        <v>2242</v>
      </c>
      <c r="E954" t="s">
        <v>793</v>
      </c>
      <c r="F954">
        <v>24</v>
      </c>
      <c r="G954" t="s">
        <v>622</v>
      </c>
      <c r="H954">
        <v>24</v>
      </c>
      <c r="I954" t="s">
        <v>2607</v>
      </c>
    </row>
    <row r="955" spans="1:9" x14ac:dyDescent="0.25">
      <c r="A955" s="91">
        <v>46072</v>
      </c>
      <c r="B955" t="s">
        <v>2614</v>
      </c>
      <c r="C955" t="s">
        <v>3297</v>
      </c>
      <c r="D955">
        <v>500402</v>
      </c>
      <c r="E955" t="s">
        <v>3269</v>
      </c>
      <c r="F955">
        <v>480</v>
      </c>
      <c r="G955" t="s">
        <v>619</v>
      </c>
      <c r="H955">
        <v>480</v>
      </c>
      <c r="I955" t="s">
        <v>2607</v>
      </c>
    </row>
    <row r="956" spans="1:9" x14ac:dyDescent="0.25">
      <c r="A956" s="91">
        <v>46072</v>
      </c>
      <c r="B956" t="s">
        <v>2652</v>
      </c>
      <c r="C956" t="s">
        <v>2512</v>
      </c>
      <c r="D956" t="s">
        <v>978</v>
      </c>
      <c r="E956" t="s">
        <v>979</v>
      </c>
      <c r="F956">
        <v>480</v>
      </c>
      <c r="G956" t="s">
        <v>622</v>
      </c>
      <c r="H956">
        <v>480</v>
      </c>
      <c r="I956" t="s">
        <v>2607</v>
      </c>
    </row>
    <row r="957" spans="1:9" x14ac:dyDescent="0.25">
      <c r="A957" s="91">
        <v>46072</v>
      </c>
      <c r="B957" t="s">
        <v>2652</v>
      </c>
      <c r="C957" t="s">
        <v>2502</v>
      </c>
      <c r="D957" t="s">
        <v>964</v>
      </c>
      <c r="E957" t="s">
        <v>965</v>
      </c>
      <c r="F957">
        <v>600</v>
      </c>
      <c r="G957" t="s">
        <v>622</v>
      </c>
      <c r="H957">
        <v>600</v>
      </c>
      <c r="I957" t="s">
        <v>2607</v>
      </c>
    </row>
    <row r="958" spans="1:9" x14ac:dyDescent="0.25">
      <c r="A958" s="91">
        <v>46072</v>
      </c>
      <c r="B958" t="s">
        <v>2652</v>
      </c>
      <c r="C958" t="s">
        <v>2521</v>
      </c>
      <c r="D958" t="s">
        <v>980</v>
      </c>
      <c r="E958" t="s">
        <v>981</v>
      </c>
      <c r="F958">
        <v>240</v>
      </c>
      <c r="G958" t="s">
        <v>622</v>
      </c>
      <c r="H958">
        <v>240</v>
      </c>
      <c r="I958" t="s">
        <v>2607</v>
      </c>
    </row>
    <row r="959" spans="1:9" x14ac:dyDescent="0.25">
      <c r="A959" s="91">
        <v>46072</v>
      </c>
      <c r="B959" t="s">
        <v>2652</v>
      </c>
      <c r="C959" t="s">
        <v>2523</v>
      </c>
      <c r="D959" t="s">
        <v>984</v>
      </c>
      <c r="E959" t="s">
        <v>985</v>
      </c>
      <c r="F959">
        <v>240</v>
      </c>
      <c r="G959" t="s">
        <v>622</v>
      </c>
      <c r="H959">
        <v>240</v>
      </c>
      <c r="I959" t="s">
        <v>2607</v>
      </c>
    </row>
    <row r="960" spans="1:9" x14ac:dyDescent="0.25">
      <c r="A960" s="91">
        <v>46072</v>
      </c>
      <c r="B960" t="s">
        <v>2652</v>
      </c>
      <c r="C960" t="s">
        <v>2522</v>
      </c>
      <c r="D960" t="s">
        <v>982</v>
      </c>
      <c r="E960" t="s">
        <v>983</v>
      </c>
      <c r="F960">
        <v>240</v>
      </c>
      <c r="G960" t="s">
        <v>622</v>
      </c>
      <c r="H960">
        <v>240</v>
      </c>
      <c r="I960" t="s">
        <v>2607</v>
      </c>
    </row>
    <row r="961" spans="1:9" x14ac:dyDescent="0.25">
      <c r="A961" s="91">
        <v>46072</v>
      </c>
      <c r="B961" t="s">
        <v>2608</v>
      </c>
      <c r="C961" t="s">
        <v>2128</v>
      </c>
      <c r="D961">
        <v>7154</v>
      </c>
      <c r="E961" t="s">
        <v>631</v>
      </c>
      <c r="F961">
        <v>95000</v>
      </c>
      <c r="G961" t="s">
        <v>622</v>
      </c>
      <c r="H961">
        <v>95000</v>
      </c>
      <c r="I961" t="s">
        <v>2609</v>
      </c>
    </row>
    <row r="962" spans="1:9" x14ac:dyDescent="0.25">
      <c r="A962" s="91">
        <v>46072</v>
      </c>
      <c r="B962" t="s">
        <v>2606</v>
      </c>
      <c r="C962" t="s">
        <v>2110</v>
      </c>
      <c r="D962">
        <v>7019</v>
      </c>
      <c r="E962" t="s">
        <v>1108</v>
      </c>
      <c r="F962">
        <v>95000</v>
      </c>
      <c r="G962" t="s">
        <v>622</v>
      </c>
      <c r="H962">
        <v>95000</v>
      </c>
      <c r="I962" t="s">
        <v>2609</v>
      </c>
    </row>
    <row r="963" spans="1:9" x14ac:dyDescent="0.25">
      <c r="A963" s="91">
        <v>46072</v>
      </c>
      <c r="B963" t="s">
        <v>2606</v>
      </c>
      <c r="C963" t="s">
        <v>2074</v>
      </c>
      <c r="D963">
        <v>85204</v>
      </c>
      <c r="E963" t="s">
        <v>1398</v>
      </c>
      <c r="F963">
        <v>4166</v>
      </c>
      <c r="G963" t="s">
        <v>619</v>
      </c>
      <c r="H963">
        <v>4166</v>
      </c>
      <c r="I963" t="s">
        <v>2607</v>
      </c>
    </row>
    <row r="964" spans="1:9" x14ac:dyDescent="0.25">
      <c r="A964" s="91">
        <v>46072</v>
      </c>
      <c r="B964" t="s">
        <v>2606</v>
      </c>
      <c r="C964" t="s">
        <v>3298</v>
      </c>
      <c r="D964">
        <v>85134</v>
      </c>
      <c r="E964" t="s">
        <v>2488</v>
      </c>
      <c r="F964">
        <v>3130</v>
      </c>
      <c r="G964" t="s">
        <v>619</v>
      </c>
      <c r="H964">
        <v>3130</v>
      </c>
      <c r="I964" t="s">
        <v>2607</v>
      </c>
    </row>
    <row r="965" spans="1:9" x14ac:dyDescent="0.25">
      <c r="A965" s="91">
        <v>46072</v>
      </c>
      <c r="B965" t="s">
        <v>2665</v>
      </c>
      <c r="C965" t="s">
        <v>2469</v>
      </c>
      <c r="D965" t="s">
        <v>2470</v>
      </c>
      <c r="E965" t="s">
        <v>3299</v>
      </c>
      <c r="F965">
        <v>400</v>
      </c>
      <c r="G965" t="s">
        <v>619</v>
      </c>
      <c r="H965">
        <v>400</v>
      </c>
      <c r="I965" t="s">
        <v>2607</v>
      </c>
    </row>
    <row r="966" spans="1:9" x14ac:dyDescent="0.25">
      <c r="A966" s="91">
        <v>46072</v>
      </c>
      <c r="B966" t="s">
        <v>2665</v>
      </c>
      <c r="C966" t="s">
        <v>2433</v>
      </c>
      <c r="D966" t="s">
        <v>894</v>
      </c>
      <c r="E966" t="s">
        <v>895</v>
      </c>
      <c r="F966">
        <v>6667</v>
      </c>
      <c r="G966" t="s">
        <v>619</v>
      </c>
      <c r="H966">
        <v>6667</v>
      </c>
      <c r="I966" t="s">
        <v>2607</v>
      </c>
    </row>
    <row r="967" spans="1:9" x14ac:dyDescent="0.25">
      <c r="A967" s="91">
        <v>46072</v>
      </c>
      <c r="B967" t="s">
        <v>2665</v>
      </c>
      <c r="C967" t="s">
        <v>2468</v>
      </c>
      <c r="D967" t="s">
        <v>916</v>
      </c>
      <c r="E967" t="s">
        <v>2666</v>
      </c>
      <c r="F967">
        <v>4500</v>
      </c>
      <c r="G967" t="s">
        <v>619</v>
      </c>
      <c r="H967">
        <v>4500</v>
      </c>
      <c r="I967" t="s">
        <v>2607</v>
      </c>
    </row>
    <row r="968" spans="1:9" x14ac:dyDescent="0.25">
      <c r="A968" s="91">
        <v>46072</v>
      </c>
      <c r="B968" t="s">
        <v>2736</v>
      </c>
      <c r="C968" t="s">
        <v>2139</v>
      </c>
      <c r="D968" t="s">
        <v>2140</v>
      </c>
      <c r="E968" t="s">
        <v>2141</v>
      </c>
      <c r="F968">
        <v>5650</v>
      </c>
      <c r="G968" t="s">
        <v>622</v>
      </c>
      <c r="H968">
        <v>5650</v>
      </c>
      <c r="I968" t="s">
        <v>2607</v>
      </c>
    </row>
    <row r="969" spans="1:9" x14ac:dyDescent="0.25">
      <c r="A969" s="91">
        <v>46072</v>
      </c>
      <c r="B969" t="s">
        <v>715</v>
      </c>
      <c r="C969" t="s">
        <v>3300</v>
      </c>
      <c r="D969">
        <v>7185</v>
      </c>
      <c r="E969" t="s">
        <v>717</v>
      </c>
      <c r="F969">
        <v>55000</v>
      </c>
      <c r="G969" t="s">
        <v>622</v>
      </c>
      <c r="H969">
        <v>55000</v>
      </c>
      <c r="I969" t="s">
        <v>2633</v>
      </c>
    </row>
    <row r="970" spans="1:9" x14ac:dyDescent="0.25">
      <c r="A970" s="91">
        <v>46072</v>
      </c>
      <c r="B970" t="s">
        <v>2621</v>
      </c>
      <c r="C970" t="s">
        <v>3301</v>
      </c>
      <c r="D970" t="s">
        <v>2713</v>
      </c>
      <c r="E970" t="s">
        <v>2714</v>
      </c>
      <c r="F970">
        <v>3505</v>
      </c>
      <c r="G970" t="s">
        <v>619</v>
      </c>
      <c r="H970">
        <v>3505</v>
      </c>
      <c r="I970" t="s">
        <v>2607</v>
      </c>
    </row>
    <row r="971" spans="1:9" x14ac:dyDescent="0.25">
      <c r="A971" s="91">
        <v>46072</v>
      </c>
      <c r="B971" t="s">
        <v>2624</v>
      </c>
      <c r="C971" t="s">
        <v>3302</v>
      </c>
      <c r="D971" t="s">
        <v>2793</v>
      </c>
      <c r="E971" t="s">
        <v>2794</v>
      </c>
      <c r="F971">
        <v>2083</v>
      </c>
      <c r="G971" t="s">
        <v>619</v>
      </c>
      <c r="H971">
        <v>2083</v>
      </c>
      <c r="I971" t="s">
        <v>2607</v>
      </c>
    </row>
    <row r="972" spans="1:9" x14ac:dyDescent="0.25">
      <c r="A972" s="91">
        <v>46072</v>
      </c>
      <c r="B972" t="s">
        <v>682</v>
      </c>
      <c r="C972" t="s">
        <v>3303</v>
      </c>
      <c r="D972">
        <v>7302</v>
      </c>
      <c r="E972" t="s">
        <v>768</v>
      </c>
      <c r="F972">
        <v>27000</v>
      </c>
      <c r="G972" t="s">
        <v>622</v>
      </c>
      <c r="H972">
        <v>27000</v>
      </c>
      <c r="I972" t="s">
        <v>2633</v>
      </c>
    </row>
    <row r="973" spans="1:9" x14ac:dyDescent="0.25">
      <c r="A973" s="91">
        <v>46072</v>
      </c>
      <c r="B973" t="s">
        <v>688</v>
      </c>
      <c r="C973" t="s">
        <v>3304</v>
      </c>
      <c r="D973">
        <v>7746</v>
      </c>
      <c r="E973" t="s">
        <v>692</v>
      </c>
      <c r="F973">
        <v>68000</v>
      </c>
      <c r="G973" t="s">
        <v>622</v>
      </c>
      <c r="H973">
        <v>68000</v>
      </c>
      <c r="I973" t="s">
        <v>2633</v>
      </c>
    </row>
    <row r="974" spans="1:9" x14ac:dyDescent="0.25">
      <c r="A974" s="91">
        <v>46072</v>
      </c>
      <c r="B974">
        <v>7002</v>
      </c>
      <c r="C974" t="s">
        <v>3305</v>
      </c>
      <c r="D974">
        <v>961517</v>
      </c>
      <c r="E974" t="s">
        <v>2960</v>
      </c>
      <c r="F974">
        <v>345</v>
      </c>
      <c r="G974" t="s">
        <v>619</v>
      </c>
      <c r="H974">
        <v>345</v>
      </c>
      <c r="I974" t="s">
        <v>2607</v>
      </c>
    </row>
    <row r="975" spans="1:9" x14ac:dyDescent="0.25">
      <c r="A975" s="91">
        <v>46072</v>
      </c>
      <c r="B975" t="s">
        <v>685</v>
      </c>
      <c r="C975" t="s">
        <v>3306</v>
      </c>
      <c r="D975">
        <v>7374</v>
      </c>
      <c r="E975" t="s">
        <v>785</v>
      </c>
      <c r="F975">
        <v>25000</v>
      </c>
      <c r="G975" t="s">
        <v>622</v>
      </c>
      <c r="H975">
        <v>25000</v>
      </c>
      <c r="I975" t="s">
        <v>2633</v>
      </c>
    </row>
    <row r="976" spans="1:9" x14ac:dyDescent="0.25">
      <c r="A976" s="91">
        <v>46073</v>
      </c>
      <c r="B976" t="s">
        <v>2614</v>
      </c>
      <c r="C976" t="s">
        <v>3307</v>
      </c>
      <c r="D976">
        <v>900304</v>
      </c>
      <c r="E976" t="s">
        <v>3120</v>
      </c>
      <c r="F976">
        <v>50</v>
      </c>
      <c r="G976" t="s">
        <v>619</v>
      </c>
      <c r="H976">
        <v>50</v>
      </c>
      <c r="I976" t="s">
        <v>2607</v>
      </c>
    </row>
    <row r="977" spans="1:9" x14ac:dyDescent="0.25">
      <c r="A977" s="91">
        <v>46073</v>
      </c>
      <c r="B977" t="s">
        <v>2614</v>
      </c>
      <c r="C977" t="s">
        <v>3308</v>
      </c>
      <c r="D977">
        <v>900105</v>
      </c>
      <c r="E977" t="s">
        <v>2884</v>
      </c>
      <c r="F977">
        <v>40</v>
      </c>
      <c r="G977" t="s">
        <v>619</v>
      </c>
      <c r="H977">
        <v>40</v>
      </c>
      <c r="I977" t="s">
        <v>2607</v>
      </c>
    </row>
    <row r="978" spans="1:9" x14ac:dyDescent="0.25">
      <c r="A978" s="91">
        <v>46073</v>
      </c>
      <c r="B978" t="s">
        <v>2617</v>
      </c>
      <c r="C978" t="s">
        <v>3309</v>
      </c>
      <c r="D978">
        <v>5150010450</v>
      </c>
      <c r="E978" t="s">
        <v>2619</v>
      </c>
      <c r="F978">
        <v>2256</v>
      </c>
      <c r="G978" t="s">
        <v>619</v>
      </c>
      <c r="H978">
        <v>2256</v>
      </c>
      <c r="I978" t="s">
        <v>2607</v>
      </c>
    </row>
    <row r="979" spans="1:9" x14ac:dyDescent="0.25">
      <c r="A979" s="91">
        <v>46073</v>
      </c>
      <c r="B979" t="s">
        <v>2608</v>
      </c>
      <c r="C979" t="s">
        <v>3310</v>
      </c>
      <c r="D979">
        <v>79502</v>
      </c>
      <c r="E979" t="s">
        <v>885</v>
      </c>
      <c r="F979">
        <v>105000</v>
      </c>
      <c r="G979" t="s">
        <v>622</v>
      </c>
      <c r="H979">
        <v>105000</v>
      </c>
      <c r="I979" t="s">
        <v>2609</v>
      </c>
    </row>
    <row r="980" spans="1:9" x14ac:dyDescent="0.25">
      <c r="A980" s="91">
        <v>46073</v>
      </c>
      <c r="B980" t="s">
        <v>2606</v>
      </c>
      <c r="C980" t="s">
        <v>3311</v>
      </c>
      <c r="D980">
        <v>85134</v>
      </c>
      <c r="E980" t="s">
        <v>2488</v>
      </c>
      <c r="F980">
        <v>3130</v>
      </c>
      <c r="G980" t="s">
        <v>619</v>
      </c>
      <c r="H980">
        <v>3130</v>
      </c>
      <c r="I980" t="s">
        <v>2607</v>
      </c>
    </row>
    <row r="981" spans="1:9" x14ac:dyDescent="0.25">
      <c r="A981" s="91">
        <v>46073</v>
      </c>
      <c r="B981" t="s">
        <v>685</v>
      </c>
      <c r="C981" t="s">
        <v>3312</v>
      </c>
      <c r="D981">
        <v>7374</v>
      </c>
      <c r="E981" t="s">
        <v>785</v>
      </c>
      <c r="F981">
        <v>25000</v>
      </c>
      <c r="G981" t="s">
        <v>622</v>
      </c>
      <c r="H981">
        <v>25000</v>
      </c>
      <c r="I981" t="s">
        <v>2633</v>
      </c>
    </row>
    <row r="982" spans="1:9" x14ac:dyDescent="0.25">
      <c r="A982" s="91">
        <v>46073</v>
      </c>
      <c r="B982" t="s">
        <v>2624</v>
      </c>
      <c r="C982" t="s">
        <v>3313</v>
      </c>
      <c r="D982" t="s">
        <v>2694</v>
      </c>
      <c r="E982" t="s">
        <v>2695</v>
      </c>
      <c r="F982">
        <v>2083</v>
      </c>
      <c r="G982" t="s">
        <v>619</v>
      </c>
      <c r="H982">
        <v>2083</v>
      </c>
      <c r="I982" t="s">
        <v>2607</v>
      </c>
    </row>
    <row r="983" spans="1:9" x14ac:dyDescent="0.25">
      <c r="A983" s="91">
        <v>46073</v>
      </c>
      <c r="B983" t="s">
        <v>679</v>
      </c>
      <c r="C983" t="s">
        <v>3314</v>
      </c>
      <c r="D983">
        <v>7212</v>
      </c>
      <c r="E983" t="s">
        <v>681</v>
      </c>
      <c r="F983">
        <v>85000</v>
      </c>
      <c r="G983" t="s">
        <v>622</v>
      </c>
      <c r="H983">
        <v>85000</v>
      </c>
      <c r="I983" t="s">
        <v>2633</v>
      </c>
    </row>
    <row r="984" spans="1:9" x14ac:dyDescent="0.25">
      <c r="A984" s="91">
        <v>46073</v>
      </c>
      <c r="B984" t="s">
        <v>682</v>
      </c>
      <c r="C984" t="s">
        <v>3315</v>
      </c>
      <c r="D984">
        <v>7281</v>
      </c>
      <c r="E984" t="s">
        <v>739</v>
      </c>
      <c r="F984">
        <v>28000</v>
      </c>
      <c r="G984" t="s">
        <v>622</v>
      </c>
      <c r="H984">
        <v>28000</v>
      </c>
      <c r="I984" t="s">
        <v>2633</v>
      </c>
    </row>
    <row r="985" spans="1:9" x14ac:dyDescent="0.25">
      <c r="A985" s="91">
        <v>46073</v>
      </c>
      <c r="B985" t="s">
        <v>688</v>
      </c>
      <c r="C985" t="s">
        <v>3316</v>
      </c>
      <c r="D985">
        <v>7746</v>
      </c>
      <c r="E985" t="s">
        <v>692</v>
      </c>
      <c r="F985">
        <v>68000</v>
      </c>
      <c r="G985" t="s">
        <v>622</v>
      </c>
      <c r="H985">
        <v>68000</v>
      </c>
      <c r="I985" t="s">
        <v>2633</v>
      </c>
    </row>
    <row r="986" spans="1:9" x14ac:dyDescent="0.25">
      <c r="A986" s="91">
        <v>46073</v>
      </c>
      <c r="B986">
        <v>7002</v>
      </c>
      <c r="C986" t="s">
        <v>3317</v>
      </c>
      <c r="D986">
        <v>961517</v>
      </c>
      <c r="E986" t="s">
        <v>2960</v>
      </c>
      <c r="F986">
        <v>345</v>
      </c>
      <c r="G986" t="s">
        <v>619</v>
      </c>
      <c r="H986">
        <v>345</v>
      </c>
      <c r="I986" t="s">
        <v>2607</v>
      </c>
    </row>
    <row r="987" spans="1:9" x14ac:dyDescent="0.25">
      <c r="A987" s="91">
        <v>46073</v>
      </c>
      <c r="B987" t="s">
        <v>2621</v>
      </c>
      <c r="C987" t="s">
        <v>3318</v>
      </c>
      <c r="D987" t="s">
        <v>2669</v>
      </c>
      <c r="E987" t="s">
        <v>2670</v>
      </c>
      <c r="F987">
        <v>7505</v>
      </c>
      <c r="G987" t="s">
        <v>619</v>
      </c>
      <c r="H987">
        <v>7505</v>
      </c>
      <c r="I987" t="s">
        <v>2607</v>
      </c>
    </row>
    <row r="988" spans="1:9" x14ac:dyDescent="0.25">
      <c r="A988" s="91">
        <v>46076</v>
      </c>
      <c r="B988" t="s">
        <v>2652</v>
      </c>
      <c r="C988" t="s">
        <v>2526</v>
      </c>
      <c r="D988" t="s">
        <v>990</v>
      </c>
      <c r="E988" t="s">
        <v>991</v>
      </c>
      <c r="F988">
        <v>240</v>
      </c>
      <c r="G988" t="s">
        <v>622</v>
      </c>
      <c r="H988">
        <v>240</v>
      </c>
      <c r="I988" t="s">
        <v>2607</v>
      </c>
    </row>
    <row r="989" spans="1:9" x14ac:dyDescent="0.25">
      <c r="A989" s="91">
        <v>46076</v>
      </c>
      <c r="B989" t="s">
        <v>2652</v>
      </c>
      <c r="C989" t="s">
        <v>3319</v>
      </c>
      <c r="D989">
        <v>2243</v>
      </c>
      <c r="E989" t="s">
        <v>883</v>
      </c>
      <c r="F989">
        <v>132</v>
      </c>
      <c r="G989" t="s">
        <v>622</v>
      </c>
      <c r="H989">
        <v>132</v>
      </c>
      <c r="I989" t="s">
        <v>2607</v>
      </c>
    </row>
    <row r="990" spans="1:9" x14ac:dyDescent="0.25">
      <c r="A990" s="91">
        <v>46076</v>
      </c>
      <c r="B990" t="s">
        <v>2614</v>
      </c>
      <c r="C990" t="s">
        <v>3320</v>
      </c>
      <c r="D990">
        <v>500402</v>
      </c>
      <c r="E990" t="s">
        <v>3269</v>
      </c>
      <c r="F990">
        <v>480</v>
      </c>
      <c r="G990" t="s">
        <v>619</v>
      </c>
      <c r="H990">
        <v>480</v>
      </c>
      <c r="I990" t="s">
        <v>2607</v>
      </c>
    </row>
    <row r="991" spans="1:9" x14ac:dyDescent="0.25">
      <c r="A991" s="91">
        <v>46076</v>
      </c>
      <c r="B991" t="s">
        <v>2652</v>
      </c>
      <c r="C991" t="s">
        <v>2527</v>
      </c>
      <c r="D991" t="s">
        <v>992</v>
      </c>
      <c r="E991" t="s">
        <v>993</v>
      </c>
      <c r="F991">
        <v>240</v>
      </c>
      <c r="G991" t="s">
        <v>622</v>
      </c>
      <c r="H991">
        <v>240</v>
      </c>
      <c r="I991" t="s">
        <v>2607</v>
      </c>
    </row>
    <row r="992" spans="1:9" x14ac:dyDescent="0.25">
      <c r="A992" s="91">
        <v>46076</v>
      </c>
      <c r="B992" t="s">
        <v>2652</v>
      </c>
      <c r="C992" t="s">
        <v>3321</v>
      </c>
      <c r="D992">
        <v>2205</v>
      </c>
      <c r="E992" t="s">
        <v>880</v>
      </c>
      <c r="F992">
        <v>180</v>
      </c>
      <c r="G992" t="s">
        <v>622</v>
      </c>
      <c r="H992">
        <v>180</v>
      </c>
      <c r="I992" t="s">
        <v>2607</v>
      </c>
    </row>
    <row r="993" spans="1:9" x14ac:dyDescent="0.25">
      <c r="A993" s="91">
        <v>46076</v>
      </c>
      <c r="B993" t="s">
        <v>2652</v>
      </c>
      <c r="C993" t="s">
        <v>2524</v>
      </c>
      <c r="D993" t="s">
        <v>986</v>
      </c>
      <c r="E993" t="s">
        <v>987</v>
      </c>
      <c r="F993">
        <v>240</v>
      </c>
      <c r="G993" t="s">
        <v>622</v>
      </c>
      <c r="H993">
        <v>240</v>
      </c>
      <c r="I993" t="s">
        <v>2607</v>
      </c>
    </row>
    <row r="994" spans="1:9" x14ac:dyDescent="0.25">
      <c r="A994" s="91">
        <v>46076</v>
      </c>
      <c r="B994" t="s">
        <v>2617</v>
      </c>
      <c r="C994" t="s">
        <v>3322</v>
      </c>
      <c r="D994">
        <v>5150010450</v>
      </c>
      <c r="E994" t="s">
        <v>2619</v>
      </c>
      <c r="F994">
        <v>2256</v>
      </c>
      <c r="G994" t="s">
        <v>619</v>
      </c>
      <c r="H994">
        <v>2256</v>
      </c>
      <c r="I994" t="s">
        <v>2607</v>
      </c>
    </row>
    <row r="995" spans="1:9" x14ac:dyDescent="0.25">
      <c r="A995" s="91">
        <v>46076</v>
      </c>
      <c r="B995" t="s">
        <v>2614</v>
      </c>
      <c r="C995" t="s">
        <v>3323</v>
      </c>
      <c r="D995">
        <v>500402</v>
      </c>
      <c r="E995" t="s">
        <v>3269</v>
      </c>
      <c r="F995">
        <v>480</v>
      </c>
      <c r="G995" t="s">
        <v>619</v>
      </c>
      <c r="H995">
        <v>480</v>
      </c>
      <c r="I995" t="s">
        <v>2607</v>
      </c>
    </row>
    <row r="996" spans="1:9" x14ac:dyDescent="0.25">
      <c r="A996" s="91">
        <v>46076</v>
      </c>
      <c r="B996" t="s">
        <v>2652</v>
      </c>
      <c r="C996" t="s">
        <v>3324</v>
      </c>
      <c r="D996">
        <v>2203</v>
      </c>
      <c r="E996" t="s">
        <v>886</v>
      </c>
      <c r="F996">
        <v>108</v>
      </c>
      <c r="G996" t="s">
        <v>622</v>
      </c>
      <c r="H996">
        <v>108</v>
      </c>
      <c r="I996" t="s">
        <v>2607</v>
      </c>
    </row>
    <row r="997" spans="1:9" x14ac:dyDescent="0.25">
      <c r="A997" s="91">
        <v>46076</v>
      </c>
      <c r="B997" t="s">
        <v>2652</v>
      </c>
      <c r="C997" t="s">
        <v>2525</v>
      </c>
      <c r="D997" t="s">
        <v>988</v>
      </c>
      <c r="E997" t="s">
        <v>989</v>
      </c>
      <c r="F997">
        <v>240</v>
      </c>
      <c r="G997" t="s">
        <v>622</v>
      </c>
      <c r="H997">
        <v>240</v>
      </c>
      <c r="I997" t="s">
        <v>2607</v>
      </c>
    </row>
    <row r="998" spans="1:9" x14ac:dyDescent="0.25">
      <c r="A998" s="91">
        <v>46076</v>
      </c>
      <c r="B998" t="s">
        <v>2606</v>
      </c>
      <c r="C998" t="s">
        <v>2514</v>
      </c>
      <c r="D998">
        <v>85203</v>
      </c>
      <c r="E998" t="s">
        <v>2998</v>
      </c>
      <c r="F998">
        <v>5600</v>
      </c>
      <c r="G998" t="s">
        <v>619</v>
      </c>
      <c r="H998">
        <v>5600</v>
      </c>
      <c r="I998" t="s">
        <v>2607</v>
      </c>
    </row>
    <row r="999" spans="1:9" x14ac:dyDescent="0.25">
      <c r="A999" s="91">
        <v>46076</v>
      </c>
      <c r="B999" t="s">
        <v>2652</v>
      </c>
      <c r="C999" t="s">
        <v>2495</v>
      </c>
      <c r="D999" t="s">
        <v>956</v>
      </c>
      <c r="E999" t="s">
        <v>957</v>
      </c>
      <c r="F999">
        <v>600</v>
      </c>
      <c r="G999" t="s">
        <v>622</v>
      </c>
      <c r="H999">
        <v>600</v>
      </c>
      <c r="I999" t="s">
        <v>2607</v>
      </c>
    </row>
    <row r="1000" spans="1:9" x14ac:dyDescent="0.25">
      <c r="A1000" s="91">
        <v>46076</v>
      </c>
      <c r="B1000" t="s">
        <v>2606</v>
      </c>
      <c r="C1000" t="s">
        <v>2075</v>
      </c>
      <c r="D1000">
        <v>85204</v>
      </c>
      <c r="E1000" t="s">
        <v>1398</v>
      </c>
      <c r="F1000">
        <v>4166</v>
      </c>
      <c r="G1000" t="s">
        <v>619</v>
      </c>
      <c r="H1000">
        <v>4166</v>
      </c>
      <c r="I1000" t="s">
        <v>2607</v>
      </c>
    </row>
    <row r="1001" spans="1:9" x14ac:dyDescent="0.25">
      <c r="A1001" s="91">
        <v>46076</v>
      </c>
      <c r="B1001" t="s">
        <v>2606</v>
      </c>
      <c r="C1001" t="s">
        <v>3325</v>
      </c>
      <c r="D1001">
        <v>85134</v>
      </c>
      <c r="E1001" t="s">
        <v>2488</v>
      </c>
      <c r="F1001">
        <v>3130</v>
      </c>
      <c r="G1001" t="s">
        <v>619</v>
      </c>
      <c r="H1001">
        <v>3130</v>
      </c>
      <c r="I1001" t="s">
        <v>2607</v>
      </c>
    </row>
    <row r="1002" spans="1:9" x14ac:dyDescent="0.25">
      <c r="A1002" s="91">
        <v>46076</v>
      </c>
      <c r="B1002" t="s">
        <v>2624</v>
      </c>
      <c r="C1002" t="s">
        <v>3326</v>
      </c>
      <c r="D1002" t="s">
        <v>2639</v>
      </c>
      <c r="E1002" t="s">
        <v>2640</v>
      </c>
      <c r="F1002">
        <v>3505</v>
      </c>
      <c r="G1002" t="s">
        <v>619</v>
      </c>
      <c r="H1002">
        <v>3505</v>
      </c>
      <c r="I1002" t="s">
        <v>2607</v>
      </c>
    </row>
    <row r="1003" spans="1:9" x14ac:dyDescent="0.25">
      <c r="A1003" s="91">
        <v>46076</v>
      </c>
      <c r="B1003" t="s">
        <v>2624</v>
      </c>
      <c r="C1003" t="s">
        <v>3327</v>
      </c>
      <c r="D1003" t="s">
        <v>2639</v>
      </c>
      <c r="E1003" t="s">
        <v>2640</v>
      </c>
      <c r="F1003">
        <v>3505</v>
      </c>
      <c r="G1003" t="s">
        <v>619</v>
      </c>
      <c r="H1003">
        <v>3505</v>
      </c>
      <c r="I1003" t="s">
        <v>2607</v>
      </c>
    </row>
    <row r="1004" spans="1:9" x14ac:dyDescent="0.25">
      <c r="A1004" s="91">
        <v>46076</v>
      </c>
      <c r="B1004" t="s">
        <v>2621</v>
      </c>
      <c r="C1004" t="s">
        <v>3328</v>
      </c>
      <c r="D1004" t="s">
        <v>2669</v>
      </c>
      <c r="E1004" t="s">
        <v>2670</v>
      </c>
      <c r="F1004">
        <v>7505</v>
      </c>
      <c r="G1004" t="s">
        <v>619</v>
      </c>
      <c r="H1004">
        <v>7505</v>
      </c>
      <c r="I1004" t="s">
        <v>2607</v>
      </c>
    </row>
    <row r="1005" spans="1:9" x14ac:dyDescent="0.25">
      <c r="A1005" s="91">
        <v>46076</v>
      </c>
      <c r="B1005" t="s">
        <v>2621</v>
      </c>
      <c r="C1005" t="s">
        <v>3329</v>
      </c>
      <c r="D1005" t="s">
        <v>2713</v>
      </c>
      <c r="E1005" t="s">
        <v>2714</v>
      </c>
      <c r="F1005">
        <v>3505</v>
      </c>
      <c r="G1005" t="s">
        <v>619</v>
      </c>
      <c r="H1005">
        <v>3505</v>
      </c>
      <c r="I1005" t="s">
        <v>2607</v>
      </c>
    </row>
    <row r="1006" spans="1:9" x14ac:dyDescent="0.25">
      <c r="A1006" s="91">
        <v>46076</v>
      </c>
      <c r="B1006">
        <v>7002</v>
      </c>
      <c r="C1006" t="s">
        <v>3330</v>
      </c>
      <c r="D1006">
        <v>931102</v>
      </c>
      <c r="E1006" t="s">
        <v>2660</v>
      </c>
      <c r="F1006">
        <v>1100</v>
      </c>
      <c r="G1006" t="s">
        <v>619</v>
      </c>
      <c r="H1006">
        <v>1100</v>
      </c>
      <c r="I1006" t="s">
        <v>2607</v>
      </c>
    </row>
    <row r="1007" spans="1:9" x14ac:dyDescent="0.25">
      <c r="A1007" s="91">
        <v>46076</v>
      </c>
      <c r="B1007" t="s">
        <v>2736</v>
      </c>
      <c r="C1007" t="s">
        <v>3331</v>
      </c>
      <c r="D1007" t="s">
        <v>1403</v>
      </c>
      <c r="E1007" t="s">
        <v>1404</v>
      </c>
      <c r="F1007">
        <v>900</v>
      </c>
      <c r="G1007" t="s">
        <v>622</v>
      </c>
      <c r="H1007">
        <v>900</v>
      </c>
      <c r="I1007" t="s">
        <v>2607</v>
      </c>
    </row>
    <row r="1008" spans="1:9" x14ac:dyDescent="0.25">
      <c r="A1008" s="91">
        <v>46076</v>
      </c>
      <c r="B1008" t="s">
        <v>2665</v>
      </c>
      <c r="C1008" t="s">
        <v>2534</v>
      </c>
      <c r="D1008" t="s">
        <v>994</v>
      </c>
      <c r="E1008" t="s">
        <v>2916</v>
      </c>
      <c r="F1008">
        <v>4500</v>
      </c>
      <c r="G1008" t="s">
        <v>619</v>
      </c>
      <c r="H1008">
        <v>4500</v>
      </c>
      <c r="I1008" t="s">
        <v>2607</v>
      </c>
    </row>
    <row r="1009" spans="1:9" x14ac:dyDescent="0.25">
      <c r="A1009" s="91">
        <v>46076</v>
      </c>
      <c r="B1009" t="s">
        <v>2665</v>
      </c>
      <c r="C1009" t="s">
        <v>2535</v>
      </c>
      <c r="D1009" t="s">
        <v>2536</v>
      </c>
      <c r="E1009" t="s">
        <v>3332</v>
      </c>
      <c r="F1009">
        <v>400</v>
      </c>
      <c r="G1009" t="s">
        <v>619</v>
      </c>
      <c r="H1009">
        <v>400</v>
      </c>
      <c r="I1009" t="s">
        <v>2607</v>
      </c>
    </row>
    <row r="1010" spans="1:9" x14ac:dyDescent="0.25">
      <c r="A1010" s="91">
        <v>46076</v>
      </c>
      <c r="B1010" t="s">
        <v>2606</v>
      </c>
      <c r="C1010" t="s">
        <v>3333</v>
      </c>
      <c r="D1010">
        <v>85134</v>
      </c>
      <c r="E1010" t="s">
        <v>2488</v>
      </c>
      <c r="F1010">
        <v>3130</v>
      </c>
      <c r="G1010" t="s">
        <v>619</v>
      </c>
      <c r="H1010">
        <v>3130</v>
      </c>
      <c r="I1010" t="s">
        <v>2607</v>
      </c>
    </row>
    <row r="1011" spans="1:9" x14ac:dyDescent="0.25">
      <c r="A1011" s="91">
        <v>46076</v>
      </c>
      <c r="B1011" t="s">
        <v>2736</v>
      </c>
      <c r="C1011" t="s">
        <v>2497</v>
      </c>
      <c r="D1011" t="s">
        <v>2157</v>
      </c>
      <c r="E1011" t="s">
        <v>2158</v>
      </c>
      <c r="F1011">
        <v>500</v>
      </c>
      <c r="G1011" t="s">
        <v>622</v>
      </c>
      <c r="H1011">
        <v>500</v>
      </c>
      <c r="I1011" t="s">
        <v>2607</v>
      </c>
    </row>
    <row r="1012" spans="1:9" x14ac:dyDescent="0.25">
      <c r="A1012" s="91">
        <v>46077</v>
      </c>
      <c r="B1012" t="s">
        <v>2652</v>
      </c>
      <c r="C1012" t="s">
        <v>2550</v>
      </c>
      <c r="D1012" t="s">
        <v>962</v>
      </c>
      <c r="E1012" t="s">
        <v>963</v>
      </c>
      <c r="F1012">
        <v>144</v>
      </c>
      <c r="G1012" t="s">
        <v>622</v>
      </c>
      <c r="H1012">
        <v>144</v>
      </c>
      <c r="I1012" t="s">
        <v>2607</v>
      </c>
    </row>
    <row r="1013" spans="1:9" x14ac:dyDescent="0.25">
      <c r="A1013" s="91">
        <v>46077</v>
      </c>
      <c r="B1013" t="s">
        <v>2652</v>
      </c>
      <c r="C1013" t="s">
        <v>2563</v>
      </c>
      <c r="D1013" t="s">
        <v>976</v>
      </c>
      <c r="E1013" t="s">
        <v>977</v>
      </c>
      <c r="F1013">
        <v>72</v>
      </c>
      <c r="G1013" t="s">
        <v>622</v>
      </c>
      <c r="H1013">
        <v>72</v>
      </c>
      <c r="I1013" t="s">
        <v>2607</v>
      </c>
    </row>
    <row r="1014" spans="1:9" x14ac:dyDescent="0.25">
      <c r="A1014" s="91">
        <v>46077</v>
      </c>
      <c r="B1014" t="s">
        <v>2652</v>
      </c>
      <c r="C1014" t="s">
        <v>2551</v>
      </c>
      <c r="D1014" t="s">
        <v>964</v>
      </c>
      <c r="E1014" t="s">
        <v>965</v>
      </c>
      <c r="F1014">
        <v>144</v>
      </c>
      <c r="G1014" t="s">
        <v>622</v>
      </c>
      <c r="H1014">
        <v>144</v>
      </c>
      <c r="I1014" t="s">
        <v>2607</v>
      </c>
    </row>
    <row r="1015" spans="1:9" x14ac:dyDescent="0.25">
      <c r="A1015" s="91">
        <v>46077</v>
      </c>
      <c r="B1015" t="s">
        <v>2652</v>
      </c>
      <c r="C1015" t="s">
        <v>2565</v>
      </c>
      <c r="D1015" t="s">
        <v>980</v>
      </c>
      <c r="E1015" t="s">
        <v>981</v>
      </c>
      <c r="F1015">
        <v>72</v>
      </c>
      <c r="G1015" t="s">
        <v>622</v>
      </c>
      <c r="H1015">
        <v>72</v>
      </c>
      <c r="I1015" t="s">
        <v>2607</v>
      </c>
    </row>
    <row r="1016" spans="1:9" x14ac:dyDescent="0.25">
      <c r="A1016" s="91">
        <v>46077</v>
      </c>
      <c r="B1016" t="s">
        <v>2652</v>
      </c>
      <c r="C1016" t="s">
        <v>3334</v>
      </c>
      <c r="D1016">
        <v>2231</v>
      </c>
      <c r="E1016" t="s">
        <v>882</v>
      </c>
      <c r="F1016">
        <v>228</v>
      </c>
      <c r="G1016" t="s">
        <v>622</v>
      </c>
      <c r="H1016">
        <v>228</v>
      </c>
      <c r="I1016" t="s">
        <v>2607</v>
      </c>
    </row>
    <row r="1017" spans="1:9" x14ac:dyDescent="0.25">
      <c r="A1017" s="91">
        <v>46077</v>
      </c>
      <c r="B1017" t="s">
        <v>2652</v>
      </c>
      <c r="C1017" t="s">
        <v>2548</v>
      </c>
      <c r="D1017" t="s">
        <v>956</v>
      </c>
      <c r="E1017" t="s">
        <v>957</v>
      </c>
      <c r="F1017">
        <v>144</v>
      </c>
      <c r="G1017" t="s">
        <v>622</v>
      </c>
      <c r="H1017">
        <v>144</v>
      </c>
      <c r="I1017" t="s">
        <v>2607</v>
      </c>
    </row>
    <row r="1018" spans="1:9" x14ac:dyDescent="0.25">
      <c r="A1018" s="91">
        <v>46077</v>
      </c>
      <c r="B1018" t="s">
        <v>2652</v>
      </c>
      <c r="C1018" t="s">
        <v>2586</v>
      </c>
      <c r="D1018">
        <v>2335</v>
      </c>
      <c r="E1018" t="s">
        <v>1092</v>
      </c>
      <c r="F1018">
        <v>36</v>
      </c>
      <c r="G1018" t="s">
        <v>622</v>
      </c>
      <c r="H1018">
        <v>36</v>
      </c>
      <c r="I1018" t="s">
        <v>2607</v>
      </c>
    </row>
    <row r="1019" spans="1:9" x14ac:dyDescent="0.25">
      <c r="A1019" s="91">
        <v>46077</v>
      </c>
      <c r="B1019" t="s">
        <v>2652</v>
      </c>
      <c r="C1019" t="s">
        <v>2569</v>
      </c>
      <c r="D1019" t="s">
        <v>992</v>
      </c>
      <c r="E1019" t="s">
        <v>993</v>
      </c>
      <c r="F1019">
        <v>72</v>
      </c>
      <c r="G1019" t="s">
        <v>622</v>
      </c>
      <c r="H1019">
        <v>72</v>
      </c>
      <c r="I1019" t="s">
        <v>2607</v>
      </c>
    </row>
    <row r="1020" spans="1:9" x14ac:dyDescent="0.25">
      <c r="A1020" s="91">
        <v>46077</v>
      </c>
      <c r="B1020" t="s">
        <v>2652</v>
      </c>
      <c r="C1020" t="s">
        <v>2564</v>
      </c>
      <c r="D1020" t="s">
        <v>978</v>
      </c>
      <c r="E1020" t="s">
        <v>979</v>
      </c>
      <c r="F1020">
        <v>120</v>
      </c>
      <c r="G1020" t="s">
        <v>622</v>
      </c>
      <c r="H1020">
        <v>120</v>
      </c>
      <c r="I1020" t="s">
        <v>2607</v>
      </c>
    </row>
    <row r="1021" spans="1:9" x14ac:dyDescent="0.25">
      <c r="A1021" s="91">
        <v>46077</v>
      </c>
      <c r="B1021" t="s">
        <v>2652</v>
      </c>
      <c r="C1021" t="s">
        <v>2560</v>
      </c>
      <c r="D1021" t="s">
        <v>966</v>
      </c>
      <c r="E1021" t="s">
        <v>967</v>
      </c>
      <c r="F1021">
        <v>72</v>
      </c>
      <c r="G1021" t="s">
        <v>622</v>
      </c>
      <c r="H1021">
        <v>72</v>
      </c>
      <c r="I1021" t="s">
        <v>2607</v>
      </c>
    </row>
    <row r="1022" spans="1:9" x14ac:dyDescent="0.25">
      <c r="A1022" s="91">
        <v>46077</v>
      </c>
      <c r="B1022" t="s">
        <v>2652</v>
      </c>
      <c r="C1022" t="s">
        <v>2568</v>
      </c>
      <c r="D1022" t="s">
        <v>988</v>
      </c>
      <c r="E1022" t="s">
        <v>989</v>
      </c>
      <c r="F1022">
        <v>72</v>
      </c>
      <c r="G1022" t="s">
        <v>622</v>
      </c>
      <c r="H1022">
        <v>72</v>
      </c>
      <c r="I1022" t="s">
        <v>2607</v>
      </c>
    </row>
    <row r="1023" spans="1:9" x14ac:dyDescent="0.25">
      <c r="A1023" s="91">
        <v>46077</v>
      </c>
      <c r="B1023" t="s">
        <v>2652</v>
      </c>
      <c r="C1023" t="s">
        <v>2562</v>
      </c>
      <c r="D1023" t="s">
        <v>972</v>
      </c>
      <c r="E1023" t="s">
        <v>973</v>
      </c>
      <c r="F1023">
        <v>72</v>
      </c>
      <c r="G1023" t="s">
        <v>622</v>
      </c>
      <c r="H1023">
        <v>72</v>
      </c>
      <c r="I1023" t="s">
        <v>2607</v>
      </c>
    </row>
    <row r="1024" spans="1:9" x14ac:dyDescent="0.25">
      <c r="A1024" s="91">
        <v>46077</v>
      </c>
      <c r="B1024" t="s">
        <v>2652</v>
      </c>
      <c r="C1024" t="s">
        <v>3335</v>
      </c>
      <c r="D1024">
        <v>2211</v>
      </c>
      <c r="E1024" t="s">
        <v>881</v>
      </c>
      <c r="F1024">
        <v>216</v>
      </c>
      <c r="G1024" t="s">
        <v>622</v>
      </c>
      <c r="H1024">
        <v>216</v>
      </c>
      <c r="I1024" t="s">
        <v>2607</v>
      </c>
    </row>
    <row r="1025" spans="1:9" x14ac:dyDescent="0.25">
      <c r="A1025" s="91">
        <v>46077</v>
      </c>
      <c r="B1025" t="s">
        <v>2652</v>
      </c>
      <c r="C1025" t="s">
        <v>2549</v>
      </c>
      <c r="D1025" t="s">
        <v>960</v>
      </c>
      <c r="E1025" t="s">
        <v>961</v>
      </c>
      <c r="F1025">
        <v>144</v>
      </c>
      <c r="G1025" t="s">
        <v>622</v>
      </c>
      <c r="H1025">
        <v>144</v>
      </c>
      <c r="I1025" t="s">
        <v>2607</v>
      </c>
    </row>
    <row r="1026" spans="1:9" x14ac:dyDescent="0.25">
      <c r="A1026" s="91">
        <v>46077</v>
      </c>
      <c r="B1026" t="s">
        <v>2652</v>
      </c>
      <c r="C1026" t="s">
        <v>2561</v>
      </c>
      <c r="D1026" t="s">
        <v>970</v>
      </c>
      <c r="E1026" t="s">
        <v>971</v>
      </c>
      <c r="F1026">
        <v>72</v>
      </c>
      <c r="G1026" t="s">
        <v>622</v>
      </c>
      <c r="H1026">
        <v>72</v>
      </c>
      <c r="I1026" t="s">
        <v>2607</v>
      </c>
    </row>
    <row r="1027" spans="1:9" x14ac:dyDescent="0.25">
      <c r="A1027" s="91">
        <v>46077</v>
      </c>
      <c r="B1027" t="s">
        <v>2652</v>
      </c>
      <c r="C1027" t="s">
        <v>2552</v>
      </c>
      <c r="D1027" t="s">
        <v>1078</v>
      </c>
      <c r="E1027" t="s">
        <v>1079</v>
      </c>
      <c r="F1027">
        <v>144</v>
      </c>
      <c r="G1027" t="s">
        <v>622</v>
      </c>
      <c r="H1027">
        <v>144</v>
      </c>
      <c r="I1027" t="s">
        <v>2607</v>
      </c>
    </row>
    <row r="1028" spans="1:9" x14ac:dyDescent="0.25">
      <c r="A1028" s="91">
        <v>46077</v>
      </c>
      <c r="B1028" t="s">
        <v>2617</v>
      </c>
      <c r="C1028" t="s">
        <v>3336</v>
      </c>
      <c r="D1028">
        <v>5150010450</v>
      </c>
      <c r="E1028" t="s">
        <v>2619</v>
      </c>
      <c r="F1028">
        <v>2256</v>
      </c>
      <c r="G1028" t="s">
        <v>619</v>
      </c>
      <c r="H1028">
        <v>2256</v>
      </c>
      <c r="I1028" t="s">
        <v>2607</v>
      </c>
    </row>
    <row r="1029" spans="1:9" x14ac:dyDescent="0.25">
      <c r="A1029" s="91">
        <v>46077</v>
      </c>
      <c r="B1029" t="s">
        <v>2614</v>
      </c>
      <c r="C1029" t="s">
        <v>3337</v>
      </c>
      <c r="D1029">
        <v>500402</v>
      </c>
      <c r="E1029" t="s">
        <v>3269</v>
      </c>
      <c r="F1029">
        <v>282</v>
      </c>
      <c r="G1029" t="s">
        <v>619</v>
      </c>
      <c r="H1029">
        <v>282</v>
      </c>
      <c r="I1029" t="s">
        <v>2607</v>
      </c>
    </row>
    <row r="1030" spans="1:9" x14ac:dyDescent="0.25">
      <c r="A1030" s="91">
        <v>46077</v>
      </c>
      <c r="B1030" t="s">
        <v>2652</v>
      </c>
      <c r="C1030" t="s">
        <v>2566</v>
      </c>
      <c r="D1030" t="s">
        <v>982</v>
      </c>
      <c r="E1030" t="s">
        <v>983</v>
      </c>
      <c r="F1030">
        <v>72</v>
      </c>
      <c r="G1030" t="s">
        <v>622</v>
      </c>
      <c r="H1030">
        <v>72</v>
      </c>
      <c r="I1030" t="s">
        <v>2607</v>
      </c>
    </row>
    <row r="1031" spans="1:9" x14ac:dyDescent="0.25">
      <c r="A1031" s="91">
        <v>46077</v>
      </c>
      <c r="B1031" t="s">
        <v>2652</v>
      </c>
      <c r="C1031" t="s">
        <v>2567</v>
      </c>
      <c r="D1031" t="s">
        <v>986</v>
      </c>
      <c r="E1031" t="s">
        <v>987</v>
      </c>
      <c r="F1031">
        <v>72</v>
      </c>
      <c r="G1031" t="s">
        <v>622</v>
      </c>
      <c r="H1031">
        <v>72</v>
      </c>
      <c r="I1031" t="s">
        <v>2607</v>
      </c>
    </row>
    <row r="1032" spans="1:9" x14ac:dyDescent="0.25">
      <c r="A1032" s="91">
        <v>46077</v>
      </c>
      <c r="B1032" t="s">
        <v>2652</v>
      </c>
      <c r="C1032" t="s">
        <v>3338</v>
      </c>
      <c r="D1032">
        <v>2213</v>
      </c>
      <c r="E1032" t="s">
        <v>889</v>
      </c>
      <c r="F1032">
        <v>132</v>
      </c>
      <c r="G1032" t="s">
        <v>622</v>
      </c>
      <c r="H1032">
        <v>132</v>
      </c>
      <c r="I1032" t="s">
        <v>2607</v>
      </c>
    </row>
    <row r="1033" spans="1:9" x14ac:dyDescent="0.25">
      <c r="A1033" s="91">
        <v>46077</v>
      </c>
      <c r="B1033" t="s">
        <v>2610</v>
      </c>
      <c r="C1033" t="s">
        <v>3339</v>
      </c>
      <c r="D1033" t="s">
        <v>3340</v>
      </c>
      <c r="E1033" t="s">
        <v>3341</v>
      </c>
      <c r="F1033">
        <v>9166</v>
      </c>
      <c r="G1033" t="s">
        <v>619</v>
      </c>
      <c r="H1033">
        <v>9166</v>
      </c>
      <c r="I1033" t="s">
        <v>2607</v>
      </c>
    </row>
    <row r="1034" spans="1:9" x14ac:dyDescent="0.25">
      <c r="A1034" s="91">
        <v>46077</v>
      </c>
      <c r="B1034">
        <v>7002</v>
      </c>
      <c r="C1034" t="s">
        <v>3342</v>
      </c>
      <c r="D1034">
        <v>907013</v>
      </c>
      <c r="E1034" t="s">
        <v>3041</v>
      </c>
      <c r="F1034">
        <v>284</v>
      </c>
      <c r="G1034" t="s">
        <v>619</v>
      </c>
      <c r="H1034">
        <v>284</v>
      </c>
      <c r="I1034" t="s">
        <v>2607</v>
      </c>
    </row>
    <row r="1035" spans="1:9" x14ac:dyDescent="0.25">
      <c r="A1035" s="91">
        <v>46077</v>
      </c>
      <c r="B1035" t="s">
        <v>688</v>
      </c>
      <c r="C1035" t="s">
        <v>3343</v>
      </c>
      <c r="D1035">
        <v>7741</v>
      </c>
      <c r="E1035" t="s">
        <v>690</v>
      </c>
      <c r="F1035">
        <v>68000</v>
      </c>
      <c r="G1035" t="s">
        <v>622</v>
      </c>
      <c r="H1035">
        <v>68000</v>
      </c>
      <c r="I1035" t="s">
        <v>2633</v>
      </c>
    </row>
    <row r="1036" spans="1:9" x14ac:dyDescent="0.25">
      <c r="A1036" s="91">
        <v>46077</v>
      </c>
      <c r="B1036" t="s">
        <v>682</v>
      </c>
      <c r="C1036" t="s">
        <v>3344</v>
      </c>
      <c r="D1036">
        <v>7281</v>
      </c>
      <c r="E1036" t="s">
        <v>739</v>
      </c>
      <c r="F1036">
        <v>28000</v>
      </c>
      <c r="G1036" t="s">
        <v>622</v>
      </c>
      <c r="H1036">
        <v>28000</v>
      </c>
      <c r="I1036" t="s">
        <v>2633</v>
      </c>
    </row>
    <row r="1037" spans="1:9" x14ac:dyDescent="0.25">
      <c r="A1037" s="91">
        <v>46077</v>
      </c>
      <c r="B1037" t="s">
        <v>2624</v>
      </c>
      <c r="C1037" t="s">
        <v>3345</v>
      </c>
      <c r="D1037" t="s">
        <v>2639</v>
      </c>
      <c r="E1037" t="s">
        <v>2640</v>
      </c>
      <c r="F1037">
        <v>3505</v>
      </c>
      <c r="G1037" t="s">
        <v>619</v>
      </c>
      <c r="H1037">
        <v>3505</v>
      </c>
      <c r="I1037" t="s">
        <v>2607</v>
      </c>
    </row>
    <row r="1038" spans="1:9" x14ac:dyDescent="0.25">
      <c r="A1038" s="91">
        <v>46077</v>
      </c>
      <c r="B1038" t="s">
        <v>2621</v>
      </c>
      <c r="C1038" t="s">
        <v>3346</v>
      </c>
      <c r="D1038" t="s">
        <v>2713</v>
      </c>
      <c r="E1038" t="s">
        <v>2714</v>
      </c>
      <c r="F1038">
        <v>3505</v>
      </c>
      <c r="G1038" t="s">
        <v>619</v>
      </c>
      <c r="H1038">
        <v>3505</v>
      </c>
      <c r="I1038" t="s">
        <v>2607</v>
      </c>
    </row>
    <row r="1039" spans="1:9" x14ac:dyDescent="0.25">
      <c r="A1039" s="91">
        <v>46077</v>
      </c>
      <c r="B1039" t="s">
        <v>693</v>
      </c>
      <c r="C1039" t="s">
        <v>3347</v>
      </c>
      <c r="D1039">
        <v>910326</v>
      </c>
      <c r="E1039" t="s">
        <v>1583</v>
      </c>
      <c r="F1039">
        <v>9120</v>
      </c>
      <c r="G1039" t="s">
        <v>619</v>
      </c>
      <c r="H1039">
        <v>9120</v>
      </c>
      <c r="I1039" t="s">
        <v>2607</v>
      </c>
    </row>
    <row r="1040" spans="1:9" x14ac:dyDescent="0.25">
      <c r="A1040" s="91">
        <v>46077</v>
      </c>
      <c r="B1040" t="s">
        <v>693</v>
      </c>
      <c r="C1040" t="s">
        <v>3348</v>
      </c>
      <c r="D1040">
        <v>910526</v>
      </c>
      <c r="E1040" t="s">
        <v>1602</v>
      </c>
      <c r="F1040">
        <v>9120</v>
      </c>
      <c r="G1040" t="s">
        <v>619</v>
      </c>
      <c r="H1040">
        <v>9120</v>
      </c>
      <c r="I1040" t="s">
        <v>2607</v>
      </c>
    </row>
    <row r="1041" spans="1:9" x14ac:dyDescent="0.25">
      <c r="A1041" s="91">
        <v>46077</v>
      </c>
      <c r="B1041" t="s">
        <v>2665</v>
      </c>
      <c r="C1041" t="s">
        <v>2453</v>
      </c>
      <c r="D1041" t="s">
        <v>2454</v>
      </c>
      <c r="E1041" t="s">
        <v>3349</v>
      </c>
      <c r="F1041">
        <v>400</v>
      </c>
      <c r="G1041" t="s">
        <v>619</v>
      </c>
      <c r="H1041">
        <v>400</v>
      </c>
      <c r="I1041" t="s">
        <v>2607</v>
      </c>
    </row>
    <row r="1042" spans="1:9" x14ac:dyDescent="0.25">
      <c r="A1042" s="91">
        <v>46077</v>
      </c>
      <c r="B1042" t="s">
        <v>2665</v>
      </c>
      <c r="C1042" t="s">
        <v>2517</v>
      </c>
      <c r="D1042" t="s">
        <v>2518</v>
      </c>
      <c r="E1042" t="s">
        <v>3350</v>
      </c>
      <c r="F1042">
        <v>4500</v>
      </c>
      <c r="G1042" t="s">
        <v>619</v>
      </c>
      <c r="H1042">
        <v>4500</v>
      </c>
      <c r="I1042" t="s">
        <v>2607</v>
      </c>
    </row>
    <row r="1043" spans="1:9" x14ac:dyDescent="0.25">
      <c r="A1043" s="91">
        <v>46077</v>
      </c>
      <c r="B1043" t="s">
        <v>2665</v>
      </c>
      <c r="C1043" t="s">
        <v>2519</v>
      </c>
      <c r="D1043" t="s">
        <v>2520</v>
      </c>
      <c r="E1043" t="s">
        <v>3351</v>
      </c>
      <c r="F1043">
        <v>400</v>
      </c>
      <c r="G1043" t="s">
        <v>619</v>
      </c>
      <c r="H1043">
        <v>400</v>
      </c>
      <c r="I1043" t="s">
        <v>2607</v>
      </c>
    </row>
    <row r="1044" spans="1:9" x14ac:dyDescent="0.25">
      <c r="A1044" s="91">
        <v>46077</v>
      </c>
      <c r="B1044" t="s">
        <v>2665</v>
      </c>
      <c r="C1044" t="s">
        <v>2451</v>
      </c>
      <c r="D1044" t="s">
        <v>2452</v>
      </c>
      <c r="E1044" t="s">
        <v>3352</v>
      </c>
      <c r="F1044">
        <v>4500</v>
      </c>
      <c r="G1044" t="s">
        <v>619</v>
      </c>
      <c r="H1044">
        <v>4500</v>
      </c>
      <c r="I1044" t="s">
        <v>2607</v>
      </c>
    </row>
    <row r="1045" spans="1:9" x14ac:dyDescent="0.25">
      <c r="A1045" s="91">
        <v>46077</v>
      </c>
      <c r="B1045" t="s">
        <v>2665</v>
      </c>
      <c r="C1045" t="s">
        <v>2539</v>
      </c>
      <c r="D1045" t="s">
        <v>2540</v>
      </c>
      <c r="E1045" t="s">
        <v>3353</v>
      </c>
      <c r="F1045">
        <v>2833</v>
      </c>
      <c r="G1045" t="s">
        <v>619</v>
      </c>
      <c r="H1045">
        <v>2833</v>
      </c>
      <c r="I1045" t="s">
        <v>2607</v>
      </c>
    </row>
    <row r="1046" spans="1:9" x14ac:dyDescent="0.25">
      <c r="A1046" s="91">
        <v>46077</v>
      </c>
      <c r="B1046" t="s">
        <v>2665</v>
      </c>
      <c r="C1046" t="s">
        <v>2541</v>
      </c>
      <c r="D1046" t="s">
        <v>2542</v>
      </c>
      <c r="E1046" t="s">
        <v>3354</v>
      </c>
      <c r="F1046">
        <v>800</v>
      </c>
      <c r="G1046" t="s">
        <v>619</v>
      </c>
      <c r="H1046">
        <v>800</v>
      </c>
      <c r="I1046" t="s">
        <v>2607</v>
      </c>
    </row>
    <row r="1047" spans="1:9" x14ac:dyDescent="0.25">
      <c r="A1047" s="91">
        <v>46077</v>
      </c>
      <c r="B1047" t="s">
        <v>2606</v>
      </c>
      <c r="C1047" t="s">
        <v>2076</v>
      </c>
      <c r="D1047">
        <v>85204</v>
      </c>
      <c r="E1047" t="s">
        <v>1398</v>
      </c>
      <c r="F1047">
        <v>4166</v>
      </c>
      <c r="G1047" t="s">
        <v>619</v>
      </c>
      <c r="H1047">
        <v>4166</v>
      </c>
      <c r="I1047" t="s">
        <v>2607</v>
      </c>
    </row>
    <row r="1048" spans="1:9" x14ac:dyDescent="0.25">
      <c r="A1048" s="91">
        <v>46077</v>
      </c>
      <c r="B1048" t="s">
        <v>2608</v>
      </c>
      <c r="C1048" t="s">
        <v>3355</v>
      </c>
      <c r="D1048">
        <v>7076</v>
      </c>
      <c r="E1048" t="s">
        <v>634</v>
      </c>
      <c r="F1048">
        <v>5000</v>
      </c>
      <c r="G1048" t="s">
        <v>622</v>
      </c>
      <c r="H1048">
        <v>5000</v>
      </c>
      <c r="I1048" t="s">
        <v>2609</v>
      </c>
    </row>
    <row r="1049" spans="1:9" x14ac:dyDescent="0.25">
      <c r="A1049" s="91">
        <v>46077</v>
      </c>
      <c r="B1049" t="s">
        <v>2608</v>
      </c>
      <c r="C1049" t="s">
        <v>2538</v>
      </c>
      <c r="D1049" t="s">
        <v>120</v>
      </c>
      <c r="E1049" t="s">
        <v>2056</v>
      </c>
      <c r="F1049">
        <v>7300</v>
      </c>
      <c r="G1049" t="s">
        <v>619</v>
      </c>
      <c r="H1049">
        <v>7300</v>
      </c>
      <c r="I1049" t="s">
        <v>2607</v>
      </c>
    </row>
    <row r="1050" spans="1:9" x14ac:dyDescent="0.25">
      <c r="A1050" s="91">
        <v>46077</v>
      </c>
      <c r="B1050" t="s">
        <v>2608</v>
      </c>
      <c r="C1050" t="s">
        <v>2580</v>
      </c>
      <c r="D1050">
        <v>79501</v>
      </c>
      <c r="E1050" t="s">
        <v>629</v>
      </c>
      <c r="F1050">
        <v>105000</v>
      </c>
      <c r="G1050" t="s">
        <v>622</v>
      </c>
      <c r="H1050">
        <v>105000</v>
      </c>
      <c r="I1050" t="s">
        <v>2609</v>
      </c>
    </row>
    <row r="1051" spans="1:9" x14ac:dyDescent="0.25">
      <c r="A1051" s="91">
        <v>46077</v>
      </c>
      <c r="B1051" t="s">
        <v>2610</v>
      </c>
      <c r="C1051" t="s">
        <v>3356</v>
      </c>
      <c r="D1051" t="s">
        <v>113</v>
      </c>
      <c r="E1051" t="s">
        <v>1094</v>
      </c>
      <c r="F1051">
        <v>8334</v>
      </c>
      <c r="G1051" t="s">
        <v>619</v>
      </c>
      <c r="H1051">
        <v>8334</v>
      </c>
      <c r="I1051" t="s">
        <v>2607</v>
      </c>
    </row>
    <row r="1052" spans="1:9" x14ac:dyDescent="0.25">
      <c r="A1052" s="91">
        <v>46077</v>
      </c>
      <c r="B1052" t="s">
        <v>2610</v>
      </c>
      <c r="C1052" t="s">
        <v>3357</v>
      </c>
      <c r="D1052">
        <v>520880</v>
      </c>
      <c r="E1052" t="s">
        <v>1399</v>
      </c>
      <c r="F1052">
        <v>12500</v>
      </c>
      <c r="G1052" t="s">
        <v>619</v>
      </c>
      <c r="H1052">
        <v>12500</v>
      </c>
      <c r="I1052" t="s">
        <v>2607</v>
      </c>
    </row>
    <row r="1053" spans="1:9" x14ac:dyDescent="0.25">
      <c r="A1053" s="91">
        <v>46078</v>
      </c>
      <c r="B1053" t="s">
        <v>685</v>
      </c>
      <c r="C1053" t="s">
        <v>3358</v>
      </c>
      <c r="D1053" t="s">
        <v>722</v>
      </c>
      <c r="E1053" t="s">
        <v>723</v>
      </c>
      <c r="F1053">
        <v>40000</v>
      </c>
      <c r="G1053" t="s">
        <v>622</v>
      </c>
      <c r="H1053">
        <v>40000</v>
      </c>
      <c r="I1053" t="s">
        <v>2633</v>
      </c>
    </row>
    <row r="1054" spans="1:9" x14ac:dyDescent="0.25">
      <c r="A1054" s="91">
        <v>46078</v>
      </c>
      <c r="B1054" t="s">
        <v>2614</v>
      </c>
      <c r="C1054" t="s">
        <v>3359</v>
      </c>
      <c r="D1054">
        <v>900405</v>
      </c>
      <c r="E1054" t="s">
        <v>3029</v>
      </c>
      <c r="F1054">
        <v>600</v>
      </c>
      <c r="G1054" t="s">
        <v>619</v>
      </c>
      <c r="H1054">
        <v>600</v>
      </c>
      <c r="I1054" t="s">
        <v>2607</v>
      </c>
    </row>
    <row r="1055" spans="1:9" x14ac:dyDescent="0.25">
      <c r="A1055" s="91">
        <v>46078</v>
      </c>
      <c r="B1055" t="s">
        <v>2617</v>
      </c>
      <c r="C1055" t="s">
        <v>3360</v>
      </c>
      <c r="D1055">
        <v>5150010450</v>
      </c>
      <c r="E1055" t="s">
        <v>2619</v>
      </c>
      <c r="F1055">
        <v>2256</v>
      </c>
      <c r="G1055" t="s">
        <v>619</v>
      </c>
      <c r="H1055">
        <v>2256</v>
      </c>
      <c r="I1055" t="s">
        <v>2607</v>
      </c>
    </row>
    <row r="1056" spans="1:9" x14ac:dyDescent="0.25">
      <c r="A1056" s="91">
        <v>46078</v>
      </c>
      <c r="B1056" t="s">
        <v>2610</v>
      </c>
      <c r="C1056" t="s">
        <v>3361</v>
      </c>
      <c r="D1056" t="s">
        <v>2576</v>
      </c>
      <c r="E1056" t="s">
        <v>2577</v>
      </c>
      <c r="F1056">
        <v>7500</v>
      </c>
      <c r="G1056" t="s">
        <v>619</v>
      </c>
      <c r="H1056">
        <v>7500</v>
      </c>
      <c r="I1056" t="s">
        <v>2607</v>
      </c>
    </row>
    <row r="1057" spans="1:9" x14ac:dyDescent="0.25">
      <c r="A1057" s="91">
        <v>46078</v>
      </c>
      <c r="B1057" t="s">
        <v>2610</v>
      </c>
      <c r="C1057" t="s">
        <v>3362</v>
      </c>
      <c r="D1057" t="s">
        <v>2578</v>
      </c>
      <c r="E1057" t="s">
        <v>2579</v>
      </c>
      <c r="F1057">
        <v>7500</v>
      </c>
      <c r="G1057" t="s">
        <v>619</v>
      </c>
      <c r="H1057">
        <v>7500</v>
      </c>
      <c r="I1057" t="s">
        <v>2607</v>
      </c>
    </row>
    <row r="1058" spans="1:9" x14ac:dyDescent="0.25">
      <c r="A1058" s="91">
        <v>46078</v>
      </c>
      <c r="B1058" t="s">
        <v>2658</v>
      </c>
      <c r="C1058" t="s">
        <v>3363</v>
      </c>
      <c r="D1058" t="s">
        <v>639</v>
      </c>
      <c r="E1058" t="s">
        <v>640</v>
      </c>
      <c r="F1058">
        <v>2500</v>
      </c>
      <c r="G1058" t="s">
        <v>619</v>
      </c>
      <c r="H1058">
        <v>2500</v>
      </c>
      <c r="I1058" t="s">
        <v>2607</v>
      </c>
    </row>
    <row r="1059" spans="1:9" x14ac:dyDescent="0.25">
      <c r="A1059" s="91">
        <v>46078</v>
      </c>
      <c r="B1059" t="s">
        <v>2665</v>
      </c>
      <c r="C1059" t="s">
        <v>2555</v>
      </c>
      <c r="D1059" t="s">
        <v>624</v>
      </c>
      <c r="E1059" t="s">
        <v>2797</v>
      </c>
      <c r="F1059">
        <v>6500</v>
      </c>
      <c r="G1059" t="s">
        <v>619</v>
      </c>
      <c r="H1059">
        <v>6500</v>
      </c>
      <c r="I1059" t="s">
        <v>2607</v>
      </c>
    </row>
    <row r="1060" spans="1:9" x14ac:dyDescent="0.25">
      <c r="A1060" s="91">
        <v>46078</v>
      </c>
      <c r="B1060" t="s">
        <v>2621</v>
      </c>
      <c r="C1060" t="s">
        <v>3364</v>
      </c>
      <c r="D1060" t="s">
        <v>2639</v>
      </c>
      <c r="E1060" t="s">
        <v>2640</v>
      </c>
      <c r="F1060">
        <v>7505</v>
      </c>
      <c r="G1060" t="s">
        <v>619</v>
      </c>
      <c r="H1060">
        <v>7505</v>
      </c>
      <c r="I1060" t="s">
        <v>2607</v>
      </c>
    </row>
    <row r="1061" spans="1:9" x14ac:dyDescent="0.25">
      <c r="A1061" s="91">
        <v>46078</v>
      </c>
      <c r="B1061" t="s">
        <v>2624</v>
      </c>
      <c r="C1061" t="s">
        <v>3365</v>
      </c>
      <c r="D1061" t="s">
        <v>2639</v>
      </c>
      <c r="E1061" t="s">
        <v>2640</v>
      </c>
      <c r="F1061">
        <v>3505</v>
      </c>
      <c r="G1061" t="s">
        <v>619</v>
      </c>
      <c r="H1061">
        <v>3505</v>
      </c>
      <c r="I1061" t="s">
        <v>2607</v>
      </c>
    </row>
    <row r="1062" spans="1:9" x14ac:dyDescent="0.25">
      <c r="A1062" s="91">
        <v>46078</v>
      </c>
      <c r="B1062" t="s">
        <v>682</v>
      </c>
      <c r="C1062" t="s">
        <v>3366</v>
      </c>
      <c r="D1062">
        <v>7281</v>
      </c>
      <c r="E1062" t="s">
        <v>739</v>
      </c>
      <c r="F1062">
        <v>28000</v>
      </c>
      <c r="G1062" t="s">
        <v>622</v>
      </c>
      <c r="H1062">
        <v>28000</v>
      </c>
      <c r="I1062" t="s">
        <v>2633</v>
      </c>
    </row>
    <row r="1063" spans="1:9" x14ac:dyDescent="0.25">
      <c r="A1063" s="91">
        <v>46078</v>
      </c>
      <c r="B1063" t="s">
        <v>688</v>
      </c>
      <c r="C1063" t="s">
        <v>3367</v>
      </c>
      <c r="D1063">
        <v>7741</v>
      </c>
      <c r="E1063" t="s">
        <v>690</v>
      </c>
      <c r="F1063">
        <v>68000</v>
      </c>
      <c r="G1063" t="s">
        <v>622</v>
      </c>
      <c r="H1063">
        <v>68000</v>
      </c>
      <c r="I1063" t="s">
        <v>2633</v>
      </c>
    </row>
    <row r="1064" spans="1:9" x14ac:dyDescent="0.25">
      <c r="A1064" s="91">
        <v>46078</v>
      </c>
      <c r="B1064" t="s">
        <v>715</v>
      </c>
      <c r="C1064" t="s">
        <v>3368</v>
      </c>
      <c r="D1064">
        <v>7193</v>
      </c>
      <c r="E1064" t="s">
        <v>811</v>
      </c>
      <c r="F1064">
        <v>55000</v>
      </c>
      <c r="G1064" t="s">
        <v>622</v>
      </c>
      <c r="H1064">
        <v>55000</v>
      </c>
      <c r="I1064" t="s">
        <v>2633</v>
      </c>
    </row>
    <row r="1065" spans="1:9" x14ac:dyDescent="0.25">
      <c r="A1065" s="91">
        <v>46079</v>
      </c>
      <c r="B1065" t="s">
        <v>2614</v>
      </c>
      <c r="C1065" t="s">
        <v>3369</v>
      </c>
      <c r="D1065">
        <v>900405</v>
      </c>
      <c r="E1065" t="s">
        <v>3029</v>
      </c>
      <c r="F1065">
        <v>600</v>
      </c>
      <c r="G1065" t="s">
        <v>619</v>
      </c>
      <c r="H1065">
        <v>600</v>
      </c>
      <c r="I1065" t="s">
        <v>2607</v>
      </c>
    </row>
    <row r="1066" spans="1:9" x14ac:dyDescent="0.25">
      <c r="A1066" s="91">
        <v>46079</v>
      </c>
      <c r="B1066" t="s">
        <v>2606</v>
      </c>
      <c r="C1066" t="s">
        <v>2570</v>
      </c>
      <c r="D1066" t="s">
        <v>112</v>
      </c>
      <c r="E1066" t="s">
        <v>2620</v>
      </c>
      <c r="F1066">
        <v>7300</v>
      </c>
      <c r="G1066" t="s">
        <v>619</v>
      </c>
      <c r="H1066">
        <v>7300</v>
      </c>
      <c r="I1066" t="s">
        <v>2607</v>
      </c>
    </row>
    <row r="1067" spans="1:9" x14ac:dyDescent="0.25">
      <c r="A1067" s="91">
        <v>46079</v>
      </c>
      <c r="B1067" t="s">
        <v>2606</v>
      </c>
      <c r="C1067" t="s">
        <v>3370</v>
      </c>
      <c r="D1067" t="s">
        <v>1401</v>
      </c>
      <c r="E1067" t="s">
        <v>2061</v>
      </c>
      <c r="F1067">
        <v>6260</v>
      </c>
      <c r="G1067" t="s">
        <v>619</v>
      </c>
      <c r="H1067">
        <v>6260</v>
      </c>
      <c r="I1067" t="s">
        <v>2607</v>
      </c>
    </row>
    <row r="1068" spans="1:9" x14ac:dyDescent="0.25">
      <c r="A1068" s="91">
        <v>46079</v>
      </c>
      <c r="B1068" t="s">
        <v>2665</v>
      </c>
      <c r="C1068" t="s">
        <v>2574</v>
      </c>
      <c r="D1068" t="s">
        <v>624</v>
      </c>
      <c r="E1068" t="s">
        <v>2797</v>
      </c>
      <c r="F1068">
        <v>4500</v>
      </c>
      <c r="G1068" t="s">
        <v>619</v>
      </c>
      <c r="H1068">
        <v>4500</v>
      </c>
      <c r="I1068" t="s">
        <v>2607</v>
      </c>
    </row>
    <row r="1069" spans="1:9" x14ac:dyDescent="0.25">
      <c r="A1069" s="91">
        <v>46079</v>
      </c>
      <c r="B1069" t="s">
        <v>2665</v>
      </c>
      <c r="C1069" t="s">
        <v>2575</v>
      </c>
      <c r="D1069" t="s">
        <v>1080</v>
      </c>
      <c r="E1069" t="s">
        <v>2799</v>
      </c>
      <c r="F1069">
        <v>400</v>
      </c>
      <c r="G1069" t="s">
        <v>619</v>
      </c>
      <c r="H1069">
        <v>400</v>
      </c>
      <c r="I1069" t="s">
        <v>2607</v>
      </c>
    </row>
    <row r="1070" spans="1:9" x14ac:dyDescent="0.25">
      <c r="A1070" s="91">
        <v>46079</v>
      </c>
      <c r="B1070" t="s">
        <v>693</v>
      </c>
      <c r="C1070" t="s">
        <v>3371</v>
      </c>
      <c r="D1070">
        <v>910526</v>
      </c>
      <c r="E1070" t="s">
        <v>1602</v>
      </c>
      <c r="F1070">
        <v>9600</v>
      </c>
      <c r="G1070" t="s">
        <v>619</v>
      </c>
      <c r="H1070">
        <v>9600</v>
      </c>
      <c r="I1070" t="s">
        <v>2607</v>
      </c>
    </row>
    <row r="1071" spans="1:9" x14ac:dyDescent="0.25">
      <c r="A1071" s="91">
        <v>46079</v>
      </c>
      <c r="B1071" t="s">
        <v>693</v>
      </c>
      <c r="C1071" t="s">
        <v>3372</v>
      </c>
      <c r="D1071">
        <v>910326</v>
      </c>
      <c r="E1071" t="s">
        <v>1583</v>
      </c>
      <c r="F1071">
        <v>9600</v>
      </c>
      <c r="G1071" t="s">
        <v>619</v>
      </c>
      <c r="H1071">
        <v>9600</v>
      </c>
      <c r="I1071" t="s">
        <v>2607</v>
      </c>
    </row>
    <row r="1072" spans="1:9" x14ac:dyDescent="0.25">
      <c r="A1072" s="91">
        <v>46079</v>
      </c>
      <c r="B1072" t="s">
        <v>2624</v>
      </c>
      <c r="C1072" t="s">
        <v>3373</v>
      </c>
      <c r="D1072" t="s">
        <v>2669</v>
      </c>
      <c r="E1072" t="s">
        <v>2670</v>
      </c>
      <c r="F1072">
        <v>3505</v>
      </c>
      <c r="G1072" t="s">
        <v>619</v>
      </c>
      <c r="H1072">
        <v>3505</v>
      </c>
      <c r="I1072" t="s">
        <v>2607</v>
      </c>
    </row>
    <row r="1073" spans="1:9" x14ac:dyDescent="0.25">
      <c r="A1073" s="91">
        <v>46079</v>
      </c>
      <c r="B1073" t="s">
        <v>682</v>
      </c>
      <c r="C1073" t="s">
        <v>3374</v>
      </c>
      <c r="D1073" t="s">
        <v>806</v>
      </c>
      <c r="E1073" t="s">
        <v>807</v>
      </c>
      <c r="F1073">
        <v>28000</v>
      </c>
      <c r="G1073" t="s">
        <v>622</v>
      </c>
      <c r="H1073">
        <v>28000</v>
      </c>
      <c r="I1073" t="s">
        <v>2633</v>
      </c>
    </row>
    <row r="1074" spans="1:9" x14ac:dyDescent="0.25">
      <c r="A1074" s="91">
        <v>46079</v>
      </c>
      <c r="B1074" t="s">
        <v>688</v>
      </c>
      <c r="C1074" t="s">
        <v>3375</v>
      </c>
      <c r="D1074">
        <v>7741</v>
      </c>
      <c r="E1074" t="s">
        <v>690</v>
      </c>
      <c r="F1074">
        <v>68000</v>
      </c>
      <c r="G1074" t="s">
        <v>622</v>
      </c>
      <c r="H1074">
        <v>68000</v>
      </c>
      <c r="I1074" t="s">
        <v>2633</v>
      </c>
    </row>
    <row r="1075" spans="1:9" x14ac:dyDescent="0.25">
      <c r="A1075" s="91">
        <v>46079</v>
      </c>
      <c r="B1075" t="s">
        <v>2733</v>
      </c>
      <c r="C1075" t="s">
        <v>2125</v>
      </c>
      <c r="D1075">
        <v>7128</v>
      </c>
      <c r="E1075" t="s">
        <v>633</v>
      </c>
      <c r="F1075">
        <v>105000</v>
      </c>
      <c r="G1075" t="s">
        <v>622</v>
      </c>
      <c r="H1075">
        <v>105000</v>
      </c>
      <c r="I1075" t="s">
        <v>2609</v>
      </c>
    </row>
    <row r="1076" spans="1:9" x14ac:dyDescent="0.25">
      <c r="A1076" s="91">
        <v>46079</v>
      </c>
      <c r="B1076">
        <v>7002</v>
      </c>
      <c r="C1076" t="s">
        <v>3376</v>
      </c>
      <c r="D1076">
        <v>907013</v>
      </c>
      <c r="E1076" t="s">
        <v>3041</v>
      </c>
      <c r="F1076">
        <v>284</v>
      </c>
      <c r="G1076" t="s">
        <v>619</v>
      </c>
      <c r="H1076">
        <v>284</v>
      </c>
      <c r="I1076" t="s">
        <v>2607</v>
      </c>
    </row>
    <row r="1077" spans="1:9" x14ac:dyDescent="0.25">
      <c r="A1077" s="91">
        <v>46079</v>
      </c>
      <c r="B1077" t="s">
        <v>2621</v>
      </c>
      <c r="C1077" t="s">
        <v>3377</v>
      </c>
      <c r="D1077" t="s">
        <v>2756</v>
      </c>
      <c r="E1077" t="s">
        <v>2757</v>
      </c>
      <c r="F1077">
        <v>7505</v>
      </c>
      <c r="G1077" t="s">
        <v>619</v>
      </c>
      <c r="H1077">
        <v>7505</v>
      </c>
      <c r="I1077" t="s">
        <v>2607</v>
      </c>
    </row>
    <row r="1078" spans="1:9" x14ac:dyDescent="0.25">
      <c r="A1078" s="91">
        <v>46080</v>
      </c>
      <c r="B1078" t="s">
        <v>685</v>
      </c>
      <c r="C1078" t="s">
        <v>3378</v>
      </c>
      <c r="D1078" t="s">
        <v>686</v>
      </c>
      <c r="E1078" t="s">
        <v>687</v>
      </c>
      <c r="F1078">
        <v>40000</v>
      </c>
      <c r="G1078" t="s">
        <v>622</v>
      </c>
      <c r="H1078">
        <v>40000</v>
      </c>
      <c r="I1078" t="s">
        <v>2633</v>
      </c>
    </row>
    <row r="1079" spans="1:9" x14ac:dyDescent="0.25">
      <c r="A1079" s="91">
        <v>46080</v>
      </c>
      <c r="B1079" t="s">
        <v>2658</v>
      </c>
      <c r="C1079" t="s">
        <v>3379</v>
      </c>
      <c r="D1079" t="s">
        <v>639</v>
      </c>
      <c r="E1079" t="s">
        <v>640</v>
      </c>
      <c r="F1079">
        <v>2500</v>
      </c>
      <c r="G1079" t="s">
        <v>619</v>
      </c>
      <c r="H1079">
        <v>2500</v>
      </c>
      <c r="I1079" t="s">
        <v>2607</v>
      </c>
    </row>
    <row r="1080" spans="1:9" x14ac:dyDescent="0.25">
      <c r="A1080" s="91">
        <v>46080</v>
      </c>
      <c r="B1080" t="s">
        <v>2614</v>
      </c>
      <c r="C1080" t="s">
        <v>3380</v>
      </c>
      <c r="D1080">
        <v>900400</v>
      </c>
      <c r="E1080" t="s">
        <v>2901</v>
      </c>
      <c r="F1080">
        <v>135</v>
      </c>
      <c r="G1080" t="s">
        <v>619</v>
      </c>
      <c r="H1080">
        <v>135</v>
      </c>
      <c r="I1080" t="s">
        <v>2607</v>
      </c>
    </row>
    <row r="1081" spans="1:9" x14ac:dyDescent="0.25">
      <c r="A1081" s="91">
        <v>46080</v>
      </c>
      <c r="B1081" t="s">
        <v>2610</v>
      </c>
      <c r="C1081" t="s">
        <v>3381</v>
      </c>
      <c r="D1081" t="s">
        <v>2558</v>
      </c>
      <c r="E1081" t="s">
        <v>2559</v>
      </c>
      <c r="F1081">
        <v>7500</v>
      </c>
      <c r="G1081" t="s">
        <v>619</v>
      </c>
      <c r="H1081">
        <v>7500</v>
      </c>
      <c r="I1081" t="s">
        <v>2607</v>
      </c>
    </row>
    <row r="1082" spans="1:9" x14ac:dyDescent="0.25">
      <c r="A1082" s="91">
        <v>46080</v>
      </c>
      <c r="B1082" t="s">
        <v>2606</v>
      </c>
      <c r="C1082" t="s">
        <v>3382</v>
      </c>
      <c r="D1082" t="s">
        <v>1400</v>
      </c>
      <c r="E1082" t="s">
        <v>2941</v>
      </c>
      <c r="F1082">
        <v>7300</v>
      </c>
      <c r="G1082" t="s">
        <v>619</v>
      </c>
      <c r="H1082">
        <v>7300</v>
      </c>
      <c r="I1082" t="s">
        <v>2607</v>
      </c>
    </row>
    <row r="1083" spans="1:9" x14ac:dyDescent="0.25">
      <c r="A1083" s="91">
        <v>46080</v>
      </c>
      <c r="B1083" t="s">
        <v>2606</v>
      </c>
      <c r="C1083" t="s">
        <v>3383</v>
      </c>
      <c r="D1083" t="s">
        <v>1401</v>
      </c>
      <c r="E1083" t="s">
        <v>2061</v>
      </c>
      <c r="F1083">
        <v>6260</v>
      </c>
      <c r="G1083" t="s">
        <v>619</v>
      </c>
      <c r="H1083">
        <v>6260</v>
      </c>
      <c r="I1083" t="s">
        <v>2607</v>
      </c>
    </row>
    <row r="1084" spans="1:9" x14ac:dyDescent="0.25">
      <c r="A1084" s="91">
        <v>46080</v>
      </c>
      <c r="B1084" t="s">
        <v>2665</v>
      </c>
      <c r="C1084" t="s">
        <v>2582</v>
      </c>
      <c r="D1084" t="s">
        <v>627</v>
      </c>
      <c r="E1084" t="s">
        <v>2846</v>
      </c>
      <c r="F1084">
        <v>800</v>
      </c>
      <c r="G1084" t="s">
        <v>619</v>
      </c>
      <c r="H1084">
        <v>800</v>
      </c>
      <c r="I1084" t="s">
        <v>2607</v>
      </c>
    </row>
    <row r="1085" spans="1:9" x14ac:dyDescent="0.25">
      <c r="A1085" s="91">
        <v>46080</v>
      </c>
      <c r="B1085" t="s">
        <v>2617</v>
      </c>
      <c r="C1085" t="s">
        <v>3384</v>
      </c>
      <c r="D1085">
        <v>5150010451</v>
      </c>
      <c r="E1085" t="s">
        <v>2706</v>
      </c>
      <c r="F1085">
        <v>2256</v>
      </c>
      <c r="G1085" t="s">
        <v>619</v>
      </c>
      <c r="H1085">
        <v>2256</v>
      </c>
      <c r="I1085" t="s">
        <v>2607</v>
      </c>
    </row>
    <row r="1086" spans="1:9" x14ac:dyDescent="0.25">
      <c r="A1086" s="91">
        <v>46080</v>
      </c>
      <c r="B1086" t="s">
        <v>715</v>
      </c>
      <c r="C1086" t="s">
        <v>3385</v>
      </c>
      <c r="D1086">
        <v>7185</v>
      </c>
      <c r="E1086" t="s">
        <v>717</v>
      </c>
      <c r="F1086">
        <v>55000</v>
      </c>
      <c r="G1086" t="s">
        <v>622</v>
      </c>
      <c r="H1086">
        <v>55000</v>
      </c>
      <c r="I1086" t="s">
        <v>2633</v>
      </c>
    </row>
    <row r="1087" spans="1:9" x14ac:dyDescent="0.25">
      <c r="A1087" s="91">
        <v>46080</v>
      </c>
      <c r="B1087" t="s">
        <v>2621</v>
      </c>
      <c r="C1087" t="s">
        <v>3386</v>
      </c>
      <c r="D1087">
        <v>529300</v>
      </c>
      <c r="E1087" t="s">
        <v>2623</v>
      </c>
      <c r="F1087">
        <v>10832</v>
      </c>
      <c r="G1087" t="s">
        <v>619</v>
      </c>
      <c r="H1087">
        <v>10832</v>
      </c>
      <c r="I1087" t="s">
        <v>2607</v>
      </c>
    </row>
    <row r="1088" spans="1:9" x14ac:dyDescent="0.25">
      <c r="A1088" s="91">
        <v>46080</v>
      </c>
      <c r="B1088" t="s">
        <v>2624</v>
      </c>
      <c r="C1088" t="s">
        <v>3387</v>
      </c>
      <c r="D1088" t="s">
        <v>2756</v>
      </c>
      <c r="E1088" t="s">
        <v>2757</v>
      </c>
      <c r="F1088">
        <v>3505</v>
      </c>
      <c r="G1088" t="s">
        <v>619</v>
      </c>
      <c r="H1088">
        <v>3505</v>
      </c>
      <c r="I1088" t="s">
        <v>2607</v>
      </c>
    </row>
    <row r="1089" spans="1:9" x14ac:dyDescent="0.25">
      <c r="A1089" s="91">
        <v>46080</v>
      </c>
      <c r="B1089" t="s">
        <v>682</v>
      </c>
      <c r="C1089" t="s">
        <v>3388</v>
      </c>
      <c r="D1089">
        <v>7281</v>
      </c>
      <c r="E1089" t="s">
        <v>739</v>
      </c>
      <c r="F1089">
        <v>28000</v>
      </c>
      <c r="G1089" t="s">
        <v>622</v>
      </c>
      <c r="H1089">
        <v>28000</v>
      </c>
      <c r="I1089" t="s">
        <v>2633</v>
      </c>
    </row>
    <row r="1090" spans="1:9" x14ac:dyDescent="0.25">
      <c r="A1090" s="91">
        <v>46080</v>
      </c>
      <c r="B1090" t="s">
        <v>2665</v>
      </c>
      <c r="C1090" t="s">
        <v>3389</v>
      </c>
      <c r="D1090" t="s">
        <v>2042</v>
      </c>
      <c r="E1090" t="s">
        <v>3390</v>
      </c>
      <c r="F1090">
        <v>6250</v>
      </c>
      <c r="G1090" t="s">
        <v>619</v>
      </c>
      <c r="H1090">
        <v>6250</v>
      </c>
      <c r="I1090" t="s">
        <v>2607</v>
      </c>
    </row>
    <row r="1091" spans="1:9" x14ac:dyDescent="0.25">
      <c r="A1091" s="91">
        <v>46080</v>
      </c>
      <c r="B1091" t="s">
        <v>688</v>
      </c>
      <c r="C1091" t="s">
        <v>3391</v>
      </c>
      <c r="D1091">
        <v>7741</v>
      </c>
      <c r="E1091" t="s">
        <v>690</v>
      </c>
      <c r="F1091">
        <v>68000</v>
      </c>
      <c r="G1091" t="s">
        <v>622</v>
      </c>
      <c r="H1091">
        <v>68000</v>
      </c>
      <c r="I1091" t="s">
        <v>2633</v>
      </c>
    </row>
    <row r="1092" spans="1:9" x14ac:dyDescent="0.25">
      <c r="A1092" s="91">
        <v>46080</v>
      </c>
      <c r="B1092">
        <v>7002</v>
      </c>
      <c r="C1092" t="s">
        <v>3392</v>
      </c>
      <c r="D1092">
        <v>907013</v>
      </c>
      <c r="E1092" t="s">
        <v>3041</v>
      </c>
      <c r="F1092">
        <v>284</v>
      </c>
      <c r="G1092" t="s">
        <v>619</v>
      </c>
      <c r="H1092">
        <v>284</v>
      </c>
      <c r="I1092" t="s">
        <v>2607</v>
      </c>
    </row>
    <row r="1093" spans="1:9" x14ac:dyDescent="0.25">
      <c r="A1093" s="91">
        <v>46081</v>
      </c>
      <c r="B1093" t="s">
        <v>2608</v>
      </c>
      <c r="C1093" t="s">
        <v>2515</v>
      </c>
      <c r="D1093">
        <v>7076</v>
      </c>
      <c r="E1093" t="s">
        <v>634</v>
      </c>
      <c r="F1093">
        <v>90000</v>
      </c>
      <c r="G1093" t="s">
        <v>622</v>
      </c>
      <c r="H1093">
        <v>90000</v>
      </c>
      <c r="I1093" t="s">
        <v>2609</v>
      </c>
    </row>
    <row r="1094" spans="1:9" x14ac:dyDescent="0.25">
      <c r="A1094" s="91">
        <v>46081</v>
      </c>
      <c r="B1094" t="s">
        <v>2608</v>
      </c>
      <c r="C1094" t="s">
        <v>3393</v>
      </c>
      <c r="D1094">
        <v>79501</v>
      </c>
      <c r="E1094" t="s">
        <v>629</v>
      </c>
      <c r="F1094">
        <v>105000</v>
      </c>
      <c r="G1094" t="s">
        <v>622</v>
      </c>
      <c r="H1094">
        <v>105000</v>
      </c>
      <c r="I1094" t="s">
        <v>2609</v>
      </c>
    </row>
    <row r="1095" spans="1:9" x14ac:dyDescent="0.25">
      <c r="A1095" s="91">
        <v>46081</v>
      </c>
      <c r="B1095" t="s">
        <v>2736</v>
      </c>
      <c r="C1095" t="s">
        <v>2490</v>
      </c>
      <c r="D1095" t="s">
        <v>2491</v>
      </c>
      <c r="E1095" t="s">
        <v>2492</v>
      </c>
      <c r="F1095">
        <v>500</v>
      </c>
      <c r="G1095" t="s">
        <v>622</v>
      </c>
      <c r="H1095">
        <v>500</v>
      </c>
      <c r="I1095" t="s">
        <v>2607</v>
      </c>
    </row>
    <row r="1096" spans="1:9" x14ac:dyDescent="0.25">
      <c r="A1096" s="91">
        <v>46081</v>
      </c>
      <c r="B1096" t="s">
        <v>2736</v>
      </c>
      <c r="C1096" t="s">
        <v>2489</v>
      </c>
      <c r="D1096" t="s">
        <v>2131</v>
      </c>
      <c r="E1096" t="s">
        <v>2132</v>
      </c>
      <c r="F1096">
        <v>500</v>
      </c>
      <c r="G1096" t="s">
        <v>622</v>
      </c>
      <c r="H1096">
        <v>500</v>
      </c>
      <c r="I1096" t="s">
        <v>2607</v>
      </c>
    </row>
    <row r="1097" spans="1:9" x14ac:dyDescent="0.25">
      <c r="A1097" s="91">
        <v>46081</v>
      </c>
      <c r="B1097" t="s">
        <v>2606</v>
      </c>
      <c r="C1097" t="s">
        <v>2553</v>
      </c>
      <c r="D1097" t="s">
        <v>112</v>
      </c>
      <c r="E1097" t="s">
        <v>2620</v>
      </c>
      <c r="F1097">
        <v>7300</v>
      </c>
      <c r="G1097" t="s">
        <v>619</v>
      </c>
      <c r="H1097">
        <v>7300</v>
      </c>
      <c r="I1097" t="s">
        <v>2607</v>
      </c>
    </row>
    <row r="1098" spans="1:9" x14ac:dyDescent="0.25">
      <c r="A1098" s="91">
        <v>46083</v>
      </c>
      <c r="B1098" t="s">
        <v>2652</v>
      </c>
      <c r="C1098" t="s">
        <v>3394</v>
      </c>
      <c r="D1098">
        <v>2205</v>
      </c>
      <c r="E1098" t="s">
        <v>880</v>
      </c>
      <c r="F1098">
        <v>240</v>
      </c>
      <c r="G1098" t="s">
        <v>622</v>
      </c>
      <c r="H1098">
        <v>240</v>
      </c>
      <c r="I1098" t="s">
        <v>2607</v>
      </c>
    </row>
    <row r="1099" spans="1:9" x14ac:dyDescent="0.25">
      <c r="A1099" s="91">
        <v>46083</v>
      </c>
      <c r="B1099" t="s">
        <v>2610</v>
      </c>
      <c r="C1099" t="s">
        <v>3395</v>
      </c>
      <c r="D1099" t="s">
        <v>2556</v>
      </c>
      <c r="E1099" t="s">
        <v>2557</v>
      </c>
      <c r="F1099">
        <v>6800</v>
      </c>
      <c r="G1099" t="s">
        <v>619</v>
      </c>
      <c r="H1099">
        <v>6800</v>
      </c>
      <c r="I1099" t="s">
        <v>2607</v>
      </c>
    </row>
    <row r="1100" spans="1:9" x14ac:dyDescent="0.25">
      <c r="A1100" s="91">
        <v>46083</v>
      </c>
      <c r="B1100" t="s">
        <v>2652</v>
      </c>
      <c r="C1100" t="s">
        <v>3396</v>
      </c>
      <c r="D1100">
        <v>2233</v>
      </c>
      <c r="E1100" t="s">
        <v>890</v>
      </c>
      <c r="F1100">
        <v>216</v>
      </c>
      <c r="G1100" t="s">
        <v>622</v>
      </c>
      <c r="H1100">
        <v>216</v>
      </c>
      <c r="I1100" t="s">
        <v>2607</v>
      </c>
    </row>
    <row r="1101" spans="1:9" x14ac:dyDescent="0.25">
      <c r="A1101" s="91">
        <v>46083</v>
      </c>
      <c r="B1101" t="s">
        <v>2652</v>
      </c>
      <c r="C1101" t="s">
        <v>3397</v>
      </c>
      <c r="D1101">
        <v>2209</v>
      </c>
      <c r="E1101" t="s">
        <v>888</v>
      </c>
      <c r="F1101">
        <v>240</v>
      </c>
      <c r="G1101" t="s">
        <v>622</v>
      </c>
      <c r="H1101">
        <v>240</v>
      </c>
      <c r="I1101" t="s">
        <v>2607</v>
      </c>
    </row>
    <row r="1102" spans="1:9" x14ac:dyDescent="0.25">
      <c r="A1102" s="91">
        <v>46083</v>
      </c>
      <c r="B1102" t="s">
        <v>2652</v>
      </c>
      <c r="C1102" t="s">
        <v>3398</v>
      </c>
      <c r="D1102">
        <v>2207</v>
      </c>
      <c r="E1102" t="s">
        <v>887</v>
      </c>
      <c r="F1102">
        <v>240</v>
      </c>
      <c r="G1102" t="s">
        <v>622</v>
      </c>
      <c r="H1102">
        <v>240</v>
      </c>
      <c r="I1102" t="s">
        <v>2607</v>
      </c>
    </row>
    <row r="1103" spans="1:9" x14ac:dyDescent="0.25">
      <c r="A1103" s="91">
        <v>46083</v>
      </c>
      <c r="B1103" t="s">
        <v>2652</v>
      </c>
      <c r="C1103" t="s">
        <v>3399</v>
      </c>
      <c r="D1103">
        <v>2235</v>
      </c>
      <c r="E1103" t="s">
        <v>1013</v>
      </c>
      <c r="F1103">
        <v>192</v>
      </c>
      <c r="G1103" t="s">
        <v>622</v>
      </c>
      <c r="H1103">
        <v>192</v>
      </c>
      <c r="I1103" t="s">
        <v>2607</v>
      </c>
    </row>
    <row r="1104" spans="1:9" x14ac:dyDescent="0.25">
      <c r="A1104" s="91">
        <v>46083</v>
      </c>
      <c r="B1104" t="s">
        <v>2614</v>
      </c>
      <c r="C1104" t="s">
        <v>3400</v>
      </c>
      <c r="D1104">
        <v>500402</v>
      </c>
      <c r="E1104" t="s">
        <v>3269</v>
      </c>
      <c r="F1104">
        <v>40</v>
      </c>
      <c r="G1104" t="s">
        <v>619</v>
      </c>
      <c r="H1104">
        <v>40</v>
      </c>
      <c r="I1104" t="s">
        <v>2607</v>
      </c>
    </row>
    <row r="1105" spans="1:9" x14ac:dyDescent="0.25">
      <c r="A1105" s="91">
        <v>46083</v>
      </c>
      <c r="B1105" t="s">
        <v>2617</v>
      </c>
      <c r="C1105" t="s">
        <v>3401</v>
      </c>
      <c r="D1105">
        <v>5150010451</v>
      </c>
      <c r="E1105" t="s">
        <v>2706</v>
      </c>
      <c r="F1105">
        <v>2256</v>
      </c>
      <c r="G1105" t="s">
        <v>619</v>
      </c>
      <c r="H1105">
        <v>2256</v>
      </c>
      <c r="I1105" t="s">
        <v>2607</v>
      </c>
    </row>
    <row r="1106" spans="1:9" x14ac:dyDescent="0.25">
      <c r="A1106" s="91">
        <v>46083</v>
      </c>
      <c r="B1106" t="s">
        <v>2617</v>
      </c>
      <c r="C1106" t="s">
        <v>3402</v>
      </c>
      <c r="D1106">
        <v>5150010451</v>
      </c>
      <c r="E1106" t="s">
        <v>2706</v>
      </c>
      <c r="F1106">
        <v>2256</v>
      </c>
      <c r="G1106" t="s">
        <v>619</v>
      </c>
      <c r="H1106">
        <v>2256</v>
      </c>
      <c r="I1106" t="s">
        <v>2607</v>
      </c>
    </row>
    <row r="1107" spans="1:9" x14ac:dyDescent="0.25">
      <c r="A1107" s="91">
        <v>46083</v>
      </c>
      <c r="B1107" t="s">
        <v>2617</v>
      </c>
      <c r="C1107" t="s">
        <v>3403</v>
      </c>
      <c r="D1107">
        <v>5150010451</v>
      </c>
      <c r="E1107" t="s">
        <v>2706</v>
      </c>
      <c r="F1107">
        <v>2256</v>
      </c>
      <c r="G1107" t="s">
        <v>619</v>
      </c>
      <c r="H1107">
        <v>2256</v>
      </c>
      <c r="I1107" t="s">
        <v>2607</v>
      </c>
    </row>
    <row r="1108" spans="1:9" x14ac:dyDescent="0.25">
      <c r="A1108" s="91">
        <v>46083</v>
      </c>
      <c r="B1108" t="s">
        <v>2614</v>
      </c>
      <c r="C1108" t="s">
        <v>3404</v>
      </c>
      <c r="D1108">
        <v>900400</v>
      </c>
      <c r="E1108" t="s">
        <v>2901</v>
      </c>
      <c r="F1108">
        <v>135</v>
      </c>
      <c r="G1108" t="s">
        <v>619</v>
      </c>
      <c r="H1108">
        <v>135</v>
      </c>
      <c r="I1108" t="s">
        <v>2607</v>
      </c>
    </row>
    <row r="1109" spans="1:9" x14ac:dyDescent="0.25">
      <c r="A1109" s="91">
        <v>46083</v>
      </c>
      <c r="B1109" t="s">
        <v>2608</v>
      </c>
      <c r="C1109" t="s">
        <v>2588</v>
      </c>
      <c r="D1109" t="s">
        <v>103</v>
      </c>
      <c r="E1109" t="s">
        <v>2077</v>
      </c>
      <c r="F1109">
        <v>7300</v>
      </c>
      <c r="G1109" t="s">
        <v>619</v>
      </c>
      <c r="H1109">
        <v>7300</v>
      </c>
      <c r="I1109" t="s">
        <v>2607</v>
      </c>
    </row>
    <row r="1110" spans="1:9" x14ac:dyDescent="0.25">
      <c r="A1110" s="91">
        <v>46083</v>
      </c>
      <c r="B1110" t="s">
        <v>2614</v>
      </c>
      <c r="C1110" t="s">
        <v>3405</v>
      </c>
      <c r="D1110">
        <v>900400</v>
      </c>
      <c r="E1110" t="s">
        <v>2901</v>
      </c>
      <c r="F1110">
        <v>135</v>
      </c>
      <c r="G1110" t="s">
        <v>619</v>
      </c>
      <c r="H1110">
        <v>135</v>
      </c>
      <c r="I1110" t="s">
        <v>2607</v>
      </c>
    </row>
    <row r="1111" spans="1:9" x14ac:dyDescent="0.25">
      <c r="A1111" s="91">
        <v>46083</v>
      </c>
      <c r="B1111" t="s">
        <v>2652</v>
      </c>
      <c r="C1111" t="s">
        <v>3406</v>
      </c>
      <c r="D1111">
        <v>2201</v>
      </c>
      <c r="E1111" t="s">
        <v>879</v>
      </c>
      <c r="F1111">
        <v>240</v>
      </c>
      <c r="G1111" t="s">
        <v>622</v>
      </c>
      <c r="H1111">
        <v>240</v>
      </c>
      <c r="I1111" t="s">
        <v>2607</v>
      </c>
    </row>
    <row r="1112" spans="1:9" x14ac:dyDescent="0.25">
      <c r="A1112" s="91">
        <v>46083</v>
      </c>
      <c r="B1112" t="s">
        <v>2608</v>
      </c>
      <c r="C1112" t="s">
        <v>2107</v>
      </c>
      <c r="D1112">
        <v>7018</v>
      </c>
      <c r="E1112" t="s">
        <v>1077</v>
      </c>
      <c r="F1112">
        <v>105000</v>
      </c>
      <c r="G1112" t="s">
        <v>622</v>
      </c>
      <c r="H1112">
        <v>105000</v>
      </c>
      <c r="I1112" t="s">
        <v>2609</v>
      </c>
    </row>
    <row r="1113" spans="1:9" x14ac:dyDescent="0.25">
      <c r="A1113" s="91">
        <v>46083</v>
      </c>
      <c r="B1113" t="s">
        <v>2606</v>
      </c>
      <c r="C1113" t="s">
        <v>3407</v>
      </c>
      <c r="D1113" t="s">
        <v>1401</v>
      </c>
      <c r="E1113" t="s">
        <v>2061</v>
      </c>
      <c r="F1113">
        <v>6260</v>
      </c>
      <c r="G1113" t="s">
        <v>619</v>
      </c>
      <c r="H1113">
        <v>6260</v>
      </c>
      <c r="I1113" t="s">
        <v>2607</v>
      </c>
    </row>
    <row r="1114" spans="1:9" x14ac:dyDescent="0.25">
      <c r="A1114" s="91">
        <v>46083</v>
      </c>
      <c r="B1114" t="s">
        <v>2606</v>
      </c>
      <c r="C1114" t="s">
        <v>3408</v>
      </c>
      <c r="D1114">
        <v>85134</v>
      </c>
      <c r="E1114" t="s">
        <v>2488</v>
      </c>
      <c r="F1114">
        <v>6260</v>
      </c>
      <c r="G1114" t="s">
        <v>619</v>
      </c>
      <c r="H1114">
        <v>6260</v>
      </c>
      <c r="I1114" t="s">
        <v>2607</v>
      </c>
    </row>
    <row r="1115" spans="1:9" x14ac:dyDescent="0.25">
      <c r="A1115" s="91">
        <v>46083</v>
      </c>
      <c r="B1115">
        <v>7002</v>
      </c>
      <c r="C1115" t="s">
        <v>3409</v>
      </c>
      <c r="D1115">
        <v>961515</v>
      </c>
      <c r="E1115" t="s">
        <v>2691</v>
      </c>
      <c r="F1115">
        <v>325</v>
      </c>
      <c r="G1115" t="s">
        <v>619</v>
      </c>
      <c r="H1115">
        <v>325</v>
      </c>
      <c r="I1115" t="s">
        <v>2607</v>
      </c>
    </row>
    <row r="1116" spans="1:9" x14ac:dyDescent="0.25">
      <c r="A1116" s="91">
        <v>46083</v>
      </c>
      <c r="B1116">
        <v>7002</v>
      </c>
      <c r="C1116" t="s">
        <v>3410</v>
      </c>
      <c r="D1116">
        <v>907017</v>
      </c>
      <c r="E1116" t="s">
        <v>3134</v>
      </c>
      <c r="F1116">
        <v>281</v>
      </c>
      <c r="G1116" t="s">
        <v>619</v>
      </c>
      <c r="H1116">
        <v>281</v>
      </c>
      <c r="I1116" t="s">
        <v>2607</v>
      </c>
    </row>
    <row r="1117" spans="1:9" x14ac:dyDescent="0.25">
      <c r="A1117" s="91">
        <v>46083</v>
      </c>
      <c r="B1117">
        <v>7002</v>
      </c>
      <c r="C1117" t="s">
        <v>3411</v>
      </c>
      <c r="D1117">
        <v>907013</v>
      </c>
      <c r="E1117" t="s">
        <v>3041</v>
      </c>
      <c r="F1117">
        <v>284</v>
      </c>
      <c r="G1117" t="s">
        <v>619</v>
      </c>
      <c r="H1117">
        <v>284</v>
      </c>
      <c r="I1117" t="s">
        <v>2607</v>
      </c>
    </row>
    <row r="1118" spans="1:9" x14ac:dyDescent="0.25">
      <c r="A1118" s="91">
        <v>46083</v>
      </c>
      <c r="B1118" t="s">
        <v>2606</v>
      </c>
      <c r="C1118" t="s">
        <v>3412</v>
      </c>
      <c r="D1118" t="s">
        <v>1400</v>
      </c>
      <c r="E1118" t="s">
        <v>2941</v>
      </c>
      <c r="F1118">
        <v>7300</v>
      </c>
      <c r="G1118" t="s">
        <v>619</v>
      </c>
      <c r="H1118">
        <v>7300</v>
      </c>
      <c r="I1118" t="s">
        <v>2607</v>
      </c>
    </row>
    <row r="1119" spans="1:9" x14ac:dyDescent="0.25">
      <c r="A1119" s="91">
        <v>46083</v>
      </c>
      <c r="B1119" t="s">
        <v>2624</v>
      </c>
      <c r="C1119" t="s">
        <v>3413</v>
      </c>
      <c r="D1119" t="s">
        <v>2910</v>
      </c>
      <c r="E1119" t="s">
        <v>2911</v>
      </c>
      <c r="F1119">
        <v>2083</v>
      </c>
      <c r="G1119" t="s">
        <v>619</v>
      </c>
      <c r="H1119">
        <v>2083</v>
      </c>
      <c r="I1119" t="s">
        <v>2607</v>
      </c>
    </row>
    <row r="1120" spans="1:9" x14ac:dyDescent="0.25">
      <c r="A1120" s="91">
        <v>46083</v>
      </c>
      <c r="B1120" t="s">
        <v>2624</v>
      </c>
      <c r="C1120" t="s">
        <v>3414</v>
      </c>
      <c r="D1120" t="s">
        <v>2910</v>
      </c>
      <c r="E1120" t="s">
        <v>2911</v>
      </c>
      <c r="F1120">
        <v>2083</v>
      </c>
      <c r="G1120" t="s">
        <v>619</v>
      </c>
      <c r="H1120">
        <v>2083</v>
      </c>
      <c r="I1120" t="s">
        <v>2607</v>
      </c>
    </row>
    <row r="1121" spans="1:9" x14ac:dyDescent="0.25">
      <c r="A1121" s="91">
        <v>46083</v>
      </c>
      <c r="B1121" t="s">
        <v>2621</v>
      </c>
      <c r="C1121" t="s">
        <v>3415</v>
      </c>
      <c r="D1121">
        <v>529300</v>
      </c>
      <c r="E1121" t="s">
        <v>2623</v>
      </c>
      <c r="F1121">
        <v>10832</v>
      </c>
      <c r="G1121" t="s">
        <v>619</v>
      </c>
      <c r="H1121">
        <v>10832</v>
      </c>
      <c r="I1121" t="s">
        <v>2607</v>
      </c>
    </row>
    <row r="1122" spans="1:9" x14ac:dyDescent="0.25">
      <c r="A1122" s="91">
        <v>46083</v>
      </c>
      <c r="B1122" t="s">
        <v>2624</v>
      </c>
      <c r="C1122" t="s">
        <v>3416</v>
      </c>
      <c r="D1122" t="s">
        <v>2756</v>
      </c>
      <c r="E1122" t="s">
        <v>2757</v>
      </c>
      <c r="F1122">
        <v>3505</v>
      </c>
      <c r="G1122" t="s">
        <v>619</v>
      </c>
      <c r="H1122">
        <v>3505</v>
      </c>
      <c r="I1122" t="s">
        <v>2607</v>
      </c>
    </row>
    <row r="1123" spans="1:9" x14ac:dyDescent="0.25">
      <c r="A1123" s="91">
        <v>46083</v>
      </c>
      <c r="B1123" t="s">
        <v>2621</v>
      </c>
      <c r="C1123" t="s">
        <v>3417</v>
      </c>
      <c r="D1123">
        <v>529300</v>
      </c>
      <c r="E1123" t="s">
        <v>2623</v>
      </c>
      <c r="F1123">
        <v>10832</v>
      </c>
      <c r="G1123" t="s">
        <v>619</v>
      </c>
      <c r="H1123">
        <v>10832</v>
      </c>
      <c r="I1123" t="s">
        <v>2607</v>
      </c>
    </row>
    <row r="1124" spans="1:9" x14ac:dyDescent="0.25">
      <c r="A1124" s="91">
        <v>46083</v>
      </c>
      <c r="B1124" t="s">
        <v>2665</v>
      </c>
      <c r="C1124" t="s">
        <v>3418</v>
      </c>
      <c r="D1124" t="s">
        <v>2042</v>
      </c>
      <c r="E1124" t="s">
        <v>3390</v>
      </c>
      <c r="F1124">
        <v>6250</v>
      </c>
      <c r="G1124" t="s">
        <v>619</v>
      </c>
      <c r="H1124">
        <v>6250</v>
      </c>
      <c r="I1124" t="s">
        <v>2607</v>
      </c>
    </row>
    <row r="1125" spans="1:9" x14ac:dyDescent="0.25">
      <c r="A1125" s="91">
        <v>46083</v>
      </c>
      <c r="B1125" t="s">
        <v>2606</v>
      </c>
      <c r="C1125" t="s">
        <v>3419</v>
      </c>
      <c r="D1125" t="s">
        <v>1401</v>
      </c>
      <c r="E1125" t="s">
        <v>2061</v>
      </c>
      <c r="F1125">
        <v>6260</v>
      </c>
      <c r="G1125" t="s">
        <v>619</v>
      </c>
      <c r="H1125">
        <v>6260</v>
      </c>
      <c r="I1125" t="s">
        <v>2607</v>
      </c>
    </row>
    <row r="1126" spans="1:9" x14ac:dyDescent="0.25">
      <c r="A1126" s="91">
        <v>46083</v>
      </c>
      <c r="B1126" t="s">
        <v>2606</v>
      </c>
      <c r="C1126" t="s">
        <v>3420</v>
      </c>
      <c r="D1126" t="s">
        <v>1401</v>
      </c>
      <c r="E1126" t="s">
        <v>2061</v>
      </c>
      <c r="F1126">
        <v>1000</v>
      </c>
      <c r="G1126" t="s">
        <v>619</v>
      </c>
      <c r="H1126">
        <v>1000</v>
      </c>
      <c r="I1126" t="s">
        <v>2607</v>
      </c>
    </row>
    <row r="1127" spans="1:9" x14ac:dyDescent="0.25">
      <c r="A1127" s="91">
        <v>46083</v>
      </c>
      <c r="B1127" t="s">
        <v>2606</v>
      </c>
      <c r="C1127" t="s">
        <v>3421</v>
      </c>
      <c r="D1127" t="s">
        <v>1401</v>
      </c>
      <c r="E1127" t="s">
        <v>2061</v>
      </c>
      <c r="F1127">
        <v>6260</v>
      </c>
      <c r="G1127" t="s">
        <v>619</v>
      </c>
      <c r="H1127">
        <v>6260</v>
      </c>
      <c r="I1127" t="s">
        <v>2607</v>
      </c>
    </row>
    <row r="1128" spans="1:9" x14ac:dyDescent="0.25">
      <c r="A1128" s="91">
        <v>46083</v>
      </c>
      <c r="B1128" t="s">
        <v>2621</v>
      </c>
      <c r="C1128" t="s">
        <v>3422</v>
      </c>
      <c r="D1128">
        <v>529300</v>
      </c>
      <c r="E1128" t="s">
        <v>2623</v>
      </c>
      <c r="F1128">
        <v>10832</v>
      </c>
      <c r="G1128" t="s">
        <v>619</v>
      </c>
      <c r="H1128">
        <v>10832</v>
      </c>
      <c r="I1128" t="s">
        <v>2607</v>
      </c>
    </row>
    <row r="1129" spans="1:9" x14ac:dyDescent="0.25">
      <c r="A1129" s="91">
        <v>46084</v>
      </c>
      <c r="B1129" t="s">
        <v>685</v>
      </c>
      <c r="C1129" t="s">
        <v>3423</v>
      </c>
      <c r="D1129">
        <v>7374</v>
      </c>
      <c r="E1129" t="s">
        <v>785</v>
      </c>
      <c r="F1129">
        <v>25000</v>
      </c>
      <c r="G1129" t="s">
        <v>622</v>
      </c>
      <c r="H1129">
        <v>25000</v>
      </c>
      <c r="I1129" t="s">
        <v>2633</v>
      </c>
    </row>
    <row r="1130" spans="1:9" x14ac:dyDescent="0.25">
      <c r="A1130" s="91">
        <v>46084</v>
      </c>
      <c r="B1130" t="s">
        <v>2680</v>
      </c>
      <c r="C1130" t="s">
        <v>3424</v>
      </c>
      <c r="D1130">
        <v>900401</v>
      </c>
      <c r="E1130" t="s">
        <v>2741</v>
      </c>
      <c r="F1130">
        <v>480</v>
      </c>
      <c r="G1130" t="s">
        <v>619</v>
      </c>
      <c r="H1130">
        <v>480</v>
      </c>
      <c r="I1130" t="s">
        <v>2607</v>
      </c>
    </row>
    <row r="1131" spans="1:9" x14ac:dyDescent="0.25">
      <c r="A1131" s="91">
        <v>46084</v>
      </c>
      <c r="B1131" t="s">
        <v>2614</v>
      </c>
      <c r="C1131" t="s">
        <v>3425</v>
      </c>
      <c r="D1131">
        <v>900400</v>
      </c>
      <c r="E1131" t="s">
        <v>2901</v>
      </c>
      <c r="F1131">
        <v>135</v>
      </c>
      <c r="G1131" t="s">
        <v>619</v>
      </c>
      <c r="H1131">
        <v>135</v>
      </c>
      <c r="I1131" t="s">
        <v>2607</v>
      </c>
    </row>
    <row r="1132" spans="1:9" x14ac:dyDescent="0.25">
      <c r="A1132" s="91">
        <v>46084</v>
      </c>
      <c r="B1132" t="s">
        <v>2617</v>
      </c>
      <c r="C1132" t="s">
        <v>3426</v>
      </c>
      <c r="D1132">
        <v>5150010451</v>
      </c>
      <c r="E1132" t="s">
        <v>2706</v>
      </c>
      <c r="F1132">
        <v>2256</v>
      </c>
      <c r="G1132" t="s">
        <v>619</v>
      </c>
      <c r="H1132">
        <v>2256</v>
      </c>
      <c r="I1132" t="s">
        <v>2607</v>
      </c>
    </row>
    <row r="1133" spans="1:9" x14ac:dyDescent="0.25">
      <c r="A1133" s="91">
        <v>46084</v>
      </c>
      <c r="B1133" t="s">
        <v>2610</v>
      </c>
      <c r="C1133" t="s">
        <v>3427</v>
      </c>
      <c r="D1133">
        <v>517660</v>
      </c>
      <c r="E1133" t="s">
        <v>2215</v>
      </c>
      <c r="F1133">
        <v>14585</v>
      </c>
      <c r="G1133" t="s">
        <v>619</v>
      </c>
      <c r="H1133">
        <v>14585</v>
      </c>
      <c r="I1133" t="s">
        <v>2607</v>
      </c>
    </row>
    <row r="1134" spans="1:9" x14ac:dyDescent="0.25">
      <c r="A1134" s="91">
        <v>46084</v>
      </c>
      <c r="B1134" t="s">
        <v>2658</v>
      </c>
      <c r="C1134" t="s">
        <v>2180</v>
      </c>
      <c r="D1134" t="s">
        <v>639</v>
      </c>
      <c r="E1134" t="s">
        <v>640</v>
      </c>
      <c r="F1134">
        <v>2500</v>
      </c>
      <c r="G1134" t="s">
        <v>619</v>
      </c>
      <c r="H1134">
        <v>2500</v>
      </c>
      <c r="I1134" t="s">
        <v>2607</v>
      </c>
    </row>
    <row r="1135" spans="1:9" x14ac:dyDescent="0.25">
      <c r="A1135" s="91">
        <v>46084</v>
      </c>
      <c r="B1135" t="s">
        <v>2606</v>
      </c>
      <c r="C1135" t="s">
        <v>3428</v>
      </c>
      <c r="D1135">
        <v>85204</v>
      </c>
      <c r="E1135" t="s">
        <v>1398</v>
      </c>
      <c r="F1135">
        <v>4166</v>
      </c>
      <c r="G1135" t="s">
        <v>619</v>
      </c>
      <c r="H1135">
        <v>4166</v>
      </c>
      <c r="I1135" t="s">
        <v>2607</v>
      </c>
    </row>
    <row r="1136" spans="1:9" x14ac:dyDescent="0.25">
      <c r="A1136" s="91">
        <v>46084</v>
      </c>
      <c r="B1136" t="s">
        <v>2665</v>
      </c>
      <c r="C1136" t="s">
        <v>2581</v>
      </c>
      <c r="D1136" t="s">
        <v>626</v>
      </c>
      <c r="E1136" t="s">
        <v>2845</v>
      </c>
      <c r="F1136">
        <v>2833</v>
      </c>
      <c r="G1136" t="s">
        <v>619</v>
      </c>
      <c r="H1136">
        <v>2833</v>
      </c>
      <c r="I1136" t="s">
        <v>2607</v>
      </c>
    </row>
    <row r="1137" spans="1:9" x14ac:dyDescent="0.25">
      <c r="A1137" s="91">
        <v>46084</v>
      </c>
      <c r="B1137" t="s">
        <v>2621</v>
      </c>
      <c r="C1137" t="s">
        <v>3429</v>
      </c>
      <c r="D1137">
        <v>529300</v>
      </c>
      <c r="E1137" t="s">
        <v>2623</v>
      </c>
      <c r="F1137">
        <v>10416</v>
      </c>
      <c r="G1137" t="s">
        <v>619</v>
      </c>
      <c r="H1137">
        <v>10416</v>
      </c>
      <c r="I1137" t="s">
        <v>2607</v>
      </c>
    </row>
    <row r="1138" spans="1:9" x14ac:dyDescent="0.25">
      <c r="A1138" s="91">
        <v>46084</v>
      </c>
      <c r="B1138" t="s">
        <v>2665</v>
      </c>
      <c r="C1138" t="s">
        <v>2585</v>
      </c>
      <c r="D1138" t="s">
        <v>2189</v>
      </c>
      <c r="E1138" t="s">
        <v>3430</v>
      </c>
      <c r="F1138">
        <v>400</v>
      </c>
      <c r="G1138" t="s">
        <v>619</v>
      </c>
      <c r="H1138">
        <v>400</v>
      </c>
      <c r="I1138" t="s">
        <v>2607</v>
      </c>
    </row>
    <row r="1139" spans="1:9" x14ac:dyDescent="0.25">
      <c r="A1139" s="91">
        <v>46084</v>
      </c>
      <c r="B1139" t="s">
        <v>2665</v>
      </c>
      <c r="C1139" t="s">
        <v>2543</v>
      </c>
      <c r="D1139" t="s">
        <v>624</v>
      </c>
      <c r="E1139" t="s">
        <v>2797</v>
      </c>
      <c r="F1139">
        <v>6500</v>
      </c>
      <c r="G1139" t="s">
        <v>619</v>
      </c>
      <c r="H1139">
        <v>6500</v>
      </c>
      <c r="I1139" t="s">
        <v>2607</v>
      </c>
    </row>
    <row r="1140" spans="1:9" x14ac:dyDescent="0.25">
      <c r="A1140" s="91">
        <v>46084</v>
      </c>
      <c r="B1140" t="s">
        <v>715</v>
      </c>
      <c r="C1140" t="s">
        <v>3431</v>
      </c>
      <c r="D1140">
        <v>7185</v>
      </c>
      <c r="E1140" t="s">
        <v>717</v>
      </c>
      <c r="F1140">
        <v>55000</v>
      </c>
      <c r="G1140" t="s">
        <v>622</v>
      </c>
      <c r="H1140">
        <v>55000</v>
      </c>
      <c r="I1140" t="s">
        <v>2633</v>
      </c>
    </row>
    <row r="1141" spans="1:9" x14ac:dyDescent="0.25">
      <c r="A1141" s="91">
        <v>46084</v>
      </c>
      <c r="B1141" t="s">
        <v>2624</v>
      </c>
      <c r="C1141" t="s">
        <v>3432</v>
      </c>
      <c r="D1141" t="s">
        <v>2669</v>
      </c>
      <c r="E1141" t="s">
        <v>2670</v>
      </c>
      <c r="F1141">
        <v>3505</v>
      </c>
      <c r="G1141" t="s">
        <v>619</v>
      </c>
      <c r="H1141">
        <v>3505</v>
      </c>
      <c r="I1141" t="s">
        <v>2607</v>
      </c>
    </row>
    <row r="1142" spans="1:9" x14ac:dyDescent="0.25">
      <c r="A1142" s="91">
        <v>46084</v>
      </c>
      <c r="B1142" t="s">
        <v>682</v>
      </c>
      <c r="C1142" t="s">
        <v>3433</v>
      </c>
      <c r="D1142">
        <v>7279</v>
      </c>
      <c r="E1142" t="s">
        <v>754</v>
      </c>
      <c r="F1142">
        <v>29000</v>
      </c>
      <c r="G1142" t="s">
        <v>622</v>
      </c>
      <c r="H1142">
        <v>29000</v>
      </c>
      <c r="I1142" t="s">
        <v>2633</v>
      </c>
    </row>
    <row r="1143" spans="1:9" x14ac:dyDescent="0.25">
      <c r="A1143" s="91">
        <v>46084</v>
      </c>
      <c r="B1143" t="s">
        <v>688</v>
      </c>
      <c r="C1143" t="s">
        <v>3434</v>
      </c>
      <c r="D1143">
        <v>7746</v>
      </c>
      <c r="E1143" t="s">
        <v>692</v>
      </c>
      <c r="F1143">
        <v>68000</v>
      </c>
      <c r="G1143" t="s">
        <v>622</v>
      </c>
      <c r="H1143">
        <v>68000</v>
      </c>
      <c r="I1143" t="s">
        <v>2633</v>
      </c>
    </row>
    <row r="1144" spans="1:9" x14ac:dyDescent="0.25">
      <c r="A1144" s="91">
        <v>46084</v>
      </c>
      <c r="B1144">
        <v>7002</v>
      </c>
      <c r="C1144" t="s">
        <v>3435</v>
      </c>
      <c r="D1144">
        <v>961515</v>
      </c>
      <c r="E1144" t="s">
        <v>2691</v>
      </c>
      <c r="F1144">
        <v>325</v>
      </c>
      <c r="G1144" t="s">
        <v>619</v>
      </c>
      <c r="H1144">
        <v>325</v>
      </c>
      <c r="I1144" t="s">
        <v>2607</v>
      </c>
    </row>
    <row r="1145" spans="1:9" x14ac:dyDescent="0.25">
      <c r="A1145" s="91">
        <v>46084</v>
      </c>
      <c r="B1145" t="s">
        <v>2665</v>
      </c>
      <c r="C1145" t="s">
        <v>2584</v>
      </c>
      <c r="D1145" t="s">
        <v>1405</v>
      </c>
      <c r="E1145" t="s">
        <v>2709</v>
      </c>
      <c r="F1145">
        <v>4500</v>
      </c>
      <c r="G1145" t="s">
        <v>619</v>
      </c>
      <c r="H1145">
        <v>4500</v>
      </c>
      <c r="I1145" t="s">
        <v>2607</v>
      </c>
    </row>
    <row r="1146" spans="1:9" x14ac:dyDescent="0.25">
      <c r="A1146" s="91">
        <v>46085</v>
      </c>
      <c r="B1146" t="s">
        <v>2610</v>
      </c>
      <c r="C1146" t="s">
        <v>3436</v>
      </c>
      <c r="D1146" t="s">
        <v>2556</v>
      </c>
      <c r="E1146" t="s">
        <v>2557</v>
      </c>
      <c r="F1146">
        <v>7500</v>
      </c>
      <c r="G1146" t="s">
        <v>619</v>
      </c>
      <c r="H1146">
        <v>7500</v>
      </c>
      <c r="I1146" t="s">
        <v>2607</v>
      </c>
    </row>
    <row r="1147" spans="1:9" x14ac:dyDescent="0.25">
      <c r="A1147" s="91">
        <v>46085</v>
      </c>
      <c r="B1147" t="s">
        <v>2610</v>
      </c>
      <c r="C1147" t="s">
        <v>3437</v>
      </c>
      <c r="D1147">
        <v>517660</v>
      </c>
      <c r="E1147" t="s">
        <v>2215</v>
      </c>
      <c r="F1147">
        <v>14585</v>
      </c>
      <c r="G1147" t="s">
        <v>619</v>
      </c>
      <c r="H1147">
        <v>14585</v>
      </c>
      <c r="I1147" t="s">
        <v>2607</v>
      </c>
    </row>
    <row r="1148" spans="1:9" x14ac:dyDescent="0.25">
      <c r="A1148" s="91">
        <v>46085</v>
      </c>
      <c r="B1148" t="s">
        <v>2617</v>
      </c>
      <c r="C1148" t="s">
        <v>3438</v>
      </c>
      <c r="D1148">
        <v>5150010451</v>
      </c>
      <c r="E1148" t="s">
        <v>2706</v>
      </c>
      <c r="F1148">
        <v>2256</v>
      </c>
      <c r="G1148" t="s">
        <v>619</v>
      </c>
      <c r="H1148">
        <v>2256</v>
      </c>
      <c r="I1148" t="s">
        <v>2607</v>
      </c>
    </row>
    <row r="1149" spans="1:9" x14ac:dyDescent="0.25">
      <c r="A1149" s="91">
        <v>46085</v>
      </c>
      <c r="B1149" t="s">
        <v>2658</v>
      </c>
      <c r="C1149" t="s">
        <v>2181</v>
      </c>
      <c r="D1149" t="s">
        <v>639</v>
      </c>
      <c r="E1149" t="s">
        <v>640</v>
      </c>
      <c r="F1149">
        <v>2500</v>
      </c>
      <c r="G1149" t="s">
        <v>619</v>
      </c>
      <c r="H1149">
        <v>2500</v>
      </c>
      <c r="I1149" t="s">
        <v>2607</v>
      </c>
    </row>
    <row r="1150" spans="1:9" x14ac:dyDescent="0.25">
      <c r="A1150" s="91">
        <v>46085</v>
      </c>
      <c r="B1150" t="s">
        <v>2680</v>
      </c>
      <c r="C1150" t="s">
        <v>3439</v>
      </c>
      <c r="D1150">
        <v>900403</v>
      </c>
      <c r="E1150" t="s">
        <v>2682</v>
      </c>
      <c r="F1150">
        <v>480</v>
      </c>
      <c r="G1150" t="s">
        <v>619</v>
      </c>
      <c r="H1150">
        <v>480</v>
      </c>
      <c r="I1150" t="s">
        <v>2607</v>
      </c>
    </row>
    <row r="1151" spans="1:9" x14ac:dyDescent="0.25">
      <c r="A1151" s="91">
        <v>46085</v>
      </c>
      <c r="B1151" t="s">
        <v>2680</v>
      </c>
      <c r="C1151" t="s">
        <v>3440</v>
      </c>
      <c r="D1151">
        <v>900401</v>
      </c>
      <c r="E1151" t="s">
        <v>2741</v>
      </c>
      <c r="F1151">
        <v>480</v>
      </c>
      <c r="G1151" t="s">
        <v>619</v>
      </c>
      <c r="H1151">
        <v>480</v>
      </c>
      <c r="I1151" t="s">
        <v>2607</v>
      </c>
    </row>
    <row r="1152" spans="1:9" x14ac:dyDescent="0.25">
      <c r="A1152" s="91">
        <v>46085</v>
      </c>
      <c r="B1152" t="s">
        <v>2610</v>
      </c>
      <c r="C1152" t="s">
        <v>3441</v>
      </c>
      <c r="D1152" t="s">
        <v>2544</v>
      </c>
      <c r="E1152" t="s">
        <v>2545</v>
      </c>
      <c r="F1152">
        <v>7500</v>
      </c>
      <c r="G1152" t="s">
        <v>619</v>
      </c>
      <c r="H1152">
        <v>7500</v>
      </c>
      <c r="I1152" t="s">
        <v>2607</v>
      </c>
    </row>
    <row r="1153" spans="1:9" x14ac:dyDescent="0.25">
      <c r="A1153" s="91">
        <v>46085</v>
      </c>
      <c r="B1153" t="s">
        <v>2658</v>
      </c>
      <c r="C1153" t="s">
        <v>3442</v>
      </c>
      <c r="D1153" t="s">
        <v>637</v>
      </c>
      <c r="E1153" t="s">
        <v>638</v>
      </c>
      <c r="F1153">
        <v>500</v>
      </c>
      <c r="G1153" t="s">
        <v>619</v>
      </c>
      <c r="H1153">
        <v>500</v>
      </c>
      <c r="I1153" t="s">
        <v>2607</v>
      </c>
    </row>
    <row r="1154" spans="1:9" x14ac:dyDescent="0.25">
      <c r="A1154" s="91">
        <v>46085</v>
      </c>
      <c r="B1154" t="s">
        <v>2614</v>
      </c>
      <c r="C1154" t="s">
        <v>3443</v>
      </c>
      <c r="D1154">
        <v>900400</v>
      </c>
      <c r="E1154" t="s">
        <v>2901</v>
      </c>
      <c r="F1154">
        <v>135</v>
      </c>
      <c r="G1154" t="s">
        <v>619</v>
      </c>
      <c r="H1154">
        <v>135</v>
      </c>
      <c r="I1154" t="s">
        <v>2607</v>
      </c>
    </row>
    <row r="1155" spans="1:9" x14ac:dyDescent="0.25">
      <c r="A1155" s="91">
        <v>46085</v>
      </c>
      <c r="B1155" t="s">
        <v>685</v>
      </c>
      <c r="C1155" t="s">
        <v>3444</v>
      </c>
      <c r="D1155">
        <v>7373</v>
      </c>
      <c r="E1155" t="s">
        <v>783</v>
      </c>
      <c r="F1155">
        <v>25000</v>
      </c>
      <c r="G1155" t="s">
        <v>622</v>
      </c>
      <c r="H1155">
        <v>25000</v>
      </c>
      <c r="I1155" t="s">
        <v>2633</v>
      </c>
    </row>
    <row r="1156" spans="1:9" x14ac:dyDescent="0.25">
      <c r="A1156" s="91">
        <v>46085</v>
      </c>
      <c r="B1156" t="s">
        <v>2610</v>
      </c>
      <c r="C1156" t="s">
        <v>3445</v>
      </c>
      <c r="D1156" t="s">
        <v>2546</v>
      </c>
      <c r="E1156" t="s">
        <v>2547</v>
      </c>
      <c r="F1156">
        <v>7500</v>
      </c>
      <c r="G1156" t="s">
        <v>619</v>
      </c>
      <c r="H1156">
        <v>7500</v>
      </c>
      <c r="I1156" t="s">
        <v>2607</v>
      </c>
    </row>
    <row r="1157" spans="1:9" x14ac:dyDescent="0.25">
      <c r="A1157" s="91">
        <v>46085</v>
      </c>
      <c r="B1157" t="s">
        <v>2665</v>
      </c>
      <c r="C1157" t="s">
        <v>2505</v>
      </c>
      <c r="D1157" t="s">
        <v>641</v>
      </c>
      <c r="E1157" t="s">
        <v>2917</v>
      </c>
      <c r="F1157">
        <v>6500</v>
      </c>
      <c r="G1157" t="s">
        <v>619</v>
      </c>
      <c r="H1157">
        <v>6500</v>
      </c>
      <c r="I1157" t="s">
        <v>2607</v>
      </c>
    </row>
    <row r="1158" spans="1:9" x14ac:dyDescent="0.25">
      <c r="A1158" s="91">
        <v>46085</v>
      </c>
      <c r="B1158" t="s">
        <v>2665</v>
      </c>
      <c r="C1158" t="s">
        <v>3446</v>
      </c>
      <c r="D1158" t="s">
        <v>3447</v>
      </c>
      <c r="E1158" t="s">
        <v>3448</v>
      </c>
      <c r="F1158">
        <v>4500</v>
      </c>
      <c r="G1158" t="s">
        <v>619</v>
      </c>
      <c r="H1158">
        <v>4500</v>
      </c>
      <c r="I1158" t="s">
        <v>2607</v>
      </c>
    </row>
    <row r="1159" spans="1:9" x14ac:dyDescent="0.25">
      <c r="A1159" s="91">
        <v>46085</v>
      </c>
      <c r="B1159" t="s">
        <v>2736</v>
      </c>
      <c r="C1159" t="s">
        <v>2516</v>
      </c>
      <c r="D1159" t="s">
        <v>2129</v>
      </c>
      <c r="E1159" t="s">
        <v>2130</v>
      </c>
      <c r="F1159">
        <v>500</v>
      </c>
      <c r="G1159" t="s">
        <v>622</v>
      </c>
      <c r="H1159">
        <v>500</v>
      </c>
      <c r="I1159" t="s">
        <v>2607</v>
      </c>
    </row>
    <row r="1160" spans="1:9" x14ac:dyDescent="0.25">
      <c r="A1160" s="91">
        <v>46085</v>
      </c>
      <c r="B1160" t="s">
        <v>2621</v>
      </c>
      <c r="C1160" t="s">
        <v>3449</v>
      </c>
      <c r="D1160">
        <v>529300</v>
      </c>
      <c r="E1160" t="s">
        <v>2623</v>
      </c>
      <c r="F1160">
        <v>10416</v>
      </c>
      <c r="G1160" t="s">
        <v>619</v>
      </c>
      <c r="H1160">
        <v>10416</v>
      </c>
      <c r="I1160" t="s">
        <v>2607</v>
      </c>
    </row>
    <row r="1161" spans="1:9" x14ac:dyDescent="0.25">
      <c r="A1161" s="91">
        <v>46085</v>
      </c>
      <c r="B1161" t="s">
        <v>2624</v>
      </c>
      <c r="C1161" t="s">
        <v>3450</v>
      </c>
      <c r="D1161" t="s">
        <v>2650</v>
      </c>
      <c r="E1161" t="s">
        <v>2651</v>
      </c>
      <c r="F1161">
        <v>800</v>
      </c>
      <c r="G1161" t="s">
        <v>619</v>
      </c>
      <c r="H1161">
        <v>800</v>
      </c>
      <c r="I1161" t="s">
        <v>2607</v>
      </c>
    </row>
    <row r="1162" spans="1:9" x14ac:dyDescent="0.25">
      <c r="A1162" s="91">
        <v>46085</v>
      </c>
      <c r="B1162" t="s">
        <v>679</v>
      </c>
      <c r="C1162" t="s">
        <v>3451</v>
      </c>
      <c r="D1162">
        <v>7213</v>
      </c>
      <c r="E1162" t="s">
        <v>719</v>
      </c>
      <c r="F1162">
        <v>85000</v>
      </c>
      <c r="G1162" t="s">
        <v>622</v>
      </c>
      <c r="H1162">
        <v>85000</v>
      </c>
      <c r="I1162" t="s">
        <v>2633</v>
      </c>
    </row>
    <row r="1163" spans="1:9" x14ac:dyDescent="0.25">
      <c r="A1163" s="91">
        <v>46085</v>
      </c>
      <c r="B1163" t="s">
        <v>682</v>
      </c>
      <c r="C1163" t="s">
        <v>3452</v>
      </c>
      <c r="D1163">
        <v>7304</v>
      </c>
      <c r="E1163" t="s">
        <v>770</v>
      </c>
      <c r="F1163">
        <v>27000</v>
      </c>
      <c r="G1163" t="s">
        <v>622</v>
      </c>
      <c r="H1163">
        <v>27000</v>
      </c>
      <c r="I1163" t="s">
        <v>2633</v>
      </c>
    </row>
    <row r="1164" spans="1:9" x14ac:dyDescent="0.25">
      <c r="A1164" s="91">
        <v>46085</v>
      </c>
      <c r="B1164" t="s">
        <v>688</v>
      </c>
      <c r="C1164" t="s">
        <v>3453</v>
      </c>
      <c r="D1164">
        <v>7746</v>
      </c>
      <c r="E1164" t="s">
        <v>692</v>
      </c>
      <c r="F1164">
        <v>68000</v>
      </c>
      <c r="G1164" t="s">
        <v>622</v>
      </c>
      <c r="H1164">
        <v>68000</v>
      </c>
      <c r="I1164" t="s">
        <v>2633</v>
      </c>
    </row>
    <row r="1165" spans="1:9" x14ac:dyDescent="0.25">
      <c r="A1165" s="91">
        <v>46085</v>
      </c>
      <c r="B1165">
        <v>7002</v>
      </c>
      <c r="C1165" t="s">
        <v>3454</v>
      </c>
      <c r="D1165">
        <v>961515</v>
      </c>
      <c r="E1165" t="s">
        <v>2691</v>
      </c>
      <c r="F1165">
        <v>325</v>
      </c>
      <c r="G1165" t="s">
        <v>619</v>
      </c>
      <c r="H1165">
        <v>325</v>
      </c>
      <c r="I1165" t="s">
        <v>2607</v>
      </c>
    </row>
    <row r="1166" spans="1:9" x14ac:dyDescent="0.25">
      <c r="A1166" s="91">
        <v>46085</v>
      </c>
      <c r="B1166" t="s">
        <v>2665</v>
      </c>
      <c r="C1166" t="s">
        <v>3455</v>
      </c>
      <c r="D1166" t="s">
        <v>3456</v>
      </c>
      <c r="E1166" t="s">
        <v>3457</v>
      </c>
      <c r="F1166">
        <v>400</v>
      </c>
      <c r="G1166" t="s">
        <v>619</v>
      </c>
      <c r="H1166">
        <v>400</v>
      </c>
      <c r="I1166" t="s">
        <v>2607</v>
      </c>
    </row>
    <row r="1167" spans="1:9" x14ac:dyDescent="0.25">
      <c r="A1167" s="91">
        <v>46086</v>
      </c>
      <c r="B1167" t="s">
        <v>81</v>
      </c>
      <c r="C1167" t="s">
        <v>3458</v>
      </c>
      <c r="D1167">
        <v>2244</v>
      </c>
      <c r="E1167" t="s">
        <v>795</v>
      </c>
      <c r="F1167">
        <v>72</v>
      </c>
      <c r="G1167" t="s">
        <v>622</v>
      </c>
      <c r="H1167">
        <v>72</v>
      </c>
      <c r="I1167" t="s">
        <v>2607</v>
      </c>
    </row>
    <row r="1168" spans="1:9" x14ac:dyDescent="0.25">
      <c r="A1168" s="91">
        <v>46086</v>
      </c>
      <c r="B1168" t="s">
        <v>81</v>
      </c>
      <c r="C1168" t="s">
        <v>3459</v>
      </c>
      <c r="D1168">
        <v>2252</v>
      </c>
      <c r="E1168" t="s">
        <v>799</v>
      </c>
      <c r="F1168">
        <v>60</v>
      </c>
      <c r="G1168" t="s">
        <v>622</v>
      </c>
      <c r="H1168">
        <v>60</v>
      </c>
      <c r="I1168" t="s">
        <v>2607</v>
      </c>
    </row>
    <row r="1169" spans="1:9" x14ac:dyDescent="0.25">
      <c r="A1169" s="91">
        <v>46086</v>
      </c>
      <c r="B1169" t="s">
        <v>81</v>
      </c>
      <c r="C1169" t="s">
        <v>3460</v>
      </c>
      <c r="D1169">
        <v>2248</v>
      </c>
      <c r="E1169" t="s">
        <v>751</v>
      </c>
      <c r="F1169">
        <v>108</v>
      </c>
      <c r="G1169" t="s">
        <v>622</v>
      </c>
      <c r="H1169">
        <v>108</v>
      </c>
      <c r="I1169" t="s">
        <v>2607</v>
      </c>
    </row>
    <row r="1170" spans="1:9" x14ac:dyDescent="0.25">
      <c r="A1170" s="91">
        <v>46086</v>
      </c>
      <c r="B1170" t="s">
        <v>81</v>
      </c>
      <c r="C1170" t="s">
        <v>3461</v>
      </c>
      <c r="D1170">
        <v>2250</v>
      </c>
      <c r="E1170" t="s">
        <v>797</v>
      </c>
      <c r="F1170">
        <v>96</v>
      </c>
      <c r="G1170" t="s">
        <v>622</v>
      </c>
      <c r="H1170">
        <v>96</v>
      </c>
      <c r="I1170" t="s">
        <v>2607</v>
      </c>
    </row>
    <row r="1171" spans="1:9" x14ac:dyDescent="0.25">
      <c r="A1171" s="91">
        <v>46086</v>
      </c>
      <c r="B1171" t="s">
        <v>81</v>
      </c>
      <c r="C1171" t="s">
        <v>3462</v>
      </c>
      <c r="D1171">
        <v>2230</v>
      </c>
      <c r="E1171" t="s">
        <v>749</v>
      </c>
      <c r="F1171">
        <v>48</v>
      </c>
      <c r="G1171" t="s">
        <v>622</v>
      </c>
      <c r="H1171">
        <v>48</v>
      </c>
      <c r="I1171" t="s">
        <v>2607</v>
      </c>
    </row>
    <row r="1172" spans="1:9" x14ac:dyDescent="0.25">
      <c r="A1172" s="91">
        <v>46086</v>
      </c>
      <c r="B1172" t="s">
        <v>81</v>
      </c>
      <c r="C1172" t="s">
        <v>3463</v>
      </c>
      <c r="D1172">
        <v>2240</v>
      </c>
      <c r="E1172" t="s">
        <v>762</v>
      </c>
      <c r="F1172">
        <v>48</v>
      </c>
      <c r="G1172" t="s">
        <v>622</v>
      </c>
      <c r="H1172">
        <v>48</v>
      </c>
      <c r="I1172" t="s">
        <v>2607</v>
      </c>
    </row>
    <row r="1173" spans="1:9" x14ac:dyDescent="0.25">
      <c r="A1173" s="91">
        <v>46086</v>
      </c>
      <c r="B1173" t="s">
        <v>2614</v>
      </c>
      <c r="C1173" t="s">
        <v>3464</v>
      </c>
      <c r="D1173">
        <v>900400</v>
      </c>
      <c r="E1173" t="s">
        <v>2901</v>
      </c>
      <c r="F1173">
        <v>135</v>
      </c>
      <c r="G1173" t="s">
        <v>619</v>
      </c>
      <c r="H1173">
        <v>135</v>
      </c>
      <c r="I1173" t="s">
        <v>2607</v>
      </c>
    </row>
    <row r="1174" spans="1:9" x14ac:dyDescent="0.25">
      <c r="A1174" s="91">
        <v>46086</v>
      </c>
      <c r="B1174" t="s">
        <v>81</v>
      </c>
      <c r="C1174" t="s">
        <v>3465</v>
      </c>
      <c r="D1174">
        <v>2208</v>
      </c>
      <c r="E1174" t="s">
        <v>758</v>
      </c>
      <c r="F1174">
        <v>264</v>
      </c>
      <c r="G1174" t="s">
        <v>622</v>
      </c>
      <c r="H1174">
        <v>264</v>
      </c>
      <c r="I1174" t="s">
        <v>2607</v>
      </c>
    </row>
    <row r="1175" spans="1:9" x14ac:dyDescent="0.25">
      <c r="A1175" s="91">
        <v>46086</v>
      </c>
      <c r="B1175" t="s">
        <v>2658</v>
      </c>
      <c r="C1175" t="s">
        <v>3466</v>
      </c>
      <c r="D1175" t="s">
        <v>637</v>
      </c>
      <c r="E1175" t="s">
        <v>638</v>
      </c>
      <c r="F1175">
        <v>2500</v>
      </c>
      <c r="G1175" t="s">
        <v>619</v>
      </c>
      <c r="H1175">
        <v>2500</v>
      </c>
      <c r="I1175" t="s">
        <v>2607</v>
      </c>
    </row>
    <row r="1176" spans="1:9" x14ac:dyDescent="0.25">
      <c r="A1176" s="91">
        <v>46086</v>
      </c>
      <c r="B1176" t="s">
        <v>2617</v>
      </c>
      <c r="C1176" t="s">
        <v>3467</v>
      </c>
      <c r="D1176">
        <v>5150010451</v>
      </c>
      <c r="E1176" t="s">
        <v>2706</v>
      </c>
      <c r="F1176">
        <v>2256</v>
      </c>
      <c r="G1176" t="s">
        <v>619</v>
      </c>
      <c r="H1176">
        <v>2256</v>
      </c>
      <c r="I1176" t="s">
        <v>2607</v>
      </c>
    </row>
    <row r="1177" spans="1:9" x14ac:dyDescent="0.25">
      <c r="A1177" s="91">
        <v>46086</v>
      </c>
      <c r="B1177" t="s">
        <v>2680</v>
      </c>
      <c r="C1177" t="s">
        <v>3468</v>
      </c>
      <c r="D1177">
        <v>900403</v>
      </c>
      <c r="E1177" t="s">
        <v>2682</v>
      </c>
      <c r="F1177">
        <v>480</v>
      </c>
      <c r="G1177" t="s">
        <v>619</v>
      </c>
      <c r="H1177">
        <v>480</v>
      </c>
      <c r="I1177" t="s">
        <v>2607</v>
      </c>
    </row>
    <row r="1178" spans="1:9" x14ac:dyDescent="0.25">
      <c r="A1178" s="91">
        <v>46086</v>
      </c>
      <c r="B1178" t="s">
        <v>81</v>
      </c>
      <c r="C1178" t="s">
        <v>3469</v>
      </c>
      <c r="D1178">
        <v>2238</v>
      </c>
      <c r="E1178" t="s">
        <v>760</v>
      </c>
      <c r="F1178">
        <v>48</v>
      </c>
      <c r="G1178" t="s">
        <v>622</v>
      </c>
      <c r="H1178">
        <v>48</v>
      </c>
      <c r="I1178" t="s">
        <v>2607</v>
      </c>
    </row>
    <row r="1179" spans="1:9" x14ac:dyDescent="0.25">
      <c r="A1179" s="91">
        <v>46086</v>
      </c>
      <c r="B1179" t="s">
        <v>81</v>
      </c>
      <c r="C1179" t="s">
        <v>3470</v>
      </c>
      <c r="D1179">
        <v>2246</v>
      </c>
      <c r="E1179" t="s">
        <v>764</v>
      </c>
      <c r="F1179">
        <v>60</v>
      </c>
      <c r="G1179" t="s">
        <v>622</v>
      </c>
      <c r="H1179">
        <v>60</v>
      </c>
      <c r="I1179" t="s">
        <v>2607</v>
      </c>
    </row>
    <row r="1180" spans="1:9" x14ac:dyDescent="0.25">
      <c r="A1180" s="91">
        <v>46086</v>
      </c>
      <c r="B1180" t="s">
        <v>81</v>
      </c>
      <c r="C1180" t="s">
        <v>3471</v>
      </c>
      <c r="D1180">
        <v>2206</v>
      </c>
      <c r="E1180" t="s">
        <v>787</v>
      </c>
      <c r="F1180">
        <v>216</v>
      </c>
      <c r="G1180" t="s">
        <v>622</v>
      </c>
      <c r="H1180">
        <v>216</v>
      </c>
      <c r="I1180" t="s">
        <v>2607</v>
      </c>
    </row>
    <row r="1181" spans="1:9" x14ac:dyDescent="0.25">
      <c r="A1181" s="91">
        <v>46086</v>
      </c>
      <c r="B1181" t="s">
        <v>2621</v>
      </c>
      <c r="C1181" t="s">
        <v>3472</v>
      </c>
      <c r="D1181">
        <v>528400</v>
      </c>
      <c r="E1181" t="s">
        <v>3045</v>
      </c>
      <c r="F1181">
        <v>10416</v>
      </c>
      <c r="G1181" t="s">
        <v>619</v>
      </c>
      <c r="H1181">
        <v>10416</v>
      </c>
      <c r="I1181" t="s">
        <v>2607</v>
      </c>
    </row>
    <row r="1182" spans="1:9" x14ac:dyDescent="0.25">
      <c r="A1182" s="91">
        <v>46086</v>
      </c>
      <c r="B1182" t="s">
        <v>81</v>
      </c>
      <c r="C1182" t="s">
        <v>3473</v>
      </c>
      <c r="D1182">
        <v>2202</v>
      </c>
      <c r="E1182" t="s">
        <v>772</v>
      </c>
      <c r="F1182">
        <v>228</v>
      </c>
      <c r="G1182" t="s">
        <v>622</v>
      </c>
      <c r="H1182">
        <v>228</v>
      </c>
      <c r="I1182" t="s">
        <v>2607</v>
      </c>
    </row>
    <row r="1183" spans="1:9" x14ac:dyDescent="0.25">
      <c r="A1183" s="91">
        <v>46086</v>
      </c>
      <c r="B1183" t="s">
        <v>81</v>
      </c>
      <c r="C1183" t="s">
        <v>3474</v>
      </c>
      <c r="D1183">
        <v>2232</v>
      </c>
      <c r="E1183" t="s">
        <v>778</v>
      </c>
      <c r="F1183">
        <v>72</v>
      </c>
      <c r="G1183" t="s">
        <v>622</v>
      </c>
      <c r="H1183">
        <v>72</v>
      </c>
      <c r="I1183" t="s">
        <v>2607</v>
      </c>
    </row>
    <row r="1184" spans="1:9" x14ac:dyDescent="0.25">
      <c r="A1184" s="91">
        <v>46086</v>
      </c>
      <c r="B1184" t="s">
        <v>688</v>
      </c>
      <c r="C1184" t="s">
        <v>3475</v>
      </c>
      <c r="D1184">
        <v>7746</v>
      </c>
      <c r="E1184" t="s">
        <v>692</v>
      </c>
      <c r="F1184">
        <v>68000</v>
      </c>
      <c r="G1184" t="s">
        <v>622</v>
      </c>
      <c r="H1184">
        <v>68000</v>
      </c>
      <c r="I1184" t="s">
        <v>2633</v>
      </c>
    </row>
    <row r="1185" spans="1:9" x14ac:dyDescent="0.25">
      <c r="A1185" s="91">
        <v>46086</v>
      </c>
      <c r="B1185" t="s">
        <v>682</v>
      </c>
      <c r="C1185" t="s">
        <v>3476</v>
      </c>
      <c r="D1185" t="s">
        <v>806</v>
      </c>
      <c r="E1185" t="s">
        <v>807</v>
      </c>
      <c r="F1185">
        <v>28000</v>
      </c>
      <c r="G1185" t="s">
        <v>622</v>
      </c>
      <c r="H1185">
        <v>28000</v>
      </c>
      <c r="I1185" t="s">
        <v>2633</v>
      </c>
    </row>
    <row r="1186" spans="1:9" x14ac:dyDescent="0.25">
      <c r="A1186" s="91">
        <v>46086</v>
      </c>
      <c r="B1186" t="s">
        <v>693</v>
      </c>
      <c r="C1186" t="s">
        <v>3477</v>
      </c>
      <c r="D1186">
        <v>910526</v>
      </c>
      <c r="E1186" t="s">
        <v>1602</v>
      </c>
      <c r="F1186">
        <v>9120</v>
      </c>
      <c r="G1186" t="s">
        <v>619</v>
      </c>
      <c r="H1186">
        <v>9120</v>
      </c>
      <c r="I1186" t="s">
        <v>2607</v>
      </c>
    </row>
    <row r="1187" spans="1:9" x14ac:dyDescent="0.25">
      <c r="A1187" s="91">
        <v>46086</v>
      </c>
      <c r="B1187" t="s">
        <v>693</v>
      </c>
      <c r="C1187" t="s">
        <v>3478</v>
      </c>
      <c r="D1187">
        <v>910326</v>
      </c>
      <c r="E1187" t="s">
        <v>1583</v>
      </c>
      <c r="F1187">
        <v>9120</v>
      </c>
      <c r="G1187" t="s">
        <v>619</v>
      </c>
      <c r="H1187">
        <v>9120</v>
      </c>
      <c r="I1187" t="s">
        <v>2607</v>
      </c>
    </row>
    <row r="1188" spans="1:9" x14ac:dyDescent="0.25">
      <c r="A1188" s="91">
        <v>46086</v>
      </c>
      <c r="B1188" t="s">
        <v>2665</v>
      </c>
      <c r="C1188" t="s">
        <v>3479</v>
      </c>
      <c r="D1188" t="s">
        <v>641</v>
      </c>
      <c r="E1188" t="s">
        <v>2917</v>
      </c>
      <c r="F1188">
        <v>4500</v>
      </c>
      <c r="G1188" t="s">
        <v>619</v>
      </c>
      <c r="H1188">
        <v>4500</v>
      </c>
      <c r="I1188" t="s">
        <v>2607</v>
      </c>
    </row>
    <row r="1189" spans="1:9" x14ac:dyDescent="0.25">
      <c r="A1189" s="91">
        <v>46086</v>
      </c>
      <c r="B1189">
        <v>7002</v>
      </c>
      <c r="C1189" t="s">
        <v>3480</v>
      </c>
      <c r="D1189">
        <v>961515</v>
      </c>
      <c r="E1189" t="s">
        <v>2691</v>
      </c>
      <c r="F1189">
        <v>325</v>
      </c>
      <c r="G1189" t="s">
        <v>619</v>
      </c>
      <c r="H1189">
        <v>325</v>
      </c>
      <c r="I1189" t="s">
        <v>2607</v>
      </c>
    </row>
    <row r="1190" spans="1:9" x14ac:dyDescent="0.25">
      <c r="A1190" s="91">
        <v>46086</v>
      </c>
      <c r="B1190" t="s">
        <v>2665</v>
      </c>
      <c r="C1190" t="s">
        <v>3481</v>
      </c>
      <c r="D1190" t="s">
        <v>820</v>
      </c>
      <c r="E1190" t="s">
        <v>2772</v>
      </c>
      <c r="F1190">
        <v>800</v>
      </c>
      <c r="G1190" t="s">
        <v>619</v>
      </c>
      <c r="H1190">
        <v>800</v>
      </c>
      <c r="I1190" t="s">
        <v>2607</v>
      </c>
    </row>
    <row r="1191" spans="1:9" x14ac:dyDescent="0.25">
      <c r="A1191" s="91">
        <v>46086</v>
      </c>
      <c r="B1191" t="s">
        <v>2665</v>
      </c>
      <c r="C1191" t="s">
        <v>3482</v>
      </c>
      <c r="D1191" t="s">
        <v>2210</v>
      </c>
      <c r="E1191" t="s">
        <v>2963</v>
      </c>
      <c r="F1191">
        <v>400</v>
      </c>
      <c r="G1191" t="s">
        <v>619</v>
      </c>
      <c r="H1191">
        <v>400</v>
      </c>
      <c r="I1191" t="s">
        <v>2607</v>
      </c>
    </row>
    <row r="1192" spans="1:9" x14ac:dyDescent="0.25">
      <c r="A1192" s="91">
        <v>46086</v>
      </c>
      <c r="B1192" t="s">
        <v>2606</v>
      </c>
      <c r="C1192" t="s">
        <v>3483</v>
      </c>
      <c r="D1192">
        <v>220125</v>
      </c>
      <c r="E1192" t="s">
        <v>2700</v>
      </c>
      <c r="F1192">
        <v>4250</v>
      </c>
      <c r="G1192" t="s">
        <v>619</v>
      </c>
      <c r="H1192">
        <v>4250</v>
      </c>
      <c r="I1192" t="s">
        <v>2607</v>
      </c>
    </row>
    <row r="1193" spans="1:9" x14ac:dyDescent="0.25">
      <c r="A1193" s="91">
        <v>46086</v>
      </c>
      <c r="B1193" t="s">
        <v>2608</v>
      </c>
      <c r="C1193" t="s">
        <v>3484</v>
      </c>
      <c r="D1193">
        <v>7016</v>
      </c>
      <c r="E1193" t="s">
        <v>628</v>
      </c>
      <c r="F1193">
        <v>105000</v>
      </c>
      <c r="G1193" t="s">
        <v>622</v>
      </c>
      <c r="H1193">
        <v>105000</v>
      </c>
      <c r="I1193" t="s">
        <v>2609</v>
      </c>
    </row>
    <row r="1194" spans="1:9" x14ac:dyDescent="0.25">
      <c r="A1194" s="91">
        <v>46086</v>
      </c>
      <c r="B1194" t="s">
        <v>2610</v>
      </c>
      <c r="C1194" t="s">
        <v>3485</v>
      </c>
      <c r="D1194">
        <v>517700</v>
      </c>
      <c r="E1194" t="s">
        <v>1397</v>
      </c>
      <c r="F1194">
        <v>14585</v>
      </c>
      <c r="G1194" t="s">
        <v>619</v>
      </c>
      <c r="H1194">
        <v>14585</v>
      </c>
      <c r="I1194" t="s">
        <v>2607</v>
      </c>
    </row>
    <row r="1195" spans="1:9" x14ac:dyDescent="0.25">
      <c r="A1195" s="91">
        <v>46086</v>
      </c>
      <c r="B1195" t="s">
        <v>2665</v>
      </c>
      <c r="C1195" t="s">
        <v>3486</v>
      </c>
      <c r="D1195" t="s">
        <v>819</v>
      </c>
      <c r="E1195" t="s">
        <v>2771</v>
      </c>
      <c r="F1195">
        <v>2833</v>
      </c>
      <c r="G1195" t="s">
        <v>619</v>
      </c>
      <c r="H1195">
        <v>2833</v>
      </c>
      <c r="I1195" t="s">
        <v>2607</v>
      </c>
    </row>
    <row r="1196" spans="1:9" x14ac:dyDescent="0.25">
      <c r="A1196" s="91">
        <v>46087</v>
      </c>
      <c r="B1196" t="s">
        <v>81</v>
      </c>
      <c r="C1196" t="s">
        <v>3487</v>
      </c>
      <c r="D1196">
        <v>2254</v>
      </c>
      <c r="E1196" t="s">
        <v>766</v>
      </c>
      <c r="F1196">
        <v>108</v>
      </c>
      <c r="G1196" t="s">
        <v>622</v>
      </c>
      <c r="H1196">
        <v>108</v>
      </c>
      <c r="I1196" t="s">
        <v>2607</v>
      </c>
    </row>
    <row r="1197" spans="1:9" x14ac:dyDescent="0.25">
      <c r="A1197" s="91">
        <v>46087</v>
      </c>
      <c r="B1197" t="s">
        <v>81</v>
      </c>
      <c r="C1197" t="s">
        <v>3488</v>
      </c>
      <c r="D1197">
        <v>2256</v>
      </c>
      <c r="E1197" t="s">
        <v>801</v>
      </c>
      <c r="F1197">
        <v>60</v>
      </c>
      <c r="G1197" t="s">
        <v>622</v>
      </c>
      <c r="H1197">
        <v>60</v>
      </c>
      <c r="I1197" t="s">
        <v>2607</v>
      </c>
    </row>
    <row r="1198" spans="1:9" x14ac:dyDescent="0.25">
      <c r="A1198" s="91">
        <v>46087</v>
      </c>
      <c r="B1198" t="s">
        <v>81</v>
      </c>
      <c r="C1198" t="s">
        <v>3489</v>
      </c>
      <c r="D1198">
        <v>2210</v>
      </c>
      <c r="E1198" t="s">
        <v>774</v>
      </c>
      <c r="F1198">
        <v>324</v>
      </c>
      <c r="G1198" t="s">
        <v>622</v>
      </c>
      <c r="H1198">
        <v>324</v>
      </c>
      <c r="I1198" t="s">
        <v>2607</v>
      </c>
    </row>
    <row r="1199" spans="1:9" x14ac:dyDescent="0.25">
      <c r="A1199" s="91">
        <v>46087</v>
      </c>
      <c r="B1199" t="s">
        <v>81</v>
      </c>
      <c r="C1199" t="s">
        <v>3490</v>
      </c>
      <c r="D1199">
        <v>2200</v>
      </c>
      <c r="E1199" t="s">
        <v>745</v>
      </c>
      <c r="F1199">
        <v>168</v>
      </c>
      <c r="G1199" t="s">
        <v>622</v>
      </c>
      <c r="H1199">
        <v>168</v>
      </c>
      <c r="I1199" t="s">
        <v>2607</v>
      </c>
    </row>
    <row r="1200" spans="1:9" x14ac:dyDescent="0.25">
      <c r="A1200" s="91">
        <v>46087</v>
      </c>
      <c r="B1200" t="s">
        <v>81</v>
      </c>
      <c r="C1200" t="s">
        <v>3491</v>
      </c>
      <c r="D1200">
        <v>2204</v>
      </c>
      <c r="E1200" t="s">
        <v>747</v>
      </c>
      <c r="F1200">
        <v>252</v>
      </c>
      <c r="G1200" t="s">
        <v>622</v>
      </c>
      <c r="H1200">
        <v>252</v>
      </c>
      <c r="I1200" t="s">
        <v>2607</v>
      </c>
    </row>
    <row r="1201" spans="1:9" x14ac:dyDescent="0.25">
      <c r="A1201" s="91">
        <v>46087</v>
      </c>
      <c r="B1201" t="s">
        <v>81</v>
      </c>
      <c r="C1201" t="s">
        <v>3492</v>
      </c>
      <c r="D1201">
        <v>2212</v>
      </c>
      <c r="E1201" t="s">
        <v>776</v>
      </c>
      <c r="F1201">
        <v>109</v>
      </c>
      <c r="G1201" t="s">
        <v>622</v>
      </c>
      <c r="H1201">
        <v>109</v>
      </c>
      <c r="I1201" t="s">
        <v>2607</v>
      </c>
    </row>
    <row r="1202" spans="1:9" x14ac:dyDescent="0.25">
      <c r="A1202" s="91">
        <v>46087</v>
      </c>
      <c r="B1202" t="s">
        <v>2617</v>
      </c>
      <c r="C1202" t="s">
        <v>3493</v>
      </c>
      <c r="D1202">
        <v>5150010451</v>
      </c>
      <c r="E1202" t="s">
        <v>2706</v>
      </c>
      <c r="F1202">
        <v>2256</v>
      </c>
      <c r="G1202" t="s">
        <v>619</v>
      </c>
      <c r="H1202">
        <v>2256</v>
      </c>
      <c r="I1202" t="s">
        <v>2607</v>
      </c>
    </row>
    <row r="1203" spans="1:9" x14ac:dyDescent="0.25">
      <c r="A1203" s="91">
        <v>46087</v>
      </c>
      <c r="B1203" t="s">
        <v>2658</v>
      </c>
      <c r="C1203" t="s">
        <v>3494</v>
      </c>
      <c r="D1203" t="s">
        <v>637</v>
      </c>
      <c r="E1203" t="s">
        <v>638</v>
      </c>
      <c r="F1203">
        <v>1900</v>
      </c>
      <c r="G1203" t="s">
        <v>619</v>
      </c>
      <c r="H1203">
        <v>1900</v>
      </c>
      <c r="I1203" t="s">
        <v>2607</v>
      </c>
    </row>
    <row r="1204" spans="1:9" x14ac:dyDescent="0.25">
      <c r="A1204" s="91">
        <v>46087</v>
      </c>
      <c r="B1204" t="s">
        <v>81</v>
      </c>
      <c r="C1204" t="s">
        <v>3495</v>
      </c>
      <c r="D1204">
        <v>2242</v>
      </c>
      <c r="E1204" t="s">
        <v>793</v>
      </c>
      <c r="F1204">
        <v>192</v>
      </c>
      <c r="G1204" t="s">
        <v>622</v>
      </c>
      <c r="H1204">
        <v>192</v>
      </c>
      <c r="I1204" t="s">
        <v>2607</v>
      </c>
    </row>
    <row r="1205" spans="1:9" x14ac:dyDescent="0.25">
      <c r="A1205" s="91">
        <v>46087</v>
      </c>
      <c r="B1205" t="s">
        <v>81</v>
      </c>
      <c r="C1205" t="s">
        <v>3496</v>
      </c>
      <c r="D1205">
        <v>2236</v>
      </c>
      <c r="E1205" t="s">
        <v>791</v>
      </c>
      <c r="F1205">
        <v>60</v>
      </c>
      <c r="G1205" t="s">
        <v>622</v>
      </c>
      <c r="H1205">
        <v>60</v>
      </c>
      <c r="I1205" t="s">
        <v>2607</v>
      </c>
    </row>
    <row r="1206" spans="1:9" x14ac:dyDescent="0.25">
      <c r="A1206" s="91">
        <v>46087</v>
      </c>
      <c r="B1206" t="s">
        <v>2610</v>
      </c>
      <c r="C1206" t="s">
        <v>3497</v>
      </c>
      <c r="D1206" t="s">
        <v>2544</v>
      </c>
      <c r="E1206" t="s">
        <v>2545</v>
      </c>
      <c r="F1206">
        <v>5000</v>
      </c>
      <c r="G1206" t="s">
        <v>619</v>
      </c>
      <c r="H1206">
        <v>5000</v>
      </c>
      <c r="I1206" t="s">
        <v>2607</v>
      </c>
    </row>
    <row r="1207" spans="1:9" x14ac:dyDescent="0.25">
      <c r="A1207" s="91">
        <v>46087</v>
      </c>
      <c r="B1207" t="s">
        <v>2614</v>
      </c>
      <c r="C1207" t="s">
        <v>3498</v>
      </c>
      <c r="D1207">
        <v>900400</v>
      </c>
      <c r="E1207" t="s">
        <v>2901</v>
      </c>
      <c r="F1207">
        <v>135</v>
      </c>
      <c r="G1207" t="s">
        <v>619</v>
      </c>
      <c r="H1207">
        <v>135</v>
      </c>
      <c r="I1207" t="s">
        <v>2607</v>
      </c>
    </row>
    <row r="1208" spans="1:9" x14ac:dyDescent="0.25">
      <c r="A1208" s="91">
        <v>46087</v>
      </c>
      <c r="B1208" t="s">
        <v>2608</v>
      </c>
      <c r="C1208" t="s">
        <v>3499</v>
      </c>
      <c r="D1208">
        <v>79500</v>
      </c>
      <c r="E1208" t="s">
        <v>625</v>
      </c>
      <c r="F1208">
        <v>105000</v>
      </c>
      <c r="G1208" t="s">
        <v>622</v>
      </c>
      <c r="H1208">
        <v>105000</v>
      </c>
      <c r="I1208" t="s">
        <v>2609</v>
      </c>
    </row>
    <row r="1209" spans="1:9" x14ac:dyDescent="0.25">
      <c r="A1209" s="91">
        <v>46087</v>
      </c>
      <c r="B1209" t="s">
        <v>688</v>
      </c>
      <c r="C1209" t="s">
        <v>3500</v>
      </c>
      <c r="D1209">
        <v>7746</v>
      </c>
      <c r="E1209" t="s">
        <v>692</v>
      </c>
      <c r="F1209">
        <v>68000</v>
      </c>
      <c r="G1209" t="s">
        <v>622</v>
      </c>
      <c r="H1209">
        <v>68000</v>
      </c>
      <c r="I1209" t="s">
        <v>2633</v>
      </c>
    </row>
    <row r="1210" spans="1:9" x14ac:dyDescent="0.25">
      <c r="A1210" s="91">
        <v>46087</v>
      </c>
      <c r="B1210" t="s">
        <v>682</v>
      </c>
      <c r="C1210" t="s">
        <v>3501</v>
      </c>
      <c r="D1210">
        <v>7552</v>
      </c>
      <c r="E1210" t="s">
        <v>2752</v>
      </c>
      <c r="F1210">
        <v>24000</v>
      </c>
      <c r="G1210" t="s">
        <v>622</v>
      </c>
      <c r="H1210">
        <v>24000</v>
      </c>
      <c r="I1210" t="s">
        <v>2633</v>
      </c>
    </row>
    <row r="1211" spans="1:9" x14ac:dyDescent="0.25">
      <c r="A1211" s="91">
        <v>46087</v>
      </c>
      <c r="B1211" t="s">
        <v>2621</v>
      </c>
      <c r="C1211" t="s">
        <v>3502</v>
      </c>
      <c r="D1211">
        <v>528400</v>
      </c>
      <c r="E1211" t="s">
        <v>3045</v>
      </c>
      <c r="F1211">
        <v>10416</v>
      </c>
      <c r="G1211" t="s">
        <v>619</v>
      </c>
      <c r="H1211">
        <v>10416</v>
      </c>
      <c r="I1211" t="s">
        <v>2607</v>
      </c>
    </row>
    <row r="1212" spans="1:9" x14ac:dyDescent="0.25">
      <c r="A1212" s="91">
        <v>46087</v>
      </c>
      <c r="B1212" t="s">
        <v>2665</v>
      </c>
      <c r="C1212" t="s">
        <v>2572</v>
      </c>
      <c r="D1212" t="s">
        <v>916</v>
      </c>
      <c r="E1212" t="s">
        <v>2666</v>
      </c>
      <c r="F1212">
        <v>4500</v>
      </c>
      <c r="G1212" t="s">
        <v>619</v>
      </c>
      <c r="H1212">
        <v>4500</v>
      </c>
      <c r="I1212" t="s">
        <v>2607</v>
      </c>
    </row>
    <row r="1213" spans="1:9" x14ac:dyDescent="0.25">
      <c r="A1213" s="91">
        <v>46087</v>
      </c>
      <c r="B1213">
        <v>7002</v>
      </c>
      <c r="C1213" t="s">
        <v>3503</v>
      </c>
      <c r="D1213">
        <v>961515</v>
      </c>
      <c r="E1213" t="s">
        <v>2691</v>
      </c>
      <c r="F1213">
        <v>325</v>
      </c>
      <c r="G1213" t="s">
        <v>619</v>
      </c>
      <c r="H1213">
        <v>325</v>
      </c>
      <c r="I1213" t="s">
        <v>2607</v>
      </c>
    </row>
    <row r="1214" spans="1:9" x14ac:dyDescent="0.25">
      <c r="A1214" s="91">
        <v>46087</v>
      </c>
      <c r="B1214" t="s">
        <v>2665</v>
      </c>
      <c r="C1214" t="s">
        <v>2573</v>
      </c>
      <c r="D1214" t="s">
        <v>2470</v>
      </c>
      <c r="E1214" t="s">
        <v>3299</v>
      </c>
      <c r="F1214">
        <v>400</v>
      </c>
      <c r="G1214" t="s">
        <v>619</v>
      </c>
      <c r="H1214">
        <v>400</v>
      </c>
      <c r="I1214" t="s">
        <v>2607</v>
      </c>
    </row>
    <row r="1215" spans="1:9" x14ac:dyDescent="0.25">
      <c r="A1215" s="91">
        <v>46087</v>
      </c>
      <c r="B1215" t="s">
        <v>2665</v>
      </c>
      <c r="C1215" t="s">
        <v>3504</v>
      </c>
      <c r="D1215" t="s">
        <v>641</v>
      </c>
      <c r="E1215" t="s">
        <v>2917</v>
      </c>
      <c r="F1215">
        <v>4800</v>
      </c>
      <c r="G1215" t="s">
        <v>619</v>
      </c>
      <c r="H1215">
        <v>4800</v>
      </c>
      <c r="I1215" t="s">
        <v>2607</v>
      </c>
    </row>
    <row r="1216" spans="1:9" x14ac:dyDescent="0.25">
      <c r="A1216" s="91">
        <v>46087</v>
      </c>
      <c r="B1216" t="s">
        <v>2606</v>
      </c>
      <c r="C1216" t="s">
        <v>3505</v>
      </c>
      <c r="D1216">
        <v>220125</v>
      </c>
      <c r="E1216" t="s">
        <v>2700</v>
      </c>
      <c r="F1216">
        <v>4250</v>
      </c>
      <c r="G1216" t="s">
        <v>619</v>
      </c>
      <c r="H1216">
        <v>4250</v>
      </c>
      <c r="I1216" t="s">
        <v>2607</v>
      </c>
    </row>
    <row r="1217" spans="1:9" x14ac:dyDescent="0.25">
      <c r="A1217" s="91">
        <v>46087</v>
      </c>
      <c r="B1217" t="s">
        <v>2610</v>
      </c>
      <c r="C1217" t="s">
        <v>3506</v>
      </c>
      <c r="D1217">
        <v>520880</v>
      </c>
      <c r="E1217" t="s">
        <v>1399</v>
      </c>
      <c r="F1217">
        <v>12500</v>
      </c>
      <c r="G1217" t="s">
        <v>619</v>
      </c>
      <c r="H1217">
        <v>12500</v>
      </c>
      <c r="I1217" t="s">
        <v>2607</v>
      </c>
    </row>
    <row r="1218" spans="1:9" x14ac:dyDescent="0.25">
      <c r="A1218" s="91">
        <v>46087</v>
      </c>
      <c r="B1218" t="s">
        <v>685</v>
      </c>
      <c r="C1218" t="s">
        <v>3507</v>
      </c>
      <c r="D1218">
        <v>7373</v>
      </c>
      <c r="E1218" t="s">
        <v>783</v>
      </c>
      <c r="F1218">
        <v>25000</v>
      </c>
      <c r="G1218" t="s">
        <v>622</v>
      </c>
      <c r="H1218">
        <v>25000</v>
      </c>
      <c r="I1218" t="s">
        <v>2633</v>
      </c>
    </row>
    <row r="1219" spans="1:9" x14ac:dyDescent="0.25">
      <c r="A1219" s="91">
        <v>46087</v>
      </c>
      <c r="B1219" t="s">
        <v>2606</v>
      </c>
      <c r="C1219" t="s">
        <v>3508</v>
      </c>
      <c r="D1219">
        <v>7019</v>
      </c>
      <c r="E1219" t="s">
        <v>1108</v>
      </c>
      <c r="F1219">
        <v>95000</v>
      </c>
      <c r="G1219" t="s">
        <v>622</v>
      </c>
      <c r="H1219">
        <v>95000</v>
      </c>
      <c r="I1219" t="s">
        <v>2609</v>
      </c>
    </row>
    <row r="1220" spans="1:9" x14ac:dyDescent="0.25">
      <c r="A1220" s="91">
        <v>46090</v>
      </c>
      <c r="B1220" t="s">
        <v>2658</v>
      </c>
      <c r="C1220" t="s">
        <v>3509</v>
      </c>
      <c r="D1220" t="s">
        <v>639</v>
      </c>
      <c r="E1220" t="s">
        <v>640</v>
      </c>
      <c r="F1220">
        <v>2500</v>
      </c>
      <c r="G1220" t="s">
        <v>619</v>
      </c>
      <c r="H1220">
        <v>2500</v>
      </c>
      <c r="I1220" t="s">
        <v>2607</v>
      </c>
    </row>
    <row r="1221" spans="1:9" x14ac:dyDescent="0.25">
      <c r="A1221" s="91">
        <v>46090</v>
      </c>
      <c r="B1221" t="s">
        <v>2652</v>
      </c>
      <c r="C1221" t="s">
        <v>3510</v>
      </c>
      <c r="D1221">
        <v>2245</v>
      </c>
      <c r="E1221" t="s">
        <v>884</v>
      </c>
      <c r="F1221">
        <v>216</v>
      </c>
      <c r="G1221" t="s">
        <v>622</v>
      </c>
      <c r="H1221">
        <v>216</v>
      </c>
      <c r="I1221" t="s">
        <v>2607</v>
      </c>
    </row>
    <row r="1222" spans="1:9" x14ac:dyDescent="0.25">
      <c r="A1222" s="91">
        <v>46090</v>
      </c>
      <c r="B1222" t="s">
        <v>2658</v>
      </c>
      <c r="C1222" t="s">
        <v>3511</v>
      </c>
      <c r="D1222" t="s">
        <v>639</v>
      </c>
      <c r="E1222" t="s">
        <v>640</v>
      </c>
      <c r="F1222">
        <v>2500</v>
      </c>
      <c r="G1222" t="s">
        <v>619</v>
      </c>
      <c r="H1222">
        <v>2500</v>
      </c>
      <c r="I1222" t="s">
        <v>2607</v>
      </c>
    </row>
    <row r="1223" spans="1:9" x14ac:dyDescent="0.25">
      <c r="A1223" s="91">
        <v>46090</v>
      </c>
      <c r="B1223" t="s">
        <v>2614</v>
      </c>
      <c r="C1223" t="s">
        <v>3512</v>
      </c>
      <c r="D1223">
        <v>900101</v>
      </c>
      <c r="E1223" t="s">
        <v>2827</v>
      </c>
      <c r="F1223">
        <v>450</v>
      </c>
      <c r="G1223" t="s">
        <v>619</v>
      </c>
      <c r="H1223">
        <v>450</v>
      </c>
      <c r="I1223" t="s">
        <v>2607</v>
      </c>
    </row>
    <row r="1224" spans="1:9" x14ac:dyDescent="0.25">
      <c r="A1224" s="91">
        <v>46090</v>
      </c>
      <c r="B1224" t="s">
        <v>2617</v>
      </c>
      <c r="C1224" t="s">
        <v>3513</v>
      </c>
      <c r="D1224">
        <v>5150010451</v>
      </c>
      <c r="E1224" t="s">
        <v>2706</v>
      </c>
      <c r="F1224">
        <v>2256</v>
      </c>
      <c r="G1224" t="s">
        <v>619</v>
      </c>
      <c r="H1224">
        <v>2256</v>
      </c>
      <c r="I1224" t="s">
        <v>2607</v>
      </c>
    </row>
    <row r="1225" spans="1:9" x14ac:dyDescent="0.25">
      <c r="A1225" s="91">
        <v>46090</v>
      </c>
      <c r="B1225" t="s">
        <v>2617</v>
      </c>
      <c r="C1225" t="s">
        <v>3514</v>
      </c>
      <c r="D1225">
        <v>5150010451</v>
      </c>
      <c r="E1225" t="s">
        <v>2706</v>
      </c>
      <c r="F1225">
        <v>2256</v>
      </c>
      <c r="G1225" t="s">
        <v>619</v>
      </c>
      <c r="H1225">
        <v>2256</v>
      </c>
      <c r="I1225" t="s">
        <v>2607</v>
      </c>
    </row>
    <row r="1226" spans="1:9" x14ac:dyDescent="0.25">
      <c r="A1226" s="91">
        <v>46090</v>
      </c>
      <c r="B1226" t="s">
        <v>2617</v>
      </c>
      <c r="C1226" t="s">
        <v>3515</v>
      </c>
      <c r="D1226">
        <v>5150010451</v>
      </c>
      <c r="E1226" t="s">
        <v>2706</v>
      </c>
      <c r="F1226">
        <v>2256</v>
      </c>
      <c r="G1226" t="s">
        <v>619</v>
      </c>
      <c r="H1226">
        <v>2256</v>
      </c>
      <c r="I1226" t="s">
        <v>2607</v>
      </c>
    </row>
    <row r="1227" spans="1:9" x14ac:dyDescent="0.25">
      <c r="A1227" s="91">
        <v>46090</v>
      </c>
      <c r="B1227" t="s">
        <v>2652</v>
      </c>
      <c r="C1227" t="s">
        <v>3516</v>
      </c>
      <c r="D1227">
        <v>2237</v>
      </c>
      <c r="E1227" t="s">
        <v>891</v>
      </c>
      <c r="F1227">
        <v>216</v>
      </c>
      <c r="G1227" t="s">
        <v>622</v>
      </c>
      <c r="H1227">
        <v>216</v>
      </c>
      <c r="I1227" t="s">
        <v>2607</v>
      </c>
    </row>
    <row r="1228" spans="1:9" x14ac:dyDescent="0.25">
      <c r="A1228" s="91">
        <v>46090</v>
      </c>
      <c r="B1228" t="s">
        <v>2652</v>
      </c>
      <c r="C1228" t="s">
        <v>3517</v>
      </c>
      <c r="D1228">
        <v>2243</v>
      </c>
      <c r="E1228" t="s">
        <v>883</v>
      </c>
      <c r="F1228">
        <v>216</v>
      </c>
      <c r="G1228" t="s">
        <v>622</v>
      </c>
      <c r="H1228">
        <v>216</v>
      </c>
      <c r="I1228" t="s">
        <v>2607</v>
      </c>
    </row>
    <row r="1229" spans="1:9" x14ac:dyDescent="0.25">
      <c r="A1229" s="91">
        <v>46090</v>
      </c>
      <c r="B1229" t="s">
        <v>2652</v>
      </c>
      <c r="C1229" t="s">
        <v>3518</v>
      </c>
      <c r="D1229">
        <v>2241</v>
      </c>
      <c r="E1229" t="s">
        <v>893</v>
      </c>
      <c r="F1229">
        <v>216</v>
      </c>
      <c r="G1229" t="s">
        <v>622</v>
      </c>
      <c r="H1229">
        <v>216</v>
      </c>
      <c r="I1229" t="s">
        <v>2607</v>
      </c>
    </row>
    <row r="1230" spans="1:9" x14ac:dyDescent="0.25">
      <c r="A1230" s="91">
        <v>46090</v>
      </c>
      <c r="B1230" t="s">
        <v>2652</v>
      </c>
      <c r="C1230" t="s">
        <v>3519</v>
      </c>
      <c r="D1230">
        <v>2213</v>
      </c>
      <c r="E1230" t="s">
        <v>889</v>
      </c>
      <c r="F1230">
        <v>240</v>
      </c>
      <c r="G1230" t="s">
        <v>622</v>
      </c>
      <c r="H1230">
        <v>240</v>
      </c>
      <c r="I1230" t="s">
        <v>2607</v>
      </c>
    </row>
    <row r="1231" spans="1:9" x14ac:dyDescent="0.25">
      <c r="A1231" s="91">
        <v>46090</v>
      </c>
      <c r="B1231" t="s">
        <v>2614</v>
      </c>
      <c r="C1231" t="s">
        <v>3520</v>
      </c>
      <c r="D1231">
        <v>900400</v>
      </c>
      <c r="E1231" t="s">
        <v>2901</v>
      </c>
      <c r="F1231">
        <v>135</v>
      </c>
      <c r="G1231" t="s">
        <v>619</v>
      </c>
      <c r="H1231">
        <v>135</v>
      </c>
      <c r="I1231" t="s">
        <v>2607</v>
      </c>
    </row>
    <row r="1232" spans="1:9" x14ac:dyDescent="0.25">
      <c r="A1232" s="91">
        <v>46090</v>
      </c>
      <c r="B1232" t="s">
        <v>2652</v>
      </c>
      <c r="C1232" t="s">
        <v>3521</v>
      </c>
      <c r="D1232">
        <v>2249</v>
      </c>
      <c r="E1232" t="s">
        <v>1015</v>
      </c>
      <c r="F1232">
        <v>300</v>
      </c>
      <c r="G1232" t="s">
        <v>622</v>
      </c>
      <c r="H1232">
        <v>300</v>
      </c>
      <c r="I1232" t="s">
        <v>2607</v>
      </c>
    </row>
    <row r="1233" spans="1:9" x14ac:dyDescent="0.25">
      <c r="A1233" s="91">
        <v>46090</v>
      </c>
      <c r="B1233" t="s">
        <v>2610</v>
      </c>
      <c r="C1233" t="s">
        <v>3522</v>
      </c>
      <c r="D1233">
        <v>520880</v>
      </c>
      <c r="E1233" t="s">
        <v>1399</v>
      </c>
      <c r="F1233">
        <v>12500</v>
      </c>
      <c r="G1233" t="s">
        <v>619</v>
      </c>
      <c r="H1233">
        <v>12500</v>
      </c>
      <c r="I1233" t="s">
        <v>2607</v>
      </c>
    </row>
    <row r="1234" spans="1:9" x14ac:dyDescent="0.25">
      <c r="A1234" s="91">
        <v>46090</v>
      </c>
      <c r="B1234" t="s">
        <v>2610</v>
      </c>
      <c r="C1234" t="s">
        <v>3523</v>
      </c>
      <c r="D1234">
        <v>520880</v>
      </c>
      <c r="E1234" t="s">
        <v>1399</v>
      </c>
      <c r="F1234">
        <v>12500</v>
      </c>
      <c r="G1234" t="s">
        <v>619</v>
      </c>
      <c r="H1234">
        <v>12500</v>
      </c>
      <c r="I1234" t="s">
        <v>2607</v>
      </c>
    </row>
    <row r="1235" spans="1:9" x14ac:dyDescent="0.25">
      <c r="A1235" s="91">
        <v>46090</v>
      </c>
      <c r="B1235" t="s">
        <v>2606</v>
      </c>
      <c r="C1235" t="s">
        <v>3524</v>
      </c>
      <c r="D1235">
        <v>220131</v>
      </c>
      <c r="E1235" t="s">
        <v>1395</v>
      </c>
      <c r="F1235">
        <v>2100</v>
      </c>
      <c r="G1235" t="s">
        <v>619</v>
      </c>
      <c r="H1235">
        <v>2100</v>
      </c>
      <c r="I1235" t="s">
        <v>2607</v>
      </c>
    </row>
    <row r="1236" spans="1:9" x14ac:dyDescent="0.25">
      <c r="A1236" s="91">
        <v>46090</v>
      </c>
      <c r="B1236" t="s">
        <v>2606</v>
      </c>
      <c r="C1236" t="s">
        <v>3525</v>
      </c>
      <c r="D1236">
        <v>220125</v>
      </c>
      <c r="E1236" t="s">
        <v>2700</v>
      </c>
      <c r="F1236">
        <v>4250</v>
      </c>
      <c r="G1236" t="s">
        <v>619</v>
      </c>
      <c r="H1236">
        <v>4250</v>
      </c>
      <c r="I1236" t="s">
        <v>2607</v>
      </c>
    </row>
    <row r="1237" spans="1:9" x14ac:dyDescent="0.25">
      <c r="A1237" s="91">
        <v>46090</v>
      </c>
      <c r="B1237" t="s">
        <v>2606</v>
      </c>
      <c r="C1237" t="s">
        <v>3526</v>
      </c>
      <c r="D1237">
        <v>220125</v>
      </c>
      <c r="E1237" t="s">
        <v>2700</v>
      </c>
      <c r="F1237">
        <v>4250</v>
      </c>
      <c r="G1237" t="s">
        <v>619</v>
      </c>
      <c r="H1237">
        <v>4250</v>
      </c>
      <c r="I1237" t="s">
        <v>2607</v>
      </c>
    </row>
    <row r="1238" spans="1:9" x14ac:dyDescent="0.25">
      <c r="A1238" s="91">
        <v>46090</v>
      </c>
      <c r="B1238" t="s">
        <v>2606</v>
      </c>
      <c r="C1238" t="s">
        <v>3527</v>
      </c>
      <c r="D1238">
        <v>7037</v>
      </c>
      <c r="E1238" t="s">
        <v>632</v>
      </c>
      <c r="F1238">
        <v>105000</v>
      </c>
      <c r="G1238" t="s">
        <v>622</v>
      </c>
      <c r="H1238">
        <v>105000</v>
      </c>
      <c r="I1238" t="s">
        <v>2609</v>
      </c>
    </row>
    <row r="1239" spans="1:9" x14ac:dyDescent="0.25">
      <c r="A1239" s="91">
        <v>46090</v>
      </c>
      <c r="B1239" t="s">
        <v>2621</v>
      </c>
      <c r="C1239" t="s">
        <v>3528</v>
      </c>
      <c r="D1239" t="s">
        <v>2713</v>
      </c>
      <c r="E1239" t="s">
        <v>2714</v>
      </c>
      <c r="F1239">
        <v>2381</v>
      </c>
      <c r="G1239" t="s">
        <v>619</v>
      </c>
      <c r="H1239">
        <v>2381</v>
      </c>
      <c r="I1239" t="s">
        <v>2607</v>
      </c>
    </row>
    <row r="1240" spans="1:9" x14ac:dyDescent="0.25">
      <c r="A1240" s="91">
        <v>46090</v>
      </c>
      <c r="B1240" t="s">
        <v>2621</v>
      </c>
      <c r="C1240" t="s">
        <v>3529</v>
      </c>
      <c r="D1240" t="s">
        <v>2713</v>
      </c>
      <c r="E1240" t="s">
        <v>2714</v>
      </c>
      <c r="F1240">
        <v>3505</v>
      </c>
      <c r="G1240" t="s">
        <v>619</v>
      </c>
      <c r="H1240">
        <v>3505</v>
      </c>
      <c r="I1240" t="s">
        <v>2607</v>
      </c>
    </row>
    <row r="1241" spans="1:9" x14ac:dyDescent="0.25">
      <c r="A1241" s="91">
        <v>46090</v>
      </c>
      <c r="B1241" t="s">
        <v>2621</v>
      </c>
      <c r="C1241" t="s">
        <v>3530</v>
      </c>
      <c r="D1241" t="s">
        <v>2713</v>
      </c>
      <c r="E1241" t="s">
        <v>2714</v>
      </c>
      <c r="F1241">
        <v>3505</v>
      </c>
      <c r="G1241" t="s">
        <v>619</v>
      </c>
      <c r="H1241">
        <v>3505</v>
      </c>
      <c r="I1241" t="s">
        <v>2607</v>
      </c>
    </row>
    <row r="1242" spans="1:9" x14ac:dyDescent="0.25">
      <c r="A1242" s="91">
        <v>46090</v>
      </c>
      <c r="B1242">
        <v>7002</v>
      </c>
      <c r="C1242" t="s">
        <v>3531</v>
      </c>
      <c r="D1242">
        <v>961517</v>
      </c>
      <c r="E1242" t="s">
        <v>2960</v>
      </c>
      <c r="F1242">
        <v>345</v>
      </c>
      <c r="G1242" t="s">
        <v>619</v>
      </c>
      <c r="H1242">
        <v>345</v>
      </c>
      <c r="I1242" t="s">
        <v>2607</v>
      </c>
    </row>
    <row r="1243" spans="1:9" x14ac:dyDescent="0.25">
      <c r="A1243" s="91">
        <v>46090</v>
      </c>
      <c r="B1243">
        <v>7002</v>
      </c>
      <c r="C1243" t="s">
        <v>3532</v>
      </c>
      <c r="D1243">
        <v>961517</v>
      </c>
      <c r="E1243" t="s">
        <v>2960</v>
      </c>
      <c r="F1243">
        <v>345</v>
      </c>
      <c r="G1243" t="s">
        <v>619</v>
      </c>
      <c r="H1243">
        <v>345</v>
      </c>
      <c r="I1243" t="s">
        <v>2607</v>
      </c>
    </row>
    <row r="1244" spans="1:9" x14ac:dyDescent="0.25">
      <c r="A1244" s="91">
        <v>46090</v>
      </c>
      <c r="B1244" t="s">
        <v>2652</v>
      </c>
      <c r="C1244" t="s">
        <v>3533</v>
      </c>
      <c r="D1244">
        <v>2239</v>
      </c>
      <c r="E1244" t="s">
        <v>892</v>
      </c>
      <c r="F1244">
        <v>216</v>
      </c>
      <c r="G1244" t="s">
        <v>622</v>
      </c>
      <c r="H1244">
        <v>216</v>
      </c>
      <c r="I1244" t="s">
        <v>2607</v>
      </c>
    </row>
    <row r="1245" spans="1:9" x14ac:dyDescent="0.25">
      <c r="A1245" s="91">
        <v>46091</v>
      </c>
      <c r="B1245" t="s">
        <v>2652</v>
      </c>
      <c r="C1245" t="s">
        <v>3534</v>
      </c>
      <c r="D1245">
        <v>2255</v>
      </c>
      <c r="E1245" t="s">
        <v>2291</v>
      </c>
      <c r="F1245">
        <v>216</v>
      </c>
      <c r="G1245" t="s">
        <v>622</v>
      </c>
      <c r="H1245">
        <v>216</v>
      </c>
      <c r="I1245" t="s">
        <v>2607</v>
      </c>
    </row>
    <row r="1246" spans="1:9" x14ac:dyDescent="0.25">
      <c r="A1246" s="91">
        <v>46091</v>
      </c>
      <c r="B1246" t="s">
        <v>2652</v>
      </c>
      <c r="C1246" t="s">
        <v>3535</v>
      </c>
      <c r="D1246">
        <v>2203</v>
      </c>
      <c r="E1246" t="s">
        <v>886</v>
      </c>
      <c r="F1246">
        <v>107</v>
      </c>
      <c r="G1246" t="s">
        <v>622</v>
      </c>
      <c r="H1246">
        <v>107</v>
      </c>
      <c r="I1246" t="s">
        <v>2607</v>
      </c>
    </row>
    <row r="1247" spans="1:9" x14ac:dyDescent="0.25">
      <c r="A1247" s="91">
        <v>46091</v>
      </c>
      <c r="B1247" t="s">
        <v>2652</v>
      </c>
      <c r="C1247" t="s">
        <v>3536</v>
      </c>
      <c r="D1247">
        <v>2337</v>
      </c>
      <c r="E1247" t="s">
        <v>1093</v>
      </c>
      <c r="F1247">
        <v>44</v>
      </c>
      <c r="G1247" t="s">
        <v>622</v>
      </c>
      <c r="H1247">
        <v>44</v>
      </c>
      <c r="I1247" t="s">
        <v>2607</v>
      </c>
    </row>
    <row r="1248" spans="1:9" x14ac:dyDescent="0.25">
      <c r="A1248" s="91">
        <v>46091</v>
      </c>
      <c r="B1248" t="s">
        <v>2658</v>
      </c>
      <c r="C1248" t="s">
        <v>3537</v>
      </c>
      <c r="D1248" t="s">
        <v>639</v>
      </c>
      <c r="E1248" t="s">
        <v>640</v>
      </c>
      <c r="F1248">
        <v>2500</v>
      </c>
      <c r="G1248" t="s">
        <v>619</v>
      </c>
      <c r="H1248">
        <v>2500</v>
      </c>
      <c r="I1248" t="s">
        <v>2607</v>
      </c>
    </row>
    <row r="1249" spans="1:9" x14ac:dyDescent="0.25">
      <c r="A1249" s="91">
        <v>46091</v>
      </c>
      <c r="B1249" t="s">
        <v>2652</v>
      </c>
      <c r="C1249" t="s">
        <v>3538</v>
      </c>
      <c r="D1249">
        <v>2251</v>
      </c>
      <c r="E1249" t="s">
        <v>2286</v>
      </c>
      <c r="F1249">
        <v>288</v>
      </c>
      <c r="G1249" t="s">
        <v>622</v>
      </c>
      <c r="H1249">
        <v>288</v>
      </c>
      <c r="I1249" t="s">
        <v>2607</v>
      </c>
    </row>
    <row r="1250" spans="1:9" x14ac:dyDescent="0.25">
      <c r="A1250" s="91">
        <v>46091</v>
      </c>
      <c r="B1250" t="s">
        <v>2652</v>
      </c>
      <c r="C1250" t="s">
        <v>3539</v>
      </c>
      <c r="D1250">
        <v>2257</v>
      </c>
      <c r="E1250" t="s">
        <v>2296</v>
      </c>
      <c r="F1250">
        <v>216</v>
      </c>
      <c r="G1250" t="s">
        <v>622</v>
      </c>
      <c r="H1250">
        <v>216</v>
      </c>
      <c r="I1250" t="s">
        <v>2607</v>
      </c>
    </row>
    <row r="1251" spans="1:9" x14ac:dyDescent="0.25">
      <c r="A1251" s="91">
        <v>46091</v>
      </c>
      <c r="B1251" t="s">
        <v>2617</v>
      </c>
      <c r="C1251" t="s">
        <v>3540</v>
      </c>
      <c r="D1251">
        <v>5150010451</v>
      </c>
      <c r="E1251" t="s">
        <v>2706</v>
      </c>
      <c r="F1251">
        <v>900</v>
      </c>
      <c r="G1251" t="s">
        <v>619</v>
      </c>
      <c r="H1251">
        <v>900</v>
      </c>
      <c r="I1251" t="s">
        <v>2607</v>
      </c>
    </row>
    <row r="1252" spans="1:9" x14ac:dyDescent="0.25">
      <c r="A1252" s="91">
        <v>46091</v>
      </c>
      <c r="B1252" t="s">
        <v>2617</v>
      </c>
      <c r="C1252" t="s">
        <v>3541</v>
      </c>
      <c r="D1252">
        <v>5150010450</v>
      </c>
      <c r="E1252" t="s">
        <v>2619</v>
      </c>
      <c r="F1252">
        <v>2256</v>
      </c>
      <c r="G1252" t="s">
        <v>619</v>
      </c>
      <c r="H1252">
        <v>2256</v>
      </c>
      <c r="I1252" t="s">
        <v>2607</v>
      </c>
    </row>
    <row r="1253" spans="1:9" x14ac:dyDescent="0.25">
      <c r="A1253" s="91">
        <v>46091</v>
      </c>
      <c r="B1253" t="s">
        <v>2614</v>
      </c>
      <c r="C1253" t="s">
        <v>3542</v>
      </c>
      <c r="D1253">
        <v>500401</v>
      </c>
      <c r="E1253" t="s">
        <v>2863</v>
      </c>
      <c r="F1253">
        <v>233</v>
      </c>
      <c r="G1253" t="s">
        <v>619</v>
      </c>
      <c r="H1253">
        <v>233</v>
      </c>
      <c r="I1253" t="s">
        <v>2607</v>
      </c>
    </row>
    <row r="1254" spans="1:9" x14ac:dyDescent="0.25">
      <c r="A1254" s="91">
        <v>46091</v>
      </c>
      <c r="B1254" t="s">
        <v>2652</v>
      </c>
      <c r="C1254" t="s">
        <v>3543</v>
      </c>
      <c r="D1254">
        <v>2253</v>
      </c>
      <c r="E1254" t="s">
        <v>1016</v>
      </c>
      <c r="F1254">
        <v>216</v>
      </c>
      <c r="G1254" t="s">
        <v>622</v>
      </c>
      <c r="H1254">
        <v>216</v>
      </c>
      <c r="I1254" t="s">
        <v>2607</v>
      </c>
    </row>
    <row r="1255" spans="1:9" x14ac:dyDescent="0.25">
      <c r="A1255" s="91">
        <v>46091</v>
      </c>
      <c r="B1255" t="s">
        <v>2652</v>
      </c>
      <c r="C1255" t="s">
        <v>3544</v>
      </c>
      <c r="D1255">
        <v>2247</v>
      </c>
      <c r="E1255" t="s">
        <v>1014</v>
      </c>
      <c r="F1255">
        <v>252</v>
      </c>
      <c r="G1255" t="s">
        <v>622</v>
      </c>
      <c r="H1255">
        <v>252</v>
      </c>
      <c r="I1255" t="s">
        <v>2607</v>
      </c>
    </row>
    <row r="1256" spans="1:9" x14ac:dyDescent="0.25">
      <c r="A1256" s="91">
        <v>46091</v>
      </c>
      <c r="B1256" t="s">
        <v>2652</v>
      </c>
      <c r="C1256" t="s">
        <v>3545</v>
      </c>
      <c r="D1256">
        <v>2211</v>
      </c>
      <c r="E1256" t="s">
        <v>881</v>
      </c>
      <c r="F1256">
        <v>240</v>
      </c>
      <c r="G1256" t="s">
        <v>622</v>
      </c>
      <c r="H1256">
        <v>240</v>
      </c>
      <c r="I1256" t="s">
        <v>2607</v>
      </c>
    </row>
    <row r="1257" spans="1:9" x14ac:dyDescent="0.25">
      <c r="A1257" s="91">
        <v>46091</v>
      </c>
      <c r="B1257" t="s">
        <v>2610</v>
      </c>
      <c r="C1257" t="s">
        <v>3546</v>
      </c>
      <c r="D1257">
        <v>520860</v>
      </c>
      <c r="E1257" t="s">
        <v>1388</v>
      </c>
      <c r="F1257">
        <v>12500</v>
      </c>
      <c r="G1257" t="s">
        <v>619</v>
      </c>
      <c r="H1257">
        <v>12500</v>
      </c>
      <c r="I1257" t="s">
        <v>2607</v>
      </c>
    </row>
    <row r="1258" spans="1:9" x14ac:dyDescent="0.25">
      <c r="A1258" s="91">
        <v>46091</v>
      </c>
      <c r="B1258">
        <v>7002</v>
      </c>
      <c r="C1258" t="s">
        <v>3547</v>
      </c>
      <c r="D1258">
        <v>907013</v>
      </c>
      <c r="E1258" t="s">
        <v>3041</v>
      </c>
      <c r="F1258">
        <v>284</v>
      </c>
      <c r="G1258" t="s">
        <v>619</v>
      </c>
      <c r="H1258">
        <v>284</v>
      </c>
      <c r="I1258" t="s">
        <v>2607</v>
      </c>
    </row>
    <row r="1259" spans="1:9" x14ac:dyDescent="0.25">
      <c r="A1259" s="91">
        <v>46091</v>
      </c>
      <c r="B1259" t="s">
        <v>688</v>
      </c>
      <c r="C1259" t="s">
        <v>3548</v>
      </c>
      <c r="D1259">
        <v>7741</v>
      </c>
      <c r="E1259" t="s">
        <v>690</v>
      </c>
      <c r="F1259">
        <v>68000</v>
      </c>
      <c r="G1259" t="s">
        <v>622</v>
      </c>
      <c r="H1259">
        <v>68000</v>
      </c>
      <c r="I1259" t="s">
        <v>2633</v>
      </c>
    </row>
    <row r="1260" spans="1:9" x14ac:dyDescent="0.25">
      <c r="A1260" s="91">
        <v>46091</v>
      </c>
      <c r="B1260" t="s">
        <v>682</v>
      </c>
      <c r="C1260" t="s">
        <v>3549</v>
      </c>
      <c r="D1260">
        <v>7297</v>
      </c>
      <c r="E1260" t="s">
        <v>684</v>
      </c>
      <c r="F1260">
        <v>30000</v>
      </c>
      <c r="G1260" t="s">
        <v>622</v>
      </c>
      <c r="H1260">
        <v>30000</v>
      </c>
      <c r="I1260" t="s">
        <v>2633</v>
      </c>
    </row>
    <row r="1261" spans="1:9" x14ac:dyDescent="0.25">
      <c r="A1261" s="91">
        <v>46091</v>
      </c>
      <c r="B1261" t="s">
        <v>679</v>
      </c>
      <c r="C1261" t="s">
        <v>3550</v>
      </c>
      <c r="D1261">
        <v>7212</v>
      </c>
      <c r="E1261" t="s">
        <v>681</v>
      </c>
      <c r="F1261">
        <v>85000</v>
      </c>
      <c r="G1261" t="s">
        <v>622</v>
      </c>
      <c r="H1261">
        <v>85000</v>
      </c>
      <c r="I1261" t="s">
        <v>2633</v>
      </c>
    </row>
    <row r="1262" spans="1:9" x14ac:dyDescent="0.25">
      <c r="A1262" s="91">
        <v>46091</v>
      </c>
      <c r="B1262" t="s">
        <v>2610</v>
      </c>
      <c r="C1262" t="s">
        <v>2450</v>
      </c>
      <c r="D1262" t="s">
        <v>2090</v>
      </c>
      <c r="E1262" t="s">
        <v>2091</v>
      </c>
      <c r="F1262">
        <v>15000</v>
      </c>
      <c r="G1262" t="s">
        <v>619</v>
      </c>
      <c r="H1262">
        <v>15000</v>
      </c>
      <c r="I1262" t="s">
        <v>2607</v>
      </c>
    </row>
    <row r="1263" spans="1:9" x14ac:dyDescent="0.25">
      <c r="A1263" s="91">
        <v>46091</v>
      </c>
      <c r="B1263" t="s">
        <v>2665</v>
      </c>
      <c r="C1263" t="s">
        <v>3551</v>
      </c>
      <c r="D1263" t="s">
        <v>3552</v>
      </c>
      <c r="E1263" t="s">
        <v>3553</v>
      </c>
      <c r="F1263">
        <v>4500</v>
      </c>
      <c r="G1263" t="s">
        <v>619</v>
      </c>
      <c r="H1263">
        <v>4500</v>
      </c>
      <c r="I1263" t="s">
        <v>2607</v>
      </c>
    </row>
    <row r="1264" spans="1:9" x14ac:dyDescent="0.25">
      <c r="A1264" s="91">
        <v>46091</v>
      </c>
      <c r="B1264" t="s">
        <v>2665</v>
      </c>
      <c r="C1264" t="s">
        <v>3554</v>
      </c>
      <c r="D1264" t="s">
        <v>3552</v>
      </c>
      <c r="E1264" t="s">
        <v>3553</v>
      </c>
      <c r="F1264">
        <v>6500</v>
      </c>
      <c r="G1264" t="s">
        <v>619</v>
      </c>
      <c r="H1264">
        <v>6500</v>
      </c>
      <c r="I1264" t="s">
        <v>2607</v>
      </c>
    </row>
    <row r="1265" spans="1:9" x14ac:dyDescent="0.25">
      <c r="A1265" s="91">
        <v>46091</v>
      </c>
      <c r="B1265" t="s">
        <v>2665</v>
      </c>
      <c r="C1265" t="s">
        <v>3555</v>
      </c>
      <c r="D1265" t="s">
        <v>916</v>
      </c>
      <c r="E1265" t="s">
        <v>2666</v>
      </c>
      <c r="F1265">
        <v>6500</v>
      </c>
      <c r="G1265" t="s">
        <v>619</v>
      </c>
      <c r="H1265">
        <v>6500</v>
      </c>
      <c r="I1265" t="s">
        <v>2607</v>
      </c>
    </row>
    <row r="1266" spans="1:9" x14ac:dyDescent="0.25">
      <c r="A1266" s="91">
        <v>46091</v>
      </c>
      <c r="B1266" t="s">
        <v>2665</v>
      </c>
      <c r="C1266" t="s">
        <v>3556</v>
      </c>
      <c r="D1266" t="s">
        <v>3557</v>
      </c>
      <c r="E1266" t="s">
        <v>3558</v>
      </c>
      <c r="F1266">
        <v>400</v>
      </c>
      <c r="G1266" t="s">
        <v>619</v>
      </c>
      <c r="H1266">
        <v>400</v>
      </c>
      <c r="I1266" t="s">
        <v>2607</v>
      </c>
    </row>
    <row r="1267" spans="1:9" x14ac:dyDescent="0.25">
      <c r="A1267" s="91">
        <v>46091</v>
      </c>
      <c r="B1267" t="s">
        <v>2621</v>
      </c>
      <c r="C1267" t="s">
        <v>3559</v>
      </c>
      <c r="D1267" t="s">
        <v>2910</v>
      </c>
      <c r="E1267" t="s">
        <v>2911</v>
      </c>
      <c r="F1267">
        <v>2381</v>
      </c>
      <c r="G1267" t="s">
        <v>619</v>
      </c>
      <c r="H1267">
        <v>2381</v>
      </c>
      <c r="I1267" t="s">
        <v>2607</v>
      </c>
    </row>
    <row r="1268" spans="1:9" x14ac:dyDescent="0.25">
      <c r="A1268" s="91">
        <v>46092</v>
      </c>
      <c r="B1268" t="s">
        <v>2606</v>
      </c>
      <c r="C1268" t="s">
        <v>3560</v>
      </c>
      <c r="D1268">
        <v>7013</v>
      </c>
      <c r="E1268" t="s">
        <v>630</v>
      </c>
      <c r="F1268">
        <v>100000</v>
      </c>
      <c r="G1268" t="s">
        <v>622</v>
      </c>
      <c r="H1268">
        <v>100000</v>
      </c>
      <c r="I1268" t="s">
        <v>2609</v>
      </c>
    </row>
    <row r="1269" spans="1:9" x14ac:dyDescent="0.25">
      <c r="A1269" s="91">
        <v>46092</v>
      </c>
      <c r="B1269" t="s">
        <v>2658</v>
      </c>
      <c r="C1269" t="s">
        <v>2175</v>
      </c>
      <c r="D1269" t="s">
        <v>639</v>
      </c>
      <c r="E1269" t="s">
        <v>640</v>
      </c>
      <c r="F1269">
        <v>2500</v>
      </c>
      <c r="G1269" t="s">
        <v>619</v>
      </c>
      <c r="H1269">
        <v>2500</v>
      </c>
      <c r="I1269" t="s">
        <v>2607</v>
      </c>
    </row>
    <row r="1270" spans="1:9" x14ac:dyDescent="0.25">
      <c r="A1270" s="91">
        <v>46092</v>
      </c>
      <c r="B1270" t="s">
        <v>2614</v>
      </c>
      <c r="C1270" t="s">
        <v>3561</v>
      </c>
      <c r="D1270" t="s">
        <v>3562</v>
      </c>
      <c r="E1270" t="s">
        <v>3563</v>
      </c>
      <c r="F1270">
        <v>40</v>
      </c>
      <c r="G1270" t="s">
        <v>619</v>
      </c>
      <c r="H1270">
        <v>40</v>
      </c>
      <c r="I1270" t="s">
        <v>2607</v>
      </c>
    </row>
    <row r="1271" spans="1:9" x14ac:dyDescent="0.25">
      <c r="A1271" s="91">
        <v>46092</v>
      </c>
      <c r="B1271" t="s">
        <v>2617</v>
      </c>
      <c r="C1271" t="s">
        <v>3564</v>
      </c>
      <c r="D1271">
        <v>5150010450</v>
      </c>
      <c r="E1271" t="s">
        <v>2619</v>
      </c>
      <c r="F1271">
        <v>2256</v>
      </c>
      <c r="G1271" t="s">
        <v>619</v>
      </c>
      <c r="H1271">
        <v>2256</v>
      </c>
      <c r="I1271" t="s">
        <v>2607</v>
      </c>
    </row>
    <row r="1272" spans="1:9" x14ac:dyDescent="0.25">
      <c r="A1272" s="91">
        <v>46092</v>
      </c>
      <c r="B1272" t="s">
        <v>2610</v>
      </c>
      <c r="C1272" t="s">
        <v>3565</v>
      </c>
      <c r="D1272">
        <v>520860</v>
      </c>
      <c r="E1272" t="s">
        <v>1388</v>
      </c>
      <c r="F1272">
        <v>12500</v>
      </c>
      <c r="G1272" t="s">
        <v>619</v>
      </c>
      <c r="H1272">
        <v>12500</v>
      </c>
      <c r="I1272" t="s">
        <v>2607</v>
      </c>
    </row>
    <row r="1273" spans="1:9" x14ac:dyDescent="0.25">
      <c r="A1273" s="91">
        <v>46092</v>
      </c>
      <c r="B1273" t="s">
        <v>2610</v>
      </c>
      <c r="C1273" t="s">
        <v>3566</v>
      </c>
      <c r="D1273" t="s">
        <v>3567</v>
      </c>
      <c r="E1273" t="s">
        <v>3568</v>
      </c>
      <c r="F1273">
        <v>15000</v>
      </c>
      <c r="G1273" t="s">
        <v>619</v>
      </c>
      <c r="H1273">
        <v>15000</v>
      </c>
      <c r="I1273" t="s">
        <v>2607</v>
      </c>
    </row>
    <row r="1274" spans="1:9" x14ac:dyDescent="0.25">
      <c r="A1274" s="91">
        <v>46092</v>
      </c>
      <c r="B1274" t="s">
        <v>2606</v>
      </c>
      <c r="C1274" t="s">
        <v>3569</v>
      </c>
      <c r="D1274">
        <v>7013</v>
      </c>
      <c r="E1274" t="s">
        <v>630</v>
      </c>
      <c r="F1274">
        <v>5000</v>
      </c>
      <c r="G1274" t="s">
        <v>622</v>
      </c>
      <c r="H1274">
        <v>5000</v>
      </c>
      <c r="I1274" t="s">
        <v>2609</v>
      </c>
    </row>
    <row r="1275" spans="1:9" x14ac:dyDescent="0.25">
      <c r="A1275" s="91">
        <v>46092</v>
      </c>
      <c r="B1275" t="s">
        <v>2606</v>
      </c>
      <c r="C1275" t="s">
        <v>2313</v>
      </c>
      <c r="D1275">
        <v>220131</v>
      </c>
      <c r="E1275" t="s">
        <v>1395</v>
      </c>
      <c r="F1275">
        <v>5000</v>
      </c>
      <c r="G1275" t="s">
        <v>619</v>
      </c>
      <c r="H1275">
        <v>5000</v>
      </c>
      <c r="I1275" t="s">
        <v>2607</v>
      </c>
    </row>
    <row r="1276" spans="1:9" x14ac:dyDescent="0.25">
      <c r="A1276" s="91">
        <v>46092</v>
      </c>
      <c r="B1276" t="s">
        <v>2606</v>
      </c>
      <c r="C1276" t="s">
        <v>3570</v>
      </c>
      <c r="D1276">
        <v>85204</v>
      </c>
      <c r="E1276" t="s">
        <v>1398</v>
      </c>
      <c r="F1276">
        <v>4166</v>
      </c>
      <c r="G1276" t="s">
        <v>619</v>
      </c>
      <c r="H1276">
        <v>4166</v>
      </c>
      <c r="I1276" t="s">
        <v>2607</v>
      </c>
    </row>
    <row r="1277" spans="1:9" x14ac:dyDescent="0.25">
      <c r="A1277" s="91">
        <v>46092</v>
      </c>
      <c r="B1277" t="s">
        <v>685</v>
      </c>
      <c r="C1277" t="s">
        <v>3571</v>
      </c>
      <c r="D1277">
        <v>7374</v>
      </c>
      <c r="E1277" t="s">
        <v>785</v>
      </c>
      <c r="F1277">
        <v>25000</v>
      </c>
      <c r="G1277" t="s">
        <v>622</v>
      </c>
      <c r="H1277">
        <v>25000</v>
      </c>
      <c r="I1277" t="s">
        <v>2633</v>
      </c>
    </row>
    <row r="1278" spans="1:9" x14ac:dyDescent="0.25">
      <c r="A1278" s="91">
        <v>46092</v>
      </c>
      <c r="B1278" t="s">
        <v>2736</v>
      </c>
      <c r="C1278" t="s">
        <v>2504</v>
      </c>
      <c r="D1278" t="s">
        <v>2133</v>
      </c>
      <c r="E1278" t="s">
        <v>2134</v>
      </c>
      <c r="F1278">
        <v>350</v>
      </c>
      <c r="G1278" t="s">
        <v>622</v>
      </c>
      <c r="H1278">
        <v>350</v>
      </c>
      <c r="I1278" t="s">
        <v>2607</v>
      </c>
    </row>
    <row r="1279" spans="1:9" x14ac:dyDescent="0.25">
      <c r="A1279" s="91">
        <v>46092</v>
      </c>
      <c r="B1279" t="s">
        <v>2736</v>
      </c>
      <c r="C1279" t="s">
        <v>3572</v>
      </c>
      <c r="D1279" t="s">
        <v>3573</v>
      </c>
      <c r="E1279" t="s">
        <v>3574</v>
      </c>
      <c r="F1279">
        <v>500</v>
      </c>
      <c r="G1279" t="s">
        <v>622</v>
      </c>
      <c r="H1279">
        <v>500</v>
      </c>
      <c r="I1279" t="s">
        <v>2607</v>
      </c>
    </row>
    <row r="1280" spans="1:9" x14ac:dyDescent="0.25">
      <c r="A1280" s="91">
        <v>46092</v>
      </c>
      <c r="B1280" t="s">
        <v>715</v>
      </c>
      <c r="C1280" t="s">
        <v>3575</v>
      </c>
      <c r="D1280">
        <v>7185</v>
      </c>
      <c r="E1280" t="s">
        <v>717</v>
      </c>
      <c r="F1280">
        <v>55000</v>
      </c>
      <c r="G1280" t="s">
        <v>622</v>
      </c>
      <c r="H1280">
        <v>55000</v>
      </c>
      <c r="I1280" t="s">
        <v>2633</v>
      </c>
    </row>
    <row r="1281" spans="1:9" x14ac:dyDescent="0.25">
      <c r="A1281" s="91">
        <v>46092</v>
      </c>
      <c r="B1281" t="s">
        <v>693</v>
      </c>
      <c r="C1281" t="s">
        <v>3576</v>
      </c>
      <c r="D1281">
        <v>910326</v>
      </c>
      <c r="E1281" t="s">
        <v>1583</v>
      </c>
      <c r="F1281">
        <v>9120</v>
      </c>
      <c r="G1281" t="s">
        <v>619</v>
      </c>
      <c r="H1281">
        <v>9120</v>
      </c>
      <c r="I1281" t="s">
        <v>2607</v>
      </c>
    </row>
    <row r="1282" spans="1:9" x14ac:dyDescent="0.25">
      <c r="A1282" s="91">
        <v>46092</v>
      </c>
      <c r="B1282" t="s">
        <v>693</v>
      </c>
      <c r="C1282" t="s">
        <v>3577</v>
      </c>
      <c r="D1282">
        <v>910526</v>
      </c>
      <c r="E1282" t="s">
        <v>1602</v>
      </c>
      <c r="F1282">
        <v>9120</v>
      </c>
      <c r="G1282" t="s">
        <v>619</v>
      </c>
      <c r="H1282">
        <v>9120</v>
      </c>
      <c r="I1282" t="s">
        <v>2607</v>
      </c>
    </row>
    <row r="1283" spans="1:9" x14ac:dyDescent="0.25">
      <c r="A1283" s="91">
        <v>46092</v>
      </c>
      <c r="B1283" t="s">
        <v>2621</v>
      </c>
      <c r="C1283" t="s">
        <v>3578</v>
      </c>
      <c r="D1283" t="s">
        <v>2643</v>
      </c>
      <c r="E1283" t="s">
        <v>2644</v>
      </c>
      <c r="F1283">
        <v>1000</v>
      </c>
      <c r="G1283" t="s">
        <v>619</v>
      </c>
      <c r="H1283">
        <v>1000</v>
      </c>
      <c r="I1283" t="s">
        <v>2607</v>
      </c>
    </row>
    <row r="1284" spans="1:9" x14ac:dyDescent="0.25">
      <c r="A1284" s="91">
        <v>46092</v>
      </c>
      <c r="B1284" t="s">
        <v>682</v>
      </c>
      <c r="C1284" t="s">
        <v>3579</v>
      </c>
      <c r="D1284" t="s">
        <v>806</v>
      </c>
      <c r="E1284" t="s">
        <v>807</v>
      </c>
      <c r="F1284">
        <v>28000</v>
      </c>
      <c r="G1284" t="s">
        <v>622</v>
      </c>
      <c r="H1284">
        <v>28000</v>
      </c>
      <c r="I1284" t="s">
        <v>2633</v>
      </c>
    </row>
    <row r="1285" spans="1:9" x14ac:dyDescent="0.25">
      <c r="A1285" s="91">
        <v>46092</v>
      </c>
      <c r="B1285" t="s">
        <v>688</v>
      </c>
      <c r="C1285" t="s">
        <v>3580</v>
      </c>
      <c r="D1285">
        <v>7741</v>
      </c>
      <c r="E1285" t="s">
        <v>690</v>
      </c>
      <c r="F1285">
        <v>68000</v>
      </c>
      <c r="G1285" t="s">
        <v>622</v>
      </c>
      <c r="H1285">
        <v>68000</v>
      </c>
      <c r="I1285" t="s">
        <v>2633</v>
      </c>
    </row>
    <row r="1286" spans="1:9" x14ac:dyDescent="0.25">
      <c r="A1286" s="91">
        <v>46092</v>
      </c>
      <c r="B1286">
        <v>7002</v>
      </c>
      <c r="C1286" t="s">
        <v>3581</v>
      </c>
      <c r="D1286">
        <v>907015</v>
      </c>
      <c r="E1286" t="s">
        <v>3128</v>
      </c>
      <c r="F1286">
        <v>193</v>
      </c>
      <c r="G1286" t="s">
        <v>619</v>
      </c>
      <c r="H1286">
        <v>193</v>
      </c>
      <c r="I1286" t="s">
        <v>2607</v>
      </c>
    </row>
    <row r="1287" spans="1:9" x14ac:dyDescent="0.25">
      <c r="A1287" s="91">
        <v>46092</v>
      </c>
      <c r="B1287" t="s">
        <v>2736</v>
      </c>
      <c r="C1287" t="s">
        <v>3582</v>
      </c>
      <c r="D1287" t="s">
        <v>3583</v>
      </c>
      <c r="E1287" t="s">
        <v>3584</v>
      </c>
      <c r="F1287">
        <v>455</v>
      </c>
      <c r="G1287" t="s">
        <v>622</v>
      </c>
      <c r="H1287">
        <v>455</v>
      </c>
      <c r="I1287" t="s">
        <v>2607</v>
      </c>
    </row>
    <row r="1288" spans="1:9" x14ac:dyDescent="0.25">
      <c r="A1288" s="91">
        <v>46093</v>
      </c>
      <c r="B1288" t="s">
        <v>2665</v>
      </c>
      <c r="C1288" t="s">
        <v>3585</v>
      </c>
      <c r="D1288" t="s">
        <v>623</v>
      </c>
      <c r="E1288" t="s">
        <v>2703</v>
      </c>
      <c r="F1288">
        <v>6500</v>
      </c>
      <c r="G1288" t="s">
        <v>619</v>
      </c>
      <c r="H1288">
        <v>6500</v>
      </c>
      <c r="I1288" t="s">
        <v>2607</v>
      </c>
    </row>
    <row r="1289" spans="1:9" x14ac:dyDescent="0.25">
      <c r="A1289" s="91">
        <v>46093</v>
      </c>
      <c r="B1289" t="s">
        <v>2617</v>
      </c>
      <c r="C1289" t="s">
        <v>3586</v>
      </c>
      <c r="D1289">
        <v>5150010450</v>
      </c>
      <c r="E1289" t="s">
        <v>2619</v>
      </c>
      <c r="F1289">
        <v>2256</v>
      </c>
      <c r="G1289" t="s">
        <v>619</v>
      </c>
      <c r="H1289">
        <v>2256</v>
      </c>
      <c r="I1289" t="s">
        <v>2607</v>
      </c>
    </row>
    <row r="1290" spans="1:9" x14ac:dyDescent="0.25">
      <c r="A1290" s="91">
        <v>46093</v>
      </c>
      <c r="B1290" t="s">
        <v>2610</v>
      </c>
      <c r="C1290" t="s">
        <v>3587</v>
      </c>
      <c r="D1290" t="s">
        <v>3588</v>
      </c>
      <c r="E1290" t="s">
        <v>3589</v>
      </c>
      <c r="F1290">
        <v>15000</v>
      </c>
      <c r="G1290" t="s">
        <v>619</v>
      </c>
      <c r="H1290">
        <v>15000</v>
      </c>
      <c r="I1290" t="s">
        <v>2607</v>
      </c>
    </row>
    <row r="1291" spans="1:9" x14ac:dyDescent="0.25">
      <c r="A1291" s="91">
        <v>46093</v>
      </c>
      <c r="B1291" t="s">
        <v>2610</v>
      </c>
      <c r="C1291" t="s">
        <v>3590</v>
      </c>
      <c r="D1291">
        <v>520860</v>
      </c>
      <c r="E1291" t="s">
        <v>1388</v>
      </c>
      <c r="F1291">
        <v>12500</v>
      </c>
      <c r="G1291" t="s">
        <v>619</v>
      </c>
      <c r="H1291">
        <v>12500</v>
      </c>
      <c r="I1291" t="s">
        <v>2607</v>
      </c>
    </row>
    <row r="1292" spans="1:9" x14ac:dyDescent="0.25">
      <c r="A1292" s="91">
        <v>46093</v>
      </c>
      <c r="B1292" t="s">
        <v>2658</v>
      </c>
      <c r="C1292" t="s">
        <v>3591</v>
      </c>
      <c r="D1292" t="s">
        <v>639</v>
      </c>
      <c r="E1292" t="s">
        <v>640</v>
      </c>
      <c r="F1292">
        <v>2500</v>
      </c>
      <c r="G1292" t="s">
        <v>619</v>
      </c>
      <c r="H1292">
        <v>2500</v>
      </c>
      <c r="I1292" t="s">
        <v>2607</v>
      </c>
    </row>
    <row r="1293" spans="1:9" x14ac:dyDescent="0.25">
      <c r="A1293" s="91">
        <v>46093</v>
      </c>
      <c r="B1293" t="s">
        <v>685</v>
      </c>
      <c r="C1293" t="s">
        <v>3592</v>
      </c>
      <c r="D1293">
        <v>7374</v>
      </c>
      <c r="E1293" t="s">
        <v>785</v>
      </c>
      <c r="F1293">
        <v>25000</v>
      </c>
      <c r="G1293" t="s">
        <v>622</v>
      </c>
      <c r="H1293">
        <v>25000</v>
      </c>
      <c r="I1293" t="s">
        <v>2633</v>
      </c>
    </row>
    <row r="1294" spans="1:9" x14ac:dyDescent="0.25">
      <c r="A1294" s="91">
        <v>46093</v>
      </c>
      <c r="B1294" t="s">
        <v>2665</v>
      </c>
      <c r="C1294" t="s">
        <v>2532</v>
      </c>
      <c r="D1294" t="s">
        <v>1104</v>
      </c>
      <c r="E1294" t="s">
        <v>2952</v>
      </c>
      <c r="F1294">
        <v>2833</v>
      </c>
      <c r="G1294" t="s">
        <v>619</v>
      </c>
      <c r="H1294">
        <v>2833</v>
      </c>
      <c r="I1294" t="s">
        <v>2607</v>
      </c>
    </row>
    <row r="1295" spans="1:9" x14ac:dyDescent="0.25">
      <c r="A1295" s="91">
        <v>46093</v>
      </c>
      <c r="B1295" t="s">
        <v>2606</v>
      </c>
      <c r="C1295" t="s">
        <v>2528</v>
      </c>
      <c r="D1295">
        <v>85200</v>
      </c>
      <c r="E1295" t="s">
        <v>2529</v>
      </c>
      <c r="F1295">
        <v>7300</v>
      </c>
      <c r="G1295" t="s">
        <v>619</v>
      </c>
      <c r="H1295">
        <v>7300</v>
      </c>
      <c r="I1295" t="s">
        <v>2607</v>
      </c>
    </row>
    <row r="1296" spans="1:9" x14ac:dyDescent="0.25">
      <c r="A1296" s="91">
        <v>46093</v>
      </c>
      <c r="B1296" t="s">
        <v>2665</v>
      </c>
      <c r="C1296" t="s">
        <v>3593</v>
      </c>
      <c r="D1296" t="s">
        <v>3594</v>
      </c>
      <c r="E1296" t="s">
        <v>3595</v>
      </c>
      <c r="F1296">
        <v>116</v>
      </c>
      <c r="G1296" t="s">
        <v>619</v>
      </c>
      <c r="H1296">
        <v>116</v>
      </c>
      <c r="I1296" t="s">
        <v>2607</v>
      </c>
    </row>
    <row r="1297" spans="1:9" x14ac:dyDescent="0.25">
      <c r="A1297" s="91">
        <v>46093</v>
      </c>
      <c r="B1297" t="s">
        <v>2621</v>
      </c>
      <c r="C1297" t="s">
        <v>3596</v>
      </c>
      <c r="D1297" t="s">
        <v>2669</v>
      </c>
      <c r="E1297" t="s">
        <v>2670</v>
      </c>
      <c r="F1297">
        <v>4762</v>
      </c>
      <c r="G1297" t="s">
        <v>619</v>
      </c>
      <c r="H1297">
        <v>4762</v>
      </c>
      <c r="I1297" t="s">
        <v>2607</v>
      </c>
    </row>
    <row r="1298" spans="1:9" x14ac:dyDescent="0.25">
      <c r="A1298" s="91">
        <v>46093</v>
      </c>
      <c r="B1298" t="s">
        <v>712</v>
      </c>
      <c r="C1298" t="s">
        <v>3597</v>
      </c>
      <c r="D1298">
        <v>8032</v>
      </c>
      <c r="E1298" t="s">
        <v>3598</v>
      </c>
      <c r="F1298">
        <v>50000</v>
      </c>
      <c r="G1298" t="s">
        <v>622</v>
      </c>
      <c r="H1298">
        <v>50000</v>
      </c>
      <c r="I1298" t="s">
        <v>2607</v>
      </c>
    </row>
    <row r="1299" spans="1:9" x14ac:dyDescent="0.25">
      <c r="A1299" s="91">
        <v>46093</v>
      </c>
      <c r="B1299" t="s">
        <v>682</v>
      </c>
      <c r="C1299" t="s">
        <v>3599</v>
      </c>
      <c r="D1299">
        <v>7302</v>
      </c>
      <c r="E1299" t="s">
        <v>768</v>
      </c>
      <c r="F1299">
        <v>27000</v>
      </c>
      <c r="G1299" t="s">
        <v>622</v>
      </c>
      <c r="H1299">
        <v>27000</v>
      </c>
      <c r="I1299" t="s">
        <v>2633</v>
      </c>
    </row>
    <row r="1300" spans="1:9" x14ac:dyDescent="0.25">
      <c r="A1300" s="91">
        <v>46093</v>
      </c>
      <c r="B1300" t="s">
        <v>688</v>
      </c>
      <c r="C1300" t="s">
        <v>3600</v>
      </c>
      <c r="D1300">
        <v>7741</v>
      </c>
      <c r="E1300" t="s">
        <v>690</v>
      </c>
      <c r="F1300">
        <v>68000</v>
      </c>
      <c r="G1300" t="s">
        <v>622</v>
      </c>
      <c r="H1300">
        <v>68000</v>
      </c>
      <c r="I1300" t="s">
        <v>2633</v>
      </c>
    </row>
    <row r="1301" spans="1:9" x14ac:dyDescent="0.25">
      <c r="A1301" s="91">
        <v>46093</v>
      </c>
      <c r="B1301">
        <v>7002</v>
      </c>
      <c r="C1301" t="s">
        <v>3601</v>
      </c>
      <c r="D1301">
        <v>907015</v>
      </c>
      <c r="E1301" t="s">
        <v>3128</v>
      </c>
      <c r="F1301">
        <v>193</v>
      </c>
      <c r="G1301" t="s">
        <v>619</v>
      </c>
      <c r="H1301">
        <v>193</v>
      </c>
      <c r="I1301" t="s">
        <v>2607</v>
      </c>
    </row>
    <row r="1302" spans="1:9" x14ac:dyDescent="0.25">
      <c r="A1302" s="91">
        <v>46093</v>
      </c>
      <c r="B1302" t="s">
        <v>2665</v>
      </c>
      <c r="C1302" t="s">
        <v>2533</v>
      </c>
      <c r="D1302" t="s">
        <v>1105</v>
      </c>
      <c r="E1302" t="s">
        <v>2934</v>
      </c>
      <c r="F1302">
        <v>800</v>
      </c>
      <c r="G1302" t="s">
        <v>619</v>
      </c>
      <c r="H1302">
        <v>800</v>
      </c>
      <c r="I1302" t="s">
        <v>2607</v>
      </c>
    </row>
    <row r="1303" spans="1:9" x14ac:dyDescent="0.25">
      <c r="A1303" s="91">
        <v>46094</v>
      </c>
      <c r="B1303" t="s">
        <v>2658</v>
      </c>
      <c r="C1303" t="s">
        <v>3602</v>
      </c>
      <c r="D1303" t="s">
        <v>639</v>
      </c>
      <c r="E1303" t="s">
        <v>640</v>
      </c>
      <c r="F1303">
        <v>2500</v>
      </c>
      <c r="G1303" t="s">
        <v>619</v>
      </c>
      <c r="H1303">
        <v>2500</v>
      </c>
      <c r="I1303" t="s">
        <v>2607</v>
      </c>
    </row>
    <row r="1304" spans="1:9" x14ac:dyDescent="0.25">
      <c r="A1304" s="91">
        <v>46094</v>
      </c>
      <c r="B1304" t="s">
        <v>2614</v>
      </c>
      <c r="C1304" t="s">
        <v>3603</v>
      </c>
      <c r="D1304" t="s">
        <v>3604</v>
      </c>
      <c r="E1304" t="s">
        <v>3605</v>
      </c>
      <c r="F1304">
        <v>100</v>
      </c>
      <c r="G1304" t="s">
        <v>619</v>
      </c>
      <c r="H1304">
        <v>100</v>
      </c>
      <c r="I1304" t="s">
        <v>2607</v>
      </c>
    </row>
    <row r="1305" spans="1:9" x14ac:dyDescent="0.25">
      <c r="A1305" s="91">
        <v>46094</v>
      </c>
      <c r="B1305" t="s">
        <v>2617</v>
      </c>
      <c r="C1305" t="s">
        <v>3606</v>
      </c>
      <c r="D1305">
        <v>5150010450</v>
      </c>
      <c r="E1305" t="s">
        <v>2619</v>
      </c>
      <c r="F1305">
        <v>2256</v>
      </c>
      <c r="G1305" t="s">
        <v>619</v>
      </c>
      <c r="H1305">
        <v>2256</v>
      </c>
      <c r="I1305" t="s">
        <v>2607</v>
      </c>
    </row>
    <row r="1306" spans="1:9" x14ac:dyDescent="0.25">
      <c r="A1306" s="91">
        <v>46094</v>
      </c>
      <c r="B1306" t="s">
        <v>2610</v>
      </c>
      <c r="C1306" t="s">
        <v>3607</v>
      </c>
      <c r="D1306" t="s">
        <v>3588</v>
      </c>
      <c r="E1306" t="s">
        <v>3589</v>
      </c>
      <c r="F1306">
        <v>15000</v>
      </c>
      <c r="G1306" t="s">
        <v>619</v>
      </c>
      <c r="H1306">
        <v>15000</v>
      </c>
      <c r="I1306" t="s">
        <v>2607</v>
      </c>
    </row>
    <row r="1307" spans="1:9" x14ac:dyDescent="0.25">
      <c r="A1307" s="91">
        <v>46094</v>
      </c>
      <c r="B1307" t="s">
        <v>2610</v>
      </c>
      <c r="C1307" t="s">
        <v>3608</v>
      </c>
      <c r="D1307">
        <v>520860</v>
      </c>
      <c r="E1307" t="s">
        <v>1388</v>
      </c>
      <c r="F1307">
        <v>12500</v>
      </c>
      <c r="G1307" t="s">
        <v>619</v>
      </c>
      <c r="H1307">
        <v>12500</v>
      </c>
      <c r="I1307" t="s">
        <v>2607</v>
      </c>
    </row>
    <row r="1308" spans="1:9" x14ac:dyDescent="0.25">
      <c r="A1308" s="91">
        <v>46094</v>
      </c>
      <c r="B1308" t="s">
        <v>2606</v>
      </c>
      <c r="C1308" t="s">
        <v>2537</v>
      </c>
      <c r="D1308">
        <v>85202</v>
      </c>
      <c r="E1308" t="s">
        <v>2070</v>
      </c>
      <c r="F1308">
        <v>7300</v>
      </c>
      <c r="G1308" t="s">
        <v>619</v>
      </c>
      <c r="H1308">
        <v>7300</v>
      </c>
      <c r="I1308" t="s">
        <v>2607</v>
      </c>
    </row>
    <row r="1309" spans="1:9" x14ac:dyDescent="0.25">
      <c r="A1309" s="91">
        <v>46094</v>
      </c>
      <c r="B1309" t="s">
        <v>2606</v>
      </c>
      <c r="C1309" t="s">
        <v>3609</v>
      </c>
      <c r="D1309" t="s">
        <v>340</v>
      </c>
      <c r="E1309" t="s">
        <v>3610</v>
      </c>
      <c r="F1309">
        <v>1620</v>
      </c>
      <c r="G1309" t="s">
        <v>619</v>
      </c>
      <c r="H1309">
        <v>1620</v>
      </c>
      <c r="I1309" t="s">
        <v>2607</v>
      </c>
    </row>
    <row r="1310" spans="1:9" x14ac:dyDescent="0.25">
      <c r="A1310" s="91">
        <v>46094</v>
      </c>
      <c r="B1310" t="s">
        <v>2665</v>
      </c>
      <c r="C1310" t="s">
        <v>3611</v>
      </c>
      <c r="D1310" t="s">
        <v>623</v>
      </c>
      <c r="E1310" t="s">
        <v>2703</v>
      </c>
      <c r="F1310">
        <v>6500</v>
      </c>
      <c r="G1310" t="s">
        <v>619</v>
      </c>
      <c r="H1310">
        <v>6500</v>
      </c>
      <c r="I1310" t="s">
        <v>2607</v>
      </c>
    </row>
    <row r="1311" spans="1:9" x14ac:dyDescent="0.25">
      <c r="A1311" s="91">
        <v>46094</v>
      </c>
      <c r="B1311" t="s">
        <v>2614</v>
      </c>
      <c r="C1311" t="s">
        <v>3612</v>
      </c>
      <c r="D1311">
        <v>900106</v>
      </c>
      <c r="E1311" t="s">
        <v>2616</v>
      </c>
      <c r="F1311">
        <v>480</v>
      </c>
      <c r="G1311" t="s">
        <v>619</v>
      </c>
      <c r="H1311">
        <v>480</v>
      </c>
      <c r="I1311" t="s">
        <v>2607</v>
      </c>
    </row>
    <row r="1312" spans="1:9" x14ac:dyDescent="0.25">
      <c r="A1312" s="91">
        <v>46094</v>
      </c>
      <c r="B1312" t="s">
        <v>715</v>
      </c>
      <c r="C1312" t="s">
        <v>3613</v>
      </c>
      <c r="D1312">
        <v>7193</v>
      </c>
      <c r="E1312" t="s">
        <v>811</v>
      </c>
      <c r="F1312">
        <v>55000</v>
      </c>
      <c r="G1312" t="s">
        <v>622</v>
      </c>
      <c r="H1312">
        <v>55000</v>
      </c>
      <c r="I1312" t="s">
        <v>2633</v>
      </c>
    </row>
    <row r="1313" spans="1:9" x14ac:dyDescent="0.25">
      <c r="A1313" s="91">
        <v>46094</v>
      </c>
      <c r="B1313" t="s">
        <v>2621</v>
      </c>
      <c r="C1313" t="s">
        <v>3614</v>
      </c>
      <c r="D1313" t="s">
        <v>2669</v>
      </c>
      <c r="E1313" t="s">
        <v>2670</v>
      </c>
      <c r="F1313">
        <v>4762</v>
      </c>
      <c r="G1313" t="s">
        <v>619</v>
      </c>
      <c r="H1313">
        <v>4762</v>
      </c>
      <c r="I1313" t="s">
        <v>2607</v>
      </c>
    </row>
    <row r="1314" spans="1:9" x14ac:dyDescent="0.25">
      <c r="A1314" s="91">
        <v>46094</v>
      </c>
      <c r="B1314" t="s">
        <v>2628</v>
      </c>
      <c r="C1314" t="s">
        <v>3615</v>
      </c>
      <c r="D1314">
        <v>9011235</v>
      </c>
      <c r="E1314" t="s">
        <v>2630</v>
      </c>
      <c r="F1314">
        <v>350</v>
      </c>
      <c r="G1314" t="s">
        <v>619</v>
      </c>
      <c r="H1314">
        <v>350</v>
      </c>
      <c r="I1314" t="s">
        <v>2607</v>
      </c>
    </row>
    <row r="1315" spans="1:9" x14ac:dyDescent="0.25">
      <c r="A1315" s="91">
        <v>46094</v>
      </c>
      <c r="B1315" t="s">
        <v>712</v>
      </c>
      <c r="C1315" t="s">
        <v>3616</v>
      </c>
      <c r="D1315">
        <v>8032</v>
      </c>
      <c r="E1315" t="s">
        <v>3598</v>
      </c>
      <c r="F1315">
        <v>50000</v>
      </c>
      <c r="G1315" t="s">
        <v>622</v>
      </c>
      <c r="H1315">
        <v>50000</v>
      </c>
      <c r="I1315" t="s">
        <v>2607</v>
      </c>
    </row>
    <row r="1316" spans="1:9" x14ac:dyDescent="0.25">
      <c r="A1316" s="91">
        <v>46094</v>
      </c>
      <c r="B1316" t="s">
        <v>682</v>
      </c>
      <c r="C1316" t="s">
        <v>3617</v>
      </c>
      <c r="D1316">
        <v>7304</v>
      </c>
      <c r="E1316" t="s">
        <v>770</v>
      </c>
      <c r="F1316">
        <v>27000</v>
      </c>
      <c r="G1316" t="s">
        <v>622</v>
      </c>
      <c r="H1316">
        <v>27000</v>
      </c>
      <c r="I1316" t="s">
        <v>2633</v>
      </c>
    </row>
    <row r="1317" spans="1:9" x14ac:dyDescent="0.25">
      <c r="A1317" s="91">
        <v>46094</v>
      </c>
      <c r="B1317" t="s">
        <v>688</v>
      </c>
      <c r="C1317" t="s">
        <v>3618</v>
      </c>
      <c r="D1317">
        <v>7741</v>
      </c>
      <c r="E1317" t="s">
        <v>690</v>
      </c>
      <c r="F1317">
        <v>68000</v>
      </c>
      <c r="G1317" t="s">
        <v>622</v>
      </c>
      <c r="H1317">
        <v>68000</v>
      </c>
      <c r="I1317" t="s">
        <v>2633</v>
      </c>
    </row>
    <row r="1318" spans="1:9" x14ac:dyDescent="0.25">
      <c r="A1318" s="91">
        <v>46094</v>
      </c>
      <c r="B1318">
        <v>7002</v>
      </c>
      <c r="C1318" t="s">
        <v>3619</v>
      </c>
      <c r="D1318">
        <v>907015</v>
      </c>
      <c r="E1318" t="s">
        <v>3128</v>
      </c>
      <c r="F1318">
        <v>193</v>
      </c>
      <c r="G1318" t="s">
        <v>619</v>
      </c>
      <c r="H1318">
        <v>193</v>
      </c>
      <c r="I1318" t="s">
        <v>2607</v>
      </c>
    </row>
    <row r="1319" spans="1:9" x14ac:dyDescent="0.25">
      <c r="A1319" s="91">
        <v>46094</v>
      </c>
      <c r="B1319" t="s">
        <v>2736</v>
      </c>
      <c r="C1319" t="s">
        <v>3620</v>
      </c>
      <c r="D1319" t="s">
        <v>2135</v>
      </c>
      <c r="E1319" t="s">
        <v>2136</v>
      </c>
      <c r="F1319">
        <v>260</v>
      </c>
      <c r="G1319" t="s">
        <v>622</v>
      </c>
      <c r="H1319">
        <v>260</v>
      </c>
      <c r="I1319" t="s">
        <v>2607</v>
      </c>
    </row>
    <row r="1320" spans="1:9" x14ac:dyDescent="0.25">
      <c r="A1320" s="91">
        <v>46097</v>
      </c>
      <c r="B1320" t="s">
        <v>2658</v>
      </c>
      <c r="C1320" t="s">
        <v>3621</v>
      </c>
      <c r="D1320" t="s">
        <v>639</v>
      </c>
      <c r="E1320" t="s">
        <v>640</v>
      </c>
      <c r="F1320">
        <v>2500</v>
      </c>
      <c r="G1320" t="s">
        <v>619</v>
      </c>
      <c r="H1320">
        <v>2500</v>
      </c>
      <c r="I1320" t="s">
        <v>2607</v>
      </c>
    </row>
    <row r="1321" spans="1:9" x14ac:dyDescent="0.25">
      <c r="A1321" s="91">
        <v>46097</v>
      </c>
      <c r="B1321" t="s">
        <v>2617</v>
      </c>
      <c r="C1321" t="s">
        <v>3622</v>
      </c>
      <c r="D1321">
        <v>5150010450</v>
      </c>
      <c r="E1321" t="s">
        <v>2619</v>
      </c>
      <c r="F1321">
        <v>2256</v>
      </c>
      <c r="G1321" t="s">
        <v>619</v>
      </c>
      <c r="H1321">
        <v>2256</v>
      </c>
      <c r="I1321" t="s">
        <v>2607</v>
      </c>
    </row>
    <row r="1322" spans="1:9" x14ac:dyDescent="0.25">
      <c r="A1322" s="91">
        <v>46097</v>
      </c>
      <c r="B1322" t="s">
        <v>2617</v>
      </c>
      <c r="C1322" t="s">
        <v>3623</v>
      </c>
      <c r="D1322">
        <v>5150010450</v>
      </c>
      <c r="E1322" t="s">
        <v>2619</v>
      </c>
      <c r="F1322">
        <v>2256</v>
      </c>
      <c r="G1322" t="s">
        <v>619</v>
      </c>
      <c r="H1322">
        <v>2256</v>
      </c>
      <c r="I1322" t="s">
        <v>2607</v>
      </c>
    </row>
    <row r="1323" spans="1:9" x14ac:dyDescent="0.25">
      <c r="A1323" s="91">
        <v>46097</v>
      </c>
      <c r="B1323" t="s">
        <v>2608</v>
      </c>
      <c r="C1323" t="s">
        <v>3624</v>
      </c>
      <c r="D1323">
        <v>85132</v>
      </c>
      <c r="E1323" t="s">
        <v>3625</v>
      </c>
      <c r="F1323">
        <v>14584</v>
      </c>
      <c r="G1323" t="s">
        <v>619</v>
      </c>
      <c r="H1323">
        <v>14584</v>
      </c>
      <c r="I1323" t="s">
        <v>2607</v>
      </c>
    </row>
    <row r="1324" spans="1:9" x14ac:dyDescent="0.25">
      <c r="A1324" s="91">
        <v>46097</v>
      </c>
      <c r="B1324" t="s">
        <v>2608</v>
      </c>
      <c r="C1324" t="s">
        <v>3626</v>
      </c>
      <c r="D1324">
        <v>85130</v>
      </c>
      <c r="E1324" t="s">
        <v>3627</v>
      </c>
      <c r="F1324">
        <v>14584</v>
      </c>
      <c r="G1324" t="s">
        <v>619</v>
      </c>
      <c r="H1324">
        <v>14584</v>
      </c>
      <c r="I1324" t="s">
        <v>2607</v>
      </c>
    </row>
    <row r="1325" spans="1:9" x14ac:dyDescent="0.25">
      <c r="A1325" s="91">
        <v>46097</v>
      </c>
      <c r="B1325" t="s">
        <v>2606</v>
      </c>
      <c r="C1325" t="s">
        <v>3628</v>
      </c>
      <c r="D1325">
        <v>85204</v>
      </c>
      <c r="E1325" t="s">
        <v>1398</v>
      </c>
      <c r="F1325">
        <v>4166</v>
      </c>
      <c r="G1325" t="s">
        <v>619</v>
      </c>
      <c r="H1325">
        <v>4166</v>
      </c>
      <c r="I1325" t="s">
        <v>2607</v>
      </c>
    </row>
    <row r="1326" spans="1:9" x14ac:dyDescent="0.25">
      <c r="A1326" s="91">
        <v>46097</v>
      </c>
      <c r="B1326" t="s">
        <v>2606</v>
      </c>
      <c r="C1326" t="s">
        <v>3629</v>
      </c>
      <c r="D1326">
        <v>85204</v>
      </c>
      <c r="E1326" t="s">
        <v>1398</v>
      </c>
      <c r="F1326">
        <v>4166</v>
      </c>
      <c r="G1326" t="s">
        <v>619</v>
      </c>
      <c r="H1326">
        <v>4166</v>
      </c>
      <c r="I1326" t="s">
        <v>2607</v>
      </c>
    </row>
    <row r="1327" spans="1:9" x14ac:dyDescent="0.25">
      <c r="A1327" s="91">
        <v>46097</v>
      </c>
      <c r="B1327" t="s">
        <v>2665</v>
      </c>
      <c r="C1327" t="s">
        <v>3630</v>
      </c>
      <c r="D1327" t="s">
        <v>3631</v>
      </c>
      <c r="E1327" t="s">
        <v>3632</v>
      </c>
      <c r="F1327">
        <v>400</v>
      </c>
      <c r="G1327" t="s">
        <v>619</v>
      </c>
      <c r="H1327">
        <v>400</v>
      </c>
      <c r="I1327" t="s">
        <v>2607</v>
      </c>
    </row>
    <row r="1328" spans="1:9" x14ac:dyDescent="0.25">
      <c r="A1328" s="91">
        <v>46097</v>
      </c>
      <c r="B1328" t="s">
        <v>2621</v>
      </c>
      <c r="C1328" t="s">
        <v>3633</v>
      </c>
      <c r="D1328" t="s">
        <v>2639</v>
      </c>
      <c r="E1328" t="s">
        <v>2640</v>
      </c>
      <c r="F1328">
        <v>4762</v>
      </c>
      <c r="G1328" t="s">
        <v>619</v>
      </c>
      <c r="H1328">
        <v>4762</v>
      </c>
      <c r="I1328" t="s">
        <v>2607</v>
      </c>
    </row>
    <row r="1329" spans="1:9" x14ac:dyDescent="0.25">
      <c r="A1329" s="91">
        <v>46097</v>
      </c>
      <c r="B1329" t="s">
        <v>2621</v>
      </c>
      <c r="C1329" t="s">
        <v>3634</v>
      </c>
      <c r="D1329" t="s">
        <v>2639</v>
      </c>
      <c r="E1329" t="s">
        <v>2640</v>
      </c>
      <c r="F1329">
        <v>4762</v>
      </c>
      <c r="G1329" t="s">
        <v>619</v>
      </c>
      <c r="H1329">
        <v>4762</v>
      </c>
      <c r="I1329" t="s">
        <v>2607</v>
      </c>
    </row>
    <row r="1330" spans="1:9" x14ac:dyDescent="0.25">
      <c r="A1330" s="91">
        <v>46097</v>
      </c>
      <c r="B1330" t="s">
        <v>2624</v>
      </c>
      <c r="C1330" t="s">
        <v>3635</v>
      </c>
      <c r="D1330" t="s">
        <v>2639</v>
      </c>
      <c r="E1330" t="s">
        <v>2640</v>
      </c>
      <c r="F1330">
        <v>3505</v>
      </c>
      <c r="G1330" t="s">
        <v>619</v>
      </c>
      <c r="H1330">
        <v>3505</v>
      </c>
      <c r="I1330" t="s">
        <v>2607</v>
      </c>
    </row>
    <row r="1331" spans="1:9" x14ac:dyDescent="0.25">
      <c r="A1331" s="91">
        <v>46097</v>
      </c>
      <c r="B1331" t="s">
        <v>2624</v>
      </c>
      <c r="C1331" t="s">
        <v>3636</v>
      </c>
      <c r="D1331" t="s">
        <v>2713</v>
      </c>
      <c r="E1331" t="s">
        <v>2714</v>
      </c>
      <c r="F1331">
        <v>2400</v>
      </c>
      <c r="G1331" t="s">
        <v>619</v>
      </c>
      <c r="H1331">
        <v>2400</v>
      </c>
      <c r="I1331" t="s">
        <v>2607</v>
      </c>
    </row>
    <row r="1332" spans="1:9" x14ac:dyDescent="0.25">
      <c r="A1332" s="91">
        <v>46097</v>
      </c>
      <c r="B1332">
        <v>7002</v>
      </c>
      <c r="C1332" t="s">
        <v>3637</v>
      </c>
      <c r="D1332">
        <v>907019</v>
      </c>
      <c r="E1332" t="s">
        <v>3154</v>
      </c>
      <c r="F1332">
        <v>108</v>
      </c>
      <c r="G1332" t="s">
        <v>619</v>
      </c>
      <c r="H1332">
        <v>108</v>
      </c>
      <c r="I1332" t="s">
        <v>2607</v>
      </c>
    </row>
    <row r="1333" spans="1:9" x14ac:dyDescent="0.25">
      <c r="A1333" s="91">
        <v>46097</v>
      </c>
      <c r="B1333" t="s">
        <v>2665</v>
      </c>
      <c r="C1333" t="s">
        <v>3638</v>
      </c>
      <c r="D1333" t="s">
        <v>3639</v>
      </c>
      <c r="E1333" t="s">
        <v>3640</v>
      </c>
      <c r="F1333">
        <v>4500</v>
      </c>
      <c r="G1333" t="s">
        <v>619</v>
      </c>
      <c r="H1333">
        <v>4500</v>
      </c>
      <c r="I1333" t="s">
        <v>2607</v>
      </c>
    </row>
    <row r="1334" spans="1:9" x14ac:dyDescent="0.25">
      <c r="A1334" s="91">
        <v>46098</v>
      </c>
      <c r="B1334" t="s">
        <v>685</v>
      </c>
      <c r="C1334" t="s">
        <v>3641</v>
      </c>
      <c r="D1334">
        <v>7374</v>
      </c>
      <c r="E1334" t="s">
        <v>785</v>
      </c>
      <c r="F1334">
        <v>25000</v>
      </c>
      <c r="G1334" t="s">
        <v>622</v>
      </c>
      <c r="H1334">
        <v>25000</v>
      </c>
      <c r="I1334" t="s">
        <v>2633</v>
      </c>
    </row>
    <row r="1335" spans="1:9" x14ac:dyDescent="0.25">
      <c r="A1335" s="91">
        <v>46098</v>
      </c>
      <c r="B1335" t="s">
        <v>2614</v>
      </c>
      <c r="C1335" t="s">
        <v>3642</v>
      </c>
      <c r="D1335">
        <v>900114</v>
      </c>
      <c r="E1335" t="s">
        <v>2655</v>
      </c>
      <c r="F1335">
        <v>480</v>
      </c>
      <c r="G1335" t="s">
        <v>619</v>
      </c>
      <c r="H1335">
        <v>480</v>
      </c>
      <c r="I1335" t="s">
        <v>2607</v>
      </c>
    </row>
    <row r="1336" spans="1:9" x14ac:dyDescent="0.25">
      <c r="A1336" s="91">
        <v>46098</v>
      </c>
      <c r="B1336" t="s">
        <v>2617</v>
      </c>
      <c r="C1336" t="s">
        <v>3643</v>
      </c>
      <c r="D1336">
        <v>5150010450</v>
      </c>
      <c r="E1336" t="s">
        <v>2619</v>
      </c>
      <c r="F1336">
        <v>2256</v>
      </c>
      <c r="G1336" t="s">
        <v>619</v>
      </c>
      <c r="H1336">
        <v>2256</v>
      </c>
      <c r="I1336" t="s">
        <v>2607</v>
      </c>
    </row>
    <row r="1337" spans="1:9" x14ac:dyDescent="0.25">
      <c r="A1337" s="91">
        <v>46098</v>
      </c>
      <c r="B1337" t="s">
        <v>2606</v>
      </c>
      <c r="C1337" t="s">
        <v>3644</v>
      </c>
      <c r="D1337">
        <v>85204</v>
      </c>
      <c r="E1337" t="s">
        <v>1398</v>
      </c>
      <c r="F1337">
        <v>4166</v>
      </c>
      <c r="G1337" t="s">
        <v>619</v>
      </c>
      <c r="H1337">
        <v>4166</v>
      </c>
      <c r="I1337" t="s">
        <v>2607</v>
      </c>
    </row>
    <row r="1338" spans="1:9" x14ac:dyDescent="0.25">
      <c r="A1338" s="91">
        <v>46098</v>
      </c>
      <c r="B1338" t="s">
        <v>2606</v>
      </c>
      <c r="C1338" t="s">
        <v>3645</v>
      </c>
      <c r="D1338" t="s">
        <v>3646</v>
      </c>
      <c r="E1338" t="s">
        <v>3647</v>
      </c>
      <c r="F1338">
        <v>6260</v>
      </c>
      <c r="G1338" t="s">
        <v>619</v>
      </c>
      <c r="H1338">
        <v>6260</v>
      </c>
      <c r="I1338" t="s">
        <v>2607</v>
      </c>
    </row>
    <row r="1339" spans="1:9" x14ac:dyDescent="0.25">
      <c r="A1339" s="91">
        <v>46098</v>
      </c>
      <c r="B1339" t="s">
        <v>2606</v>
      </c>
      <c r="C1339" t="s">
        <v>3648</v>
      </c>
      <c r="D1339">
        <v>85204</v>
      </c>
      <c r="E1339" t="s">
        <v>1398</v>
      </c>
      <c r="F1339">
        <v>4166</v>
      </c>
      <c r="G1339" t="s">
        <v>619</v>
      </c>
      <c r="H1339">
        <v>4166</v>
      </c>
      <c r="I1339" t="s">
        <v>2607</v>
      </c>
    </row>
    <row r="1340" spans="1:9" x14ac:dyDescent="0.25">
      <c r="A1340" s="91">
        <v>46098</v>
      </c>
      <c r="B1340" t="s">
        <v>693</v>
      </c>
      <c r="C1340" t="s">
        <v>3649</v>
      </c>
      <c r="D1340">
        <v>910526</v>
      </c>
      <c r="E1340" t="s">
        <v>1602</v>
      </c>
      <c r="F1340">
        <v>9120</v>
      </c>
      <c r="G1340" t="s">
        <v>619</v>
      </c>
      <c r="H1340">
        <v>9120</v>
      </c>
      <c r="I1340" t="s">
        <v>2607</v>
      </c>
    </row>
    <row r="1341" spans="1:9" x14ac:dyDescent="0.25">
      <c r="A1341" s="91">
        <v>46098</v>
      </c>
      <c r="B1341" t="s">
        <v>2680</v>
      </c>
      <c r="C1341" t="s">
        <v>3650</v>
      </c>
      <c r="D1341">
        <v>900402</v>
      </c>
      <c r="E1341" t="s">
        <v>2886</v>
      </c>
      <c r="F1341">
        <v>480</v>
      </c>
      <c r="G1341" t="s">
        <v>619</v>
      </c>
      <c r="H1341">
        <v>480</v>
      </c>
      <c r="I1341" t="s">
        <v>2607</v>
      </c>
    </row>
    <row r="1342" spans="1:9" x14ac:dyDescent="0.25">
      <c r="A1342" s="91">
        <v>46098</v>
      </c>
      <c r="B1342" t="s">
        <v>2621</v>
      </c>
      <c r="C1342" t="s">
        <v>3651</v>
      </c>
      <c r="D1342" t="s">
        <v>2669</v>
      </c>
      <c r="E1342" t="s">
        <v>2670</v>
      </c>
      <c r="F1342">
        <v>4762</v>
      </c>
      <c r="G1342" t="s">
        <v>619</v>
      </c>
      <c r="H1342">
        <v>4762</v>
      </c>
      <c r="I1342" t="s">
        <v>2607</v>
      </c>
    </row>
    <row r="1343" spans="1:9" x14ac:dyDescent="0.25">
      <c r="A1343" s="91">
        <v>46098</v>
      </c>
      <c r="B1343" t="s">
        <v>2624</v>
      </c>
      <c r="C1343" t="s">
        <v>3652</v>
      </c>
      <c r="D1343" t="s">
        <v>2669</v>
      </c>
      <c r="E1343" t="s">
        <v>2670</v>
      </c>
      <c r="F1343">
        <v>3505</v>
      </c>
      <c r="G1343" t="s">
        <v>619</v>
      </c>
      <c r="H1343">
        <v>3505</v>
      </c>
      <c r="I1343" t="s">
        <v>2607</v>
      </c>
    </row>
    <row r="1344" spans="1:9" x14ac:dyDescent="0.25">
      <c r="A1344" s="91">
        <v>46098</v>
      </c>
      <c r="B1344" t="s">
        <v>712</v>
      </c>
      <c r="C1344" t="s">
        <v>3653</v>
      </c>
      <c r="D1344">
        <v>8032</v>
      </c>
      <c r="E1344" t="s">
        <v>3598</v>
      </c>
      <c r="F1344">
        <v>50000</v>
      </c>
      <c r="G1344" t="s">
        <v>622</v>
      </c>
      <c r="H1344">
        <v>50000</v>
      </c>
      <c r="I1344" t="s">
        <v>2607</v>
      </c>
    </row>
    <row r="1345" spans="1:9" x14ac:dyDescent="0.25">
      <c r="A1345" s="91">
        <v>46098</v>
      </c>
      <c r="B1345" t="s">
        <v>679</v>
      </c>
      <c r="C1345" t="s">
        <v>3654</v>
      </c>
      <c r="D1345">
        <v>7213</v>
      </c>
      <c r="E1345" t="s">
        <v>719</v>
      </c>
      <c r="F1345">
        <v>85000</v>
      </c>
      <c r="G1345" t="s">
        <v>622</v>
      </c>
      <c r="H1345">
        <v>85000</v>
      </c>
      <c r="I1345" t="s">
        <v>2633</v>
      </c>
    </row>
    <row r="1346" spans="1:9" x14ac:dyDescent="0.25">
      <c r="A1346" s="91">
        <v>46098</v>
      </c>
      <c r="B1346" t="s">
        <v>682</v>
      </c>
      <c r="C1346" t="s">
        <v>3655</v>
      </c>
      <c r="D1346">
        <v>7552</v>
      </c>
      <c r="E1346" t="s">
        <v>2752</v>
      </c>
      <c r="F1346">
        <v>24000</v>
      </c>
      <c r="G1346" t="s">
        <v>622</v>
      </c>
      <c r="H1346">
        <v>24000</v>
      </c>
      <c r="I1346" t="s">
        <v>2633</v>
      </c>
    </row>
    <row r="1347" spans="1:9" x14ac:dyDescent="0.25">
      <c r="A1347" s="91">
        <v>46098</v>
      </c>
      <c r="B1347" t="s">
        <v>688</v>
      </c>
      <c r="C1347" t="s">
        <v>3656</v>
      </c>
      <c r="D1347">
        <v>7746</v>
      </c>
      <c r="E1347" t="s">
        <v>692</v>
      </c>
      <c r="F1347">
        <v>68000</v>
      </c>
      <c r="G1347" t="s">
        <v>622</v>
      </c>
      <c r="H1347">
        <v>68000</v>
      </c>
      <c r="I1347" t="s">
        <v>2633</v>
      </c>
    </row>
    <row r="1348" spans="1:9" x14ac:dyDescent="0.25">
      <c r="A1348" s="91">
        <v>46098</v>
      </c>
      <c r="B1348">
        <v>7002</v>
      </c>
      <c r="C1348" t="s">
        <v>3657</v>
      </c>
      <c r="D1348">
        <v>907019</v>
      </c>
      <c r="E1348" t="s">
        <v>3154</v>
      </c>
      <c r="F1348">
        <v>108</v>
      </c>
      <c r="G1348" t="s">
        <v>619</v>
      </c>
      <c r="H1348">
        <v>108</v>
      </c>
      <c r="I1348" t="s">
        <v>2607</v>
      </c>
    </row>
    <row r="1349" spans="1:9" x14ac:dyDescent="0.25">
      <c r="A1349" s="91">
        <v>46098</v>
      </c>
      <c r="B1349" t="s">
        <v>693</v>
      </c>
      <c r="C1349" t="s">
        <v>3658</v>
      </c>
      <c r="D1349">
        <v>910326</v>
      </c>
      <c r="E1349" t="s">
        <v>1583</v>
      </c>
      <c r="F1349">
        <v>9120</v>
      </c>
      <c r="G1349" t="s">
        <v>619</v>
      </c>
      <c r="H1349">
        <v>9120</v>
      </c>
      <c r="I1349" t="s">
        <v>2607</v>
      </c>
    </row>
    <row r="1350" spans="1:9" x14ac:dyDescent="0.25">
      <c r="A1350" s="91">
        <v>46099</v>
      </c>
      <c r="B1350" t="s">
        <v>2614</v>
      </c>
      <c r="C1350" t="s">
        <v>3659</v>
      </c>
      <c r="D1350">
        <v>900114</v>
      </c>
      <c r="E1350" t="s">
        <v>2655</v>
      </c>
      <c r="F1350">
        <v>480</v>
      </c>
      <c r="G1350" t="s">
        <v>619</v>
      </c>
      <c r="H1350">
        <v>480</v>
      </c>
      <c r="I1350" t="s">
        <v>2607</v>
      </c>
    </row>
    <row r="1351" spans="1:9" x14ac:dyDescent="0.25">
      <c r="A1351" s="91">
        <v>46099</v>
      </c>
      <c r="B1351" t="s">
        <v>2617</v>
      </c>
      <c r="C1351" t="s">
        <v>3660</v>
      </c>
      <c r="D1351">
        <v>5150010450</v>
      </c>
      <c r="E1351" t="s">
        <v>2619</v>
      </c>
      <c r="F1351">
        <v>2256</v>
      </c>
      <c r="G1351" t="s">
        <v>619</v>
      </c>
      <c r="H1351">
        <v>2256</v>
      </c>
      <c r="I1351" t="s">
        <v>2607</v>
      </c>
    </row>
    <row r="1352" spans="1:9" x14ac:dyDescent="0.25">
      <c r="A1352" s="91">
        <v>46099</v>
      </c>
      <c r="B1352" t="s">
        <v>2608</v>
      </c>
      <c r="C1352" t="s">
        <v>3661</v>
      </c>
      <c r="D1352" t="s">
        <v>103</v>
      </c>
      <c r="E1352" t="s">
        <v>2077</v>
      </c>
      <c r="F1352">
        <v>7300</v>
      </c>
      <c r="G1352" t="s">
        <v>619</v>
      </c>
      <c r="H1352">
        <v>7300</v>
      </c>
      <c r="I1352" t="s">
        <v>2607</v>
      </c>
    </row>
    <row r="1353" spans="1:9" x14ac:dyDescent="0.25">
      <c r="A1353" s="91">
        <v>46099</v>
      </c>
      <c r="B1353" t="s">
        <v>2608</v>
      </c>
      <c r="C1353" t="s">
        <v>3662</v>
      </c>
      <c r="D1353">
        <v>79502</v>
      </c>
      <c r="E1353" t="s">
        <v>885</v>
      </c>
      <c r="F1353">
        <v>105000</v>
      </c>
      <c r="G1353" t="s">
        <v>622</v>
      </c>
      <c r="H1353">
        <v>105000</v>
      </c>
      <c r="I1353" t="s">
        <v>2609</v>
      </c>
    </row>
    <row r="1354" spans="1:9" x14ac:dyDescent="0.25">
      <c r="A1354" s="91">
        <v>46099</v>
      </c>
      <c r="B1354" t="s">
        <v>2606</v>
      </c>
      <c r="C1354" t="s">
        <v>3663</v>
      </c>
      <c r="D1354">
        <v>220185</v>
      </c>
      <c r="E1354" t="s">
        <v>3664</v>
      </c>
      <c r="F1354">
        <v>35000</v>
      </c>
      <c r="G1354" t="s">
        <v>622</v>
      </c>
      <c r="H1354">
        <v>35000</v>
      </c>
      <c r="I1354" t="s">
        <v>2609</v>
      </c>
    </row>
    <row r="1355" spans="1:9" x14ac:dyDescent="0.25">
      <c r="A1355" s="91">
        <v>46099</v>
      </c>
      <c r="B1355" t="s">
        <v>2606</v>
      </c>
      <c r="C1355" t="s">
        <v>3665</v>
      </c>
      <c r="D1355" t="s">
        <v>3646</v>
      </c>
      <c r="E1355" t="s">
        <v>3647</v>
      </c>
      <c r="F1355">
        <v>6260</v>
      </c>
      <c r="G1355" t="s">
        <v>619</v>
      </c>
      <c r="H1355">
        <v>6260</v>
      </c>
      <c r="I1355" t="s">
        <v>2607</v>
      </c>
    </row>
    <row r="1356" spans="1:9" x14ac:dyDescent="0.25">
      <c r="A1356" s="91">
        <v>46099</v>
      </c>
      <c r="B1356" t="s">
        <v>685</v>
      </c>
      <c r="C1356" t="s">
        <v>3666</v>
      </c>
      <c r="D1356">
        <v>7374</v>
      </c>
      <c r="E1356" t="s">
        <v>785</v>
      </c>
      <c r="F1356">
        <v>25000</v>
      </c>
      <c r="G1356" t="s">
        <v>622</v>
      </c>
      <c r="H1356">
        <v>25000</v>
      </c>
      <c r="I1356" t="s">
        <v>2633</v>
      </c>
    </row>
    <row r="1357" spans="1:9" x14ac:dyDescent="0.25">
      <c r="A1357" s="91">
        <v>46099</v>
      </c>
      <c r="B1357" t="s">
        <v>2665</v>
      </c>
      <c r="C1357" t="s">
        <v>3667</v>
      </c>
      <c r="D1357" t="s">
        <v>894</v>
      </c>
      <c r="E1357" t="s">
        <v>895</v>
      </c>
      <c r="F1357">
        <v>2300</v>
      </c>
      <c r="G1357" t="s">
        <v>619</v>
      </c>
      <c r="H1357">
        <v>2300</v>
      </c>
      <c r="I1357" t="s">
        <v>2607</v>
      </c>
    </row>
    <row r="1358" spans="1:9" x14ac:dyDescent="0.25">
      <c r="A1358" s="91">
        <v>46099</v>
      </c>
      <c r="B1358" t="s">
        <v>2608</v>
      </c>
      <c r="C1358" t="s">
        <v>3668</v>
      </c>
      <c r="D1358">
        <v>7154</v>
      </c>
      <c r="E1358" t="s">
        <v>631</v>
      </c>
      <c r="F1358">
        <v>95000</v>
      </c>
      <c r="G1358" t="s">
        <v>622</v>
      </c>
      <c r="H1358">
        <v>95000</v>
      </c>
      <c r="I1358" t="s">
        <v>2609</v>
      </c>
    </row>
    <row r="1359" spans="1:9" x14ac:dyDescent="0.25">
      <c r="A1359" s="91">
        <v>46099</v>
      </c>
      <c r="B1359" t="s">
        <v>2665</v>
      </c>
      <c r="C1359" t="s">
        <v>3669</v>
      </c>
      <c r="D1359" t="s">
        <v>3670</v>
      </c>
      <c r="E1359" t="s">
        <v>3671</v>
      </c>
      <c r="F1359">
        <v>116</v>
      </c>
      <c r="G1359" t="s">
        <v>619</v>
      </c>
      <c r="H1359">
        <v>116</v>
      </c>
      <c r="I1359" t="s">
        <v>2607</v>
      </c>
    </row>
    <row r="1360" spans="1:9" x14ac:dyDescent="0.25">
      <c r="A1360" s="91">
        <v>46099</v>
      </c>
      <c r="B1360" t="s">
        <v>2621</v>
      </c>
      <c r="C1360" t="s">
        <v>3672</v>
      </c>
      <c r="D1360" t="s">
        <v>2669</v>
      </c>
      <c r="E1360" t="s">
        <v>2670</v>
      </c>
      <c r="F1360">
        <v>4762</v>
      </c>
      <c r="G1360" t="s">
        <v>619</v>
      </c>
      <c r="H1360">
        <v>4762</v>
      </c>
      <c r="I1360" t="s">
        <v>2607</v>
      </c>
    </row>
    <row r="1361" spans="1:9" x14ac:dyDescent="0.25">
      <c r="A1361" s="91">
        <v>46099</v>
      </c>
      <c r="B1361" t="s">
        <v>2624</v>
      </c>
      <c r="C1361" t="s">
        <v>3673</v>
      </c>
      <c r="D1361" t="s">
        <v>2669</v>
      </c>
      <c r="E1361" t="s">
        <v>2670</v>
      </c>
      <c r="F1361">
        <v>3505</v>
      </c>
      <c r="G1361" t="s">
        <v>619</v>
      </c>
      <c r="H1361">
        <v>3505</v>
      </c>
      <c r="I1361" t="s">
        <v>2607</v>
      </c>
    </row>
    <row r="1362" spans="1:9" x14ac:dyDescent="0.25">
      <c r="A1362" s="91">
        <v>46099</v>
      </c>
      <c r="B1362" t="s">
        <v>712</v>
      </c>
      <c r="C1362" t="s">
        <v>3674</v>
      </c>
      <c r="D1362">
        <v>8032</v>
      </c>
      <c r="E1362" t="s">
        <v>3598</v>
      </c>
      <c r="F1362">
        <v>50000</v>
      </c>
      <c r="G1362" t="s">
        <v>622</v>
      </c>
      <c r="H1362">
        <v>50000</v>
      </c>
      <c r="I1362" t="s">
        <v>2607</v>
      </c>
    </row>
    <row r="1363" spans="1:9" x14ac:dyDescent="0.25">
      <c r="A1363" s="91">
        <v>46099</v>
      </c>
      <c r="B1363" t="s">
        <v>679</v>
      </c>
      <c r="C1363" t="s">
        <v>3675</v>
      </c>
      <c r="D1363">
        <v>7213</v>
      </c>
      <c r="E1363" t="s">
        <v>719</v>
      </c>
      <c r="F1363">
        <v>85000</v>
      </c>
      <c r="G1363" t="s">
        <v>622</v>
      </c>
      <c r="H1363">
        <v>85000</v>
      </c>
      <c r="I1363" t="s">
        <v>2633</v>
      </c>
    </row>
    <row r="1364" spans="1:9" x14ac:dyDescent="0.25">
      <c r="A1364" s="91">
        <v>46099</v>
      </c>
      <c r="B1364" t="s">
        <v>682</v>
      </c>
      <c r="C1364" t="s">
        <v>3676</v>
      </c>
      <c r="D1364">
        <v>7281</v>
      </c>
      <c r="E1364" t="s">
        <v>739</v>
      </c>
      <c r="F1364">
        <v>28000</v>
      </c>
      <c r="G1364" t="s">
        <v>622</v>
      </c>
      <c r="H1364">
        <v>28000</v>
      </c>
      <c r="I1364" t="s">
        <v>2633</v>
      </c>
    </row>
    <row r="1365" spans="1:9" x14ac:dyDescent="0.25">
      <c r="A1365" s="91">
        <v>46099</v>
      </c>
      <c r="B1365" t="s">
        <v>688</v>
      </c>
      <c r="C1365" t="s">
        <v>3677</v>
      </c>
      <c r="D1365">
        <v>7746</v>
      </c>
      <c r="E1365" t="s">
        <v>692</v>
      </c>
      <c r="F1365">
        <v>68000</v>
      </c>
      <c r="G1365" t="s">
        <v>622</v>
      </c>
      <c r="H1365">
        <v>68000</v>
      </c>
      <c r="I1365" t="s">
        <v>2633</v>
      </c>
    </row>
    <row r="1366" spans="1:9" x14ac:dyDescent="0.25">
      <c r="A1366" s="91">
        <v>46099</v>
      </c>
      <c r="B1366">
        <v>7002</v>
      </c>
      <c r="C1366" t="s">
        <v>3678</v>
      </c>
      <c r="D1366">
        <v>907019</v>
      </c>
      <c r="E1366" t="s">
        <v>3154</v>
      </c>
      <c r="F1366">
        <v>108</v>
      </c>
      <c r="G1366" t="s">
        <v>619</v>
      </c>
      <c r="H1366">
        <v>108</v>
      </c>
      <c r="I1366" t="s">
        <v>2607</v>
      </c>
    </row>
    <row r="1367" spans="1:9" x14ac:dyDescent="0.25">
      <c r="A1367" s="91">
        <v>46099</v>
      </c>
      <c r="B1367" t="s">
        <v>2665</v>
      </c>
      <c r="C1367" t="s">
        <v>3679</v>
      </c>
      <c r="D1367" t="s">
        <v>3680</v>
      </c>
      <c r="E1367" t="s">
        <v>3681</v>
      </c>
      <c r="F1367">
        <v>6500</v>
      </c>
      <c r="G1367" t="s">
        <v>619</v>
      </c>
      <c r="H1367">
        <v>6500</v>
      </c>
      <c r="I1367" t="s">
        <v>2607</v>
      </c>
    </row>
    <row r="1368" spans="1:9" x14ac:dyDescent="0.25">
      <c r="A1368" s="91">
        <v>46100</v>
      </c>
      <c r="B1368" t="s">
        <v>81</v>
      </c>
      <c r="C1368" t="s">
        <v>3682</v>
      </c>
      <c r="D1368">
        <v>2248</v>
      </c>
      <c r="E1368" t="s">
        <v>751</v>
      </c>
      <c r="F1368">
        <v>48</v>
      </c>
      <c r="G1368" t="s">
        <v>622</v>
      </c>
      <c r="H1368">
        <v>48</v>
      </c>
      <c r="I1368" t="s">
        <v>2607</v>
      </c>
    </row>
    <row r="1369" spans="1:9" x14ac:dyDescent="0.25">
      <c r="A1369" s="91">
        <v>46100</v>
      </c>
      <c r="B1369" t="s">
        <v>81</v>
      </c>
      <c r="C1369" t="s">
        <v>3683</v>
      </c>
      <c r="D1369">
        <v>2232</v>
      </c>
      <c r="E1369" t="s">
        <v>778</v>
      </c>
      <c r="F1369">
        <v>120</v>
      </c>
      <c r="G1369" t="s">
        <v>622</v>
      </c>
      <c r="H1369">
        <v>120</v>
      </c>
      <c r="I1369" t="s">
        <v>2607</v>
      </c>
    </row>
    <row r="1370" spans="1:9" x14ac:dyDescent="0.25">
      <c r="A1370" s="91">
        <v>46100</v>
      </c>
      <c r="B1370" t="s">
        <v>81</v>
      </c>
      <c r="C1370" t="s">
        <v>3684</v>
      </c>
      <c r="D1370">
        <v>2252</v>
      </c>
      <c r="E1370" t="s">
        <v>799</v>
      </c>
      <c r="F1370">
        <v>60</v>
      </c>
      <c r="G1370" t="s">
        <v>622</v>
      </c>
      <c r="H1370">
        <v>60</v>
      </c>
      <c r="I1370" t="s">
        <v>2607</v>
      </c>
    </row>
    <row r="1371" spans="1:9" x14ac:dyDescent="0.25">
      <c r="A1371" s="91">
        <v>46100</v>
      </c>
      <c r="B1371" t="s">
        <v>81</v>
      </c>
      <c r="C1371" t="s">
        <v>3685</v>
      </c>
      <c r="D1371">
        <v>2242</v>
      </c>
      <c r="E1371" t="s">
        <v>793</v>
      </c>
      <c r="F1371">
        <v>180</v>
      </c>
      <c r="G1371" t="s">
        <v>622</v>
      </c>
      <c r="H1371">
        <v>180</v>
      </c>
      <c r="I1371" t="s">
        <v>2607</v>
      </c>
    </row>
    <row r="1372" spans="1:9" x14ac:dyDescent="0.25">
      <c r="A1372" s="91">
        <v>46100</v>
      </c>
      <c r="B1372" t="s">
        <v>81</v>
      </c>
      <c r="C1372" t="s">
        <v>3686</v>
      </c>
      <c r="D1372">
        <v>2208</v>
      </c>
      <c r="E1372" t="s">
        <v>758</v>
      </c>
      <c r="F1372">
        <v>120</v>
      </c>
      <c r="G1372" t="s">
        <v>622</v>
      </c>
      <c r="H1372">
        <v>120</v>
      </c>
      <c r="I1372" t="s">
        <v>2607</v>
      </c>
    </row>
    <row r="1373" spans="1:9" x14ac:dyDescent="0.25">
      <c r="A1373" s="91">
        <v>46100</v>
      </c>
      <c r="B1373" t="s">
        <v>81</v>
      </c>
      <c r="C1373" t="s">
        <v>3687</v>
      </c>
      <c r="D1373">
        <v>2244</v>
      </c>
      <c r="E1373" t="s">
        <v>795</v>
      </c>
      <c r="F1373">
        <v>60</v>
      </c>
      <c r="G1373" t="s">
        <v>622</v>
      </c>
      <c r="H1373">
        <v>60</v>
      </c>
      <c r="I1373" t="s">
        <v>2607</v>
      </c>
    </row>
    <row r="1374" spans="1:9" x14ac:dyDescent="0.25">
      <c r="A1374" s="91">
        <v>46100</v>
      </c>
      <c r="B1374" t="s">
        <v>81</v>
      </c>
      <c r="C1374" t="s">
        <v>3688</v>
      </c>
      <c r="D1374">
        <v>2200</v>
      </c>
      <c r="E1374" t="s">
        <v>745</v>
      </c>
      <c r="F1374">
        <v>180</v>
      </c>
      <c r="G1374" t="s">
        <v>622</v>
      </c>
      <c r="H1374">
        <v>180</v>
      </c>
      <c r="I1374" t="s">
        <v>2607</v>
      </c>
    </row>
    <row r="1375" spans="1:9" x14ac:dyDescent="0.25">
      <c r="A1375" s="91">
        <v>46100</v>
      </c>
      <c r="B1375" t="s">
        <v>81</v>
      </c>
      <c r="C1375" t="s">
        <v>3689</v>
      </c>
      <c r="D1375">
        <v>2238</v>
      </c>
      <c r="E1375" t="s">
        <v>760</v>
      </c>
      <c r="F1375">
        <v>84</v>
      </c>
      <c r="G1375" t="s">
        <v>622</v>
      </c>
      <c r="H1375">
        <v>84</v>
      </c>
      <c r="I1375" t="s">
        <v>2607</v>
      </c>
    </row>
    <row r="1376" spans="1:9" x14ac:dyDescent="0.25">
      <c r="A1376" s="91">
        <v>46100</v>
      </c>
      <c r="B1376" t="s">
        <v>81</v>
      </c>
      <c r="C1376" t="s">
        <v>3690</v>
      </c>
      <c r="D1376">
        <v>2250</v>
      </c>
      <c r="E1376" t="s">
        <v>797</v>
      </c>
      <c r="F1376">
        <v>48</v>
      </c>
      <c r="G1376" t="s">
        <v>622</v>
      </c>
      <c r="H1376">
        <v>48</v>
      </c>
      <c r="I1376" t="s">
        <v>2607</v>
      </c>
    </row>
    <row r="1377" spans="1:9" x14ac:dyDescent="0.25">
      <c r="A1377" s="91">
        <v>46100</v>
      </c>
      <c r="B1377" t="s">
        <v>81</v>
      </c>
      <c r="C1377" t="s">
        <v>3691</v>
      </c>
      <c r="D1377">
        <v>2240</v>
      </c>
      <c r="E1377" t="s">
        <v>762</v>
      </c>
      <c r="F1377">
        <v>84</v>
      </c>
      <c r="G1377" t="s">
        <v>622</v>
      </c>
      <c r="H1377">
        <v>84</v>
      </c>
      <c r="I1377" t="s">
        <v>2607</v>
      </c>
    </row>
    <row r="1378" spans="1:9" x14ac:dyDescent="0.25">
      <c r="A1378" s="91">
        <v>46100</v>
      </c>
      <c r="B1378" t="s">
        <v>81</v>
      </c>
      <c r="C1378" t="s">
        <v>3692</v>
      </c>
      <c r="D1378">
        <v>2234</v>
      </c>
      <c r="E1378" t="s">
        <v>789</v>
      </c>
      <c r="F1378">
        <v>60</v>
      </c>
      <c r="G1378" t="s">
        <v>622</v>
      </c>
      <c r="H1378">
        <v>60</v>
      </c>
      <c r="I1378" t="s">
        <v>2607</v>
      </c>
    </row>
    <row r="1379" spans="1:9" x14ac:dyDescent="0.25">
      <c r="A1379" s="91">
        <v>46100</v>
      </c>
      <c r="B1379" t="s">
        <v>81</v>
      </c>
      <c r="C1379" t="s">
        <v>3693</v>
      </c>
      <c r="D1379">
        <v>2230</v>
      </c>
      <c r="E1379" t="s">
        <v>749</v>
      </c>
      <c r="F1379">
        <v>60</v>
      </c>
      <c r="G1379" t="s">
        <v>622</v>
      </c>
      <c r="H1379">
        <v>60</v>
      </c>
      <c r="I1379" t="s">
        <v>2607</v>
      </c>
    </row>
    <row r="1380" spans="1:9" x14ac:dyDescent="0.25">
      <c r="A1380" s="91">
        <v>46100</v>
      </c>
      <c r="B1380" t="s">
        <v>2617</v>
      </c>
      <c r="C1380" t="s">
        <v>3694</v>
      </c>
      <c r="D1380">
        <v>5150010450</v>
      </c>
      <c r="E1380" t="s">
        <v>2619</v>
      </c>
      <c r="F1380">
        <v>2256</v>
      </c>
      <c r="G1380" t="s">
        <v>619</v>
      </c>
      <c r="H1380">
        <v>2256</v>
      </c>
      <c r="I1380" t="s">
        <v>2607</v>
      </c>
    </row>
    <row r="1381" spans="1:9" x14ac:dyDescent="0.25">
      <c r="A1381" s="91">
        <v>46100</v>
      </c>
      <c r="B1381" t="s">
        <v>2611</v>
      </c>
      <c r="C1381" t="s">
        <v>3695</v>
      </c>
      <c r="D1381">
        <v>72001</v>
      </c>
      <c r="E1381" t="s">
        <v>3056</v>
      </c>
      <c r="F1381">
        <v>500</v>
      </c>
      <c r="G1381" t="s">
        <v>619</v>
      </c>
      <c r="H1381">
        <v>500</v>
      </c>
      <c r="I1381" t="s">
        <v>2607</v>
      </c>
    </row>
    <row r="1382" spans="1:9" x14ac:dyDescent="0.25">
      <c r="A1382" s="91">
        <v>46100</v>
      </c>
      <c r="B1382" t="s">
        <v>81</v>
      </c>
      <c r="C1382" t="s">
        <v>3696</v>
      </c>
      <c r="D1382">
        <v>2206</v>
      </c>
      <c r="E1382" t="s">
        <v>787</v>
      </c>
      <c r="F1382">
        <v>144</v>
      </c>
      <c r="G1382" t="s">
        <v>622</v>
      </c>
      <c r="H1382">
        <v>144</v>
      </c>
      <c r="I1382" t="s">
        <v>2607</v>
      </c>
    </row>
    <row r="1383" spans="1:9" x14ac:dyDescent="0.25">
      <c r="A1383" s="91">
        <v>46100</v>
      </c>
      <c r="B1383" t="s">
        <v>81</v>
      </c>
      <c r="C1383" t="s">
        <v>3697</v>
      </c>
      <c r="D1383">
        <v>2256</v>
      </c>
      <c r="E1383" t="s">
        <v>801</v>
      </c>
      <c r="F1383">
        <v>60</v>
      </c>
      <c r="G1383" t="s">
        <v>622</v>
      </c>
      <c r="H1383">
        <v>60</v>
      </c>
      <c r="I1383" t="s">
        <v>2607</v>
      </c>
    </row>
    <row r="1384" spans="1:9" x14ac:dyDescent="0.25">
      <c r="A1384" s="91">
        <v>46100</v>
      </c>
      <c r="B1384" t="s">
        <v>81</v>
      </c>
      <c r="C1384" t="s">
        <v>3698</v>
      </c>
      <c r="D1384">
        <v>2236</v>
      </c>
      <c r="E1384" t="s">
        <v>791</v>
      </c>
      <c r="F1384">
        <v>60</v>
      </c>
      <c r="G1384" t="s">
        <v>622</v>
      </c>
      <c r="H1384">
        <v>60</v>
      </c>
      <c r="I1384" t="s">
        <v>2607</v>
      </c>
    </row>
    <row r="1385" spans="1:9" x14ac:dyDescent="0.25">
      <c r="A1385" s="91">
        <v>46100</v>
      </c>
      <c r="B1385" t="s">
        <v>81</v>
      </c>
      <c r="C1385" t="s">
        <v>3699</v>
      </c>
      <c r="D1385">
        <v>2254</v>
      </c>
      <c r="E1385" t="s">
        <v>766</v>
      </c>
      <c r="F1385">
        <v>60</v>
      </c>
      <c r="G1385" t="s">
        <v>622</v>
      </c>
      <c r="H1385">
        <v>60</v>
      </c>
      <c r="I1385" t="s">
        <v>2607</v>
      </c>
    </row>
    <row r="1386" spans="1:9" x14ac:dyDescent="0.25">
      <c r="A1386" s="91">
        <v>46100</v>
      </c>
      <c r="B1386" t="s">
        <v>81</v>
      </c>
      <c r="C1386" t="s">
        <v>3700</v>
      </c>
      <c r="D1386">
        <v>2246</v>
      </c>
      <c r="E1386" t="s">
        <v>764</v>
      </c>
      <c r="F1386">
        <v>60</v>
      </c>
      <c r="G1386" t="s">
        <v>622</v>
      </c>
      <c r="H1386">
        <v>60</v>
      </c>
      <c r="I1386" t="s">
        <v>2607</v>
      </c>
    </row>
    <row r="1387" spans="1:9" x14ac:dyDescent="0.25">
      <c r="A1387" s="91">
        <v>46100</v>
      </c>
      <c r="B1387" t="s">
        <v>81</v>
      </c>
      <c r="C1387" t="s">
        <v>3701</v>
      </c>
      <c r="D1387">
        <v>2202</v>
      </c>
      <c r="E1387" t="s">
        <v>772</v>
      </c>
      <c r="F1387">
        <v>108</v>
      </c>
      <c r="G1387" t="s">
        <v>622</v>
      </c>
      <c r="H1387">
        <v>108</v>
      </c>
      <c r="I1387" t="s">
        <v>2607</v>
      </c>
    </row>
    <row r="1388" spans="1:9" x14ac:dyDescent="0.25">
      <c r="A1388" s="91">
        <v>46100</v>
      </c>
      <c r="B1388">
        <v>7002</v>
      </c>
      <c r="C1388" t="s">
        <v>3702</v>
      </c>
      <c r="D1388">
        <v>907019</v>
      </c>
      <c r="E1388" t="s">
        <v>3154</v>
      </c>
      <c r="F1388">
        <v>108</v>
      </c>
      <c r="G1388" t="s">
        <v>619</v>
      </c>
      <c r="H1388">
        <v>108</v>
      </c>
      <c r="I1388" t="s">
        <v>2607</v>
      </c>
    </row>
    <row r="1389" spans="1:9" x14ac:dyDescent="0.25">
      <c r="A1389" s="91">
        <v>46100</v>
      </c>
      <c r="B1389" t="s">
        <v>688</v>
      </c>
      <c r="C1389" t="s">
        <v>3703</v>
      </c>
      <c r="D1389">
        <v>7746</v>
      </c>
      <c r="E1389" t="s">
        <v>692</v>
      </c>
      <c r="F1389">
        <v>68000</v>
      </c>
      <c r="G1389" t="s">
        <v>622</v>
      </c>
      <c r="H1389">
        <v>68000</v>
      </c>
      <c r="I1389" t="s">
        <v>2633</v>
      </c>
    </row>
    <row r="1390" spans="1:9" x14ac:dyDescent="0.25">
      <c r="A1390" s="91">
        <v>46100</v>
      </c>
      <c r="B1390" t="s">
        <v>682</v>
      </c>
      <c r="C1390" t="s">
        <v>3704</v>
      </c>
      <c r="D1390">
        <v>7279</v>
      </c>
      <c r="E1390" t="s">
        <v>754</v>
      </c>
      <c r="F1390">
        <v>29000</v>
      </c>
      <c r="G1390" t="s">
        <v>622</v>
      </c>
      <c r="H1390">
        <v>29000</v>
      </c>
      <c r="I1390" t="s">
        <v>2633</v>
      </c>
    </row>
    <row r="1391" spans="1:9" x14ac:dyDescent="0.25">
      <c r="A1391" s="91">
        <v>46100</v>
      </c>
      <c r="B1391" t="s">
        <v>712</v>
      </c>
      <c r="C1391" t="s">
        <v>3705</v>
      </c>
      <c r="D1391">
        <v>8032</v>
      </c>
      <c r="E1391" t="s">
        <v>3598</v>
      </c>
      <c r="F1391">
        <v>50000</v>
      </c>
      <c r="G1391" t="s">
        <v>622</v>
      </c>
      <c r="H1391">
        <v>50000</v>
      </c>
      <c r="I1391" t="s">
        <v>2607</v>
      </c>
    </row>
    <row r="1392" spans="1:9" x14ac:dyDescent="0.25">
      <c r="A1392" s="91">
        <v>46100</v>
      </c>
      <c r="B1392" t="s">
        <v>2621</v>
      </c>
      <c r="C1392" t="s">
        <v>3706</v>
      </c>
      <c r="D1392">
        <v>529300</v>
      </c>
      <c r="E1392" t="s">
        <v>2623</v>
      </c>
      <c r="F1392">
        <v>6667</v>
      </c>
      <c r="G1392" t="s">
        <v>619</v>
      </c>
      <c r="H1392">
        <v>6667</v>
      </c>
      <c r="I1392" t="s">
        <v>2607</v>
      </c>
    </row>
    <row r="1393" spans="1:9" x14ac:dyDescent="0.25">
      <c r="A1393" s="91">
        <v>46100</v>
      </c>
      <c r="B1393" t="s">
        <v>693</v>
      </c>
      <c r="C1393" t="s">
        <v>3707</v>
      </c>
      <c r="D1393">
        <v>910526</v>
      </c>
      <c r="E1393" t="s">
        <v>1602</v>
      </c>
      <c r="F1393">
        <v>9120</v>
      </c>
      <c r="G1393" t="s">
        <v>619</v>
      </c>
      <c r="H1393">
        <v>9120</v>
      </c>
      <c r="I1393" t="s">
        <v>2607</v>
      </c>
    </row>
    <row r="1394" spans="1:9" x14ac:dyDescent="0.25">
      <c r="A1394" s="91">
        <v>46100</v>
      </c>
      <c r="B1394" t="s">
        <v>693</v>
      </c>
      <c r="C1394" t="s">
        <v>3708</v>
      </c>
      <c r="D1394">
        <v>910326</v>
      </c>
      <c r="E1394" t="s">
        <v>1583</v>
      </c>
      <c r="F1394">
        <v>9120</v>
      </c>
      <c r="G1394" t="s">
        <v>619</v>
      </c>
      <c r="H1394">
        <v>9120</v>
      </c>
      <c r="I1394" t="s">
        <v>2607</v>
      </c>
    </row>
    <row r="1395" spans="1:9" x14ac:dyDescent="0.25">
      <c r="A1395" s="91">
        <v>46100</v>
      </c>
      <c r="B1395" t="s">
        <v>679</v>
      </c>
      <c r="C1395" t="s">
        <v>3709</v>
      </c>
      <c r="D1395">
        <v>7212</v>
      </c>
      <c r="E1395" t="s">
        <v>681</v>
      </c>
      <c r="F1395">
        <v>85000</v>
      </c>
      <c r="G1395" t="s">
        <v>622</v>
      </c>
      <c r="H1395">
        <v>85000</v>
      </c>
      <c r="I1395" t="s">
        <v>2633</v>
      </c>
    </row>
    <row r="1396" spans="1:9" x14ac:dyDescent="0.25">
      <c r="A1396" s="91">
        <v>46100</v>
      </c>
      <c r="B1396" t="s">
        <v>2665</v>
      </c>
      <c r="C1396" t="s">
        <v>3710</v>
      </c>
      <c r="D1396" t="s">
        <v>1105</v>
      </c>
      <c r="E1396" t="s">
        <v>2934</v>
      </c>
      <c r="F1396">
        <v>400</v>
      </c>
      <c r="G1396" t="s">
        <v>619</v>
      </c>
      <c r="H1396">
        <v>400</v>
      </c>
      <c r="I1396" t="s">
        <v>2607</v>
      </c>
    </row>
    <row r="1397" spans="1:9" x14ac:dyDescent="0.25">
      <c r="A1397" s="91">
        <v>46100</v>
      </c>
      <c r="B1397" t="s">
        <v>2665</v>
      </c>
      <c r="C1397" t="s">
        <v>3711</v>
      </c>
      <c r="D1397" t="s">
        <v>1104</v>
      </c>
      <c r="E1397" t="s">
        <v>2952</v>
      </c>
      <c r="F1397">
        <v>4500</v>
      </c>
      <c r="G1397" t="s">
        <v>619</v>
      </c>
      <c r="H1397">
        <v>4500</v>
      </c>
      <c r="I1397" t="s">
        <v>2607</v>
      </c>
    </row>
    <row r="1398" spans="1:9" x14ac:dyDescent="0.25">
      <c r="A1398" s="91">
        <v>46100</v>
      </c>
      <c r="B1398" t="s">
        <v>685</v>
      </c>
      <c r="C1398" t="s">
        <v>3712</v>
      </c>
      <c r="D1398">
        <v>7374</v>
      </c>
      <c r="E1398" t="s">
        <v>785</v>
      </c>
      <c r="F1398">
        <v>25000</v>
      </c>
      <c r="G1398" t="s">
        <v>622</v>
      </c>
      <c r="H1398">
        <v>25000</v>
      </c>
      <c r="I1398" t="s">
        <v>2633</v>
      </c>
    </row>
    <row r="1399" spans="1:9" x14ac:dyDescent="0.25">
      <c r="A1399" s="91">
        <v>46100</v>
      </c>
      <c r="B1399" t="s">
        <v>2606</v>
      </c>
      <c r="C1399" t="s">
        <v>3713</v>
      </c>
      <c r="D1399" t="s">
        <v>1401</v>
      </c>
      <c r="E1399" t="s">
        <v>2061</v>
      </c>
      <c r="F1399">
        <v>6260</v>
      </c>
      <c r="G1399" t="s">
        <v>619</v>
      </c>
      <c r="H1399">
        <v>6260</v>
      </c>
      <c r="I1399" t="s">
        <v>2607</v>
      </c>
    </row>
    <row r="1400" spans="1:9" x14ac:dyDescent="0.25">
      <c r="A1400" s="91">
        <v>46100</v>
      </c>
      <c r="B1400" t="s">
        <v>2606</v>
      </c>
      <c r="C1400" t="s">
        <v>3714</v>
      </c>
      <c r="D1400" t="s">
        <v>3715</v>
      </c>
      <c r="E1400" t="s">
        <v>3716</v>
      </c>
      <c r="F1400">
        <v>5000</v>
      </c>
      <c r="G1400" t="s">
        <v>622</v>
      </c>
      <c r="H1400">
        <v>5000</v>
      </c>
      <c r="I1400" t="s">
        <v>2607</v>
      </c>
    </row>
    <row r="1401" spans="1:9" x14ac:dyDescent="0.25">
      <c r="A1401" s="91">
        <v>46100</v>
      </c>
      <c r="B1401" t="s">
        <v>2606</v>
      </c>
      <c r="C1401" t="s">
        <v>3717</v>
      </c>
      <c r="D1401" t="s">
        <v>102</v>
      </c>
      <c r="E1401" t="s">
        <v>2631</v>
      </c>
      <c r="F1401">
        <v>7300</v>
      </c>
      <c r="G1401" t="s">
        <v>619</v>
      </c>
      <c r="H1401">
        <v>7300</v>
      </c>
      <c r="I1401" t="s">
        <v>2607</v>
      </c>
    </row>
    <row r="1402" spans="1:9" x14ac:dyDescent="0.25">
      <c r="A1402" s="91">
        <v>46100</v>
      </c>
      <c r="B1402" t="s">
        <v>2665</v>
      </c>
      <c r="C1402" t="s">
        <v>3718</v>
      </c>
      <c r="D1402" t="s">
        <v>636</v>
      </c>
      <c r="E1402" t="s">
        <v>2814</v>
      </c>
      <c r="F1402">
        <v>6500</v>
      </c>
      <c r="G1402" t="s">
        <v>619</v>
      </c>
      <c r="H1402">
        <v>6500</v>
      </c>
      <c r="I1402" t="s">
        <v>2607</v>
      </c>
    </row>
    <row r="1403" spans="1:9" x14ac:dyDescent="0.25">
      <c r="A1403" s="91">
        <v>46101</v>
      </c>
      <c r="B1403" t="s">
        <v>81</v>
      </c>
      <c r="C1403" t="s">
        <v>3719</v>
      </c>
      <c r="D1403">
        <v>2210</v>
      </c>
      <c r="E1403" t="s">
        <v>774</v>
      </c>
      <c r="F1403">
        <v>180</v>
      </c>
      <c r="G1403" t="s">
        <v>622</v>
      </c>
      <c r="H1403">
        <v>180</v>
      </c>
      <c r="I1403" t="s">
        <v>2607</v>
      </c>
    </row>
    <row r="1404" spans="1:9" x14ac:dyDescent="0.25">
      <c r="A1404" s="91">
        <v>46101</v>
      </c>
      <c r="B1404" t="s">
        <v>2611</v>
      </c>
      <c r="C1404" t="s">
        <v>3720</v>
      </c>
      <c r="D1404">
        <v>72001</v>
      </c>
      <c r="E1404" t="s">
        <v>3056</v>
      </c>
      <c r="F1404">
        <v>500</v>
      </c>
      <c r="G1404" t="s">
        <v>619</v>
      </c>
      <c r="H1404">
        <v>500</v>
      </c>
      <c r="I1404" t="s">
        <v>2607</v>
      </c>
    </row>
    <row r="1405" spans="1:9" x14ac:dyDescent="0.25">
      <c r="A1405" s="91">
        <v>46101</v>
      </c>
      <c r="B1405" t="s">
        <v>81</v>
      </c>
      <c r="C1405" t="s">
        <v>3721</v>
      </c>
      <c r="D1405">
        <v>2204</v>
      </c>
      <c r="E1405" t="s">
        <v>747</v>
      </c>
      <c r="F1405">
        <v>240</v>
      </c>
      <c r="G1405" t="s">
        <v>622</v>
      </c>
      <c r="H1405">
        <v>240</v>
      </c>
      <c r="I1405" t="s">
        <v>2607</v>
      </c>
    </row>
    <row r="1406" spans="1:9" x14ac:dyDescent="0.25">
      <c r="A1406" s="91">
        <v>46101</v>
      </c>
      <c r="B1406" t="s">
        <v>81</v>
      </c>
      <c r="C1406" t="s">
        <v>3722</v>
      </c>
      <c r="D1406">
        <v>2336</v>
      </c>
      <c r="E1406" t="s">
        <v>780</v>
      </c>
      <c r="F1406">
        <v>70</v>
      </c>
      <c r="G1406" t="s">
        <v>622</v>
      </c>
      <c r="H1406">
        <v>70</v>
      </c>
      <c r="I1406" t="s">
        <v>2607</v>
      </c>
    </row>
    <row r="1407" spans="1:9" x14ac:dyDescent="0.25">
      <c r="A1407" s="91">
        <v>46101</v>
      </c>
      <c r="B1407" t="s">
        <v>81</v>
      </c>
      <c r="C1407" t="s">
        <v>3723</v>
      </c>
      <c r="D1407">
        <v>2330</v>
      </c>
      <c r="E1407" t="s">
        <v>813</v>
      </c>
      <c r="F1407">
        <v>32</v>
      </c>
      <c r="G1407" t="s">
        <v>622</v>
      </c>
      <c r="H1407">
        <v>32</v>
      </c>
      <c r="I1407" t="s">
        <v>2607</v>
      </c>
    </row>
    <row r="1408" spans="1:9" x14ac:dyDescent="0.25">
      <c r="A1408" s="91">
        <v>46101</v>
      </c>
      <c r="B1408" t="s">
        <v>81</v>
      </c>
      <c r="C1408" t="s">
        <v>3724</v>
      </c>
      <c r="D1408">
        <v>2212</v>
      </c>
      <c r="E1408" t="s">
        <v>776</v>
      </c>
      <c r="F1408">
        <v>228</v>
      </c>
      <c r="G1408" t="s">
        <v>622</v>
      </c>
      <c r="H1408">
        <v>228</v>
      </c>
      <c r="I1408" t="s">
        <v>2607</v>
      </c>
    </row>
    <row r="1409" spans="1:9" x14ac:dyDescent="0.25">
      <c r="A1409" s="91">
        <v>46101</v>
      </c>
      <c r="B1409" t="s">
        <v>81</v>
      </c>
      <c r="C1409" t="s">
        <v>3725</v>
      </c>
      <c r="D1409">
        <v>2332</v>
      </c>
      <c r="E1409" t="s">
        <v>1028</v>
      </c>
      <c r="F1409">
        <v>21</v>
      </c>
      <c r="G1409" t="s">
        <v>622</v>
      </c>
      <c r="H1409">
        <v>21</v>
      </c>
      <c r="I1409" t="s">
        <v>2607</v>
      </c>
    </row>
    <row r="1410" spans="1:9" x14ac:dyDescent="0.25">
      <c r="A1410" s="91">
        <v>46101</v>
      </c>
      <c r="B1410" t="s">
        <v>2608</v>
      </c>
      <c r="C1410" t="s">
        <v>3726</v>
      </c>
      <c r="D1410">
        <v>8013255</v>
      </c>
      <c r="E1410" t="s">
        <v>3727</v>
      </c>
      <c r="F1410">
        <v>4000</v>
      </c>
      <c r="G1410" t="s">
        <v>619</v>
      </c>
      <c r="H1410">
        <v>4000</v>
      </c>
      <c r="I1410" t="s">
        <v>2607</v>
      </c>
    </row>
    <row r="1411" spans="1:9" x14ac:dyDescent="0.25">
      <c r="A1411" s="91">
        <v>46101</v>
      </c>
      <c r="B1411" t="s">
        <v>81</v>
      </c>
      <c r="C1411" t="s">
        <v>3728</v>
      </c>
      <c r="D1411">
        <v>2334</v>
      </c>
      <c r="E1411" t="s">
        <v>803</v>
      </c>
      <c r="F1411">
        <v>50</v>
      </c>
      <c r="G1411" t="s">
        <v>622</v>
      </c>
      <c r="H1411">
        <v>50</v>
      </c>
      <c r="I1411" t="s">
        <v>2607</v>
      </c>
    </row>
    <row r="1412" spans="1:9" x14ac:dyDescent="0.25">
      <c r="A1412" s="91">
        <v>46101</v>
      </c>
      <c r="B1412" t="s">
        <v>2606</v>
      </c>
      <c r="C1412" t="s">
        <v>3729</v>
      </c>
      <c r="D1412" t="s">
        <v>1401</v>
      </c>
      <c r="E1412" t="s">
        <v>2061</v>
      </c>
      <c r="F1412">
        <v>6260</v>
      </c>
      <c r="G1412" t="s">
        <v>619</v>
      </c>
      <c r="H1412">
        <v>6260</v>
      </c>
      <c r="I1412" t="s">
        <v>2607</v>
      </c>
    </row>
    <row r="1413" spans="1:9" x14ac:dyDescent="0.25">
      <c r="A1413" s="91">
        <v>46101</v>
      </c>
      <c r="B1413" t="s">
        <v>2665</v>
      </c>
      <c r="C1413" t="s">
        <v>3730</v>
      </c>
      <c r="D1413" t="s">
        <v>2452</v>
      </c>
      <c r="E1413" t="s">
        <v>3352</v>
      </c>
      <c r="F1413">
        <v>5500</v>
      </c>
      <c r="G1413" t="s">
        <v>619</v>
      </c>
      <c r="H1413">
        <v>5500</v>
      </c>
      <c r="I1413" t="s">
        <v>2607</v>
      </c>
    </row>
    <row r="1414" spans="1:9" x14ac:dyDescent="0.25">
      <c r="A1414" s="91">
        <v>46101</v>
      </c>
      <c r="B1414" t="s">
        <v>2665</v>
      </c>
      <c r="C1414" t="s">
        <v>3731</v>
      </c>
      <c r="D1414" t="s">
        <v>1405</v>
      </c>
      <c r="E1414" t="s">
        <v>2709</v>
      </c>
      <c r="F1414">
        <v>6500</v>
      </c>
      <c r="G1414" t="s">
        <v>619</v>
      </c>
      <c r="H1414">
        <v>6500</v>
      </c>
      <c r="I1414" t="s">
        <v>2607</v>
      </c>
    </row>
    <row r="1415" spans="1:9" x14ac:dyDescent="0.25">
      <c r="A1415" s="91">
        <v>46101</v>
      </c>
      <c r="B1415" t="s">
        <v>2665</v>
      </c>
      <c r="C1415" t="s">
        <v>3732</v>
      </c>
      <c r="D1415" t="s">
        <v>2454</v>
      </c>
      <c r="E1415" t="s">
        <v>3349</v>
      </c>
      <c r="F1415">
        <v>200</v>
      </c>
      <c r="G1415" t="s">
        <v>619</v>
      </c>
      <c r="H1415">
        <v>200</v>
      </c>
      <c r="I1415" t="s">
        <v>2607</v>
      </c>
    </row>
    <row r="1416" spans="1:9" x14ac:dyDescent="0.25">
      <c r="A1416" s="91">
        <v>46101</v>
      </c>
      <c r="B1416" t="s">
        <v>2621</v>
      </c>
      <c r="C1416" t="s">
        <v>3733</v>
      </c>
      <c r="D1416">
        <v>529300</v>
      </c>
      <c r="E1416" t="s">
        <v>2623</v>
      </c>
      <c r="F1416">
        <v>6667</v>
      </c>
      <c r="G1416" t="s">
        <v>619</v>
      </c>
      <c r="H1416">
        <v>6667</v>
      </c>
      <c r="I1416" t="s">
        <v>2607</v>
      </c>
    </row>
    <row r="1417" spans="1:9" x14ac:dyDescent="0.25">
      <c r="A1417" s="91">
        <v>46101</v>
      </c>
      <c r="B1417" t="s">
        <v>2624</v>
      </c>
      <c r="C1417" t="s">
        <v>3734</v>
      </c>
      <c r="D1417" t="s">
        <v>2626</v>
      </c>
      <c r="E1417" t="s">
        <v>2627</v>
      </c>
      <c r="F1417">
        <v>3505</v>
      </c>
      <c r="G1417" t="s">
        <v>619</v>
      </c>
      <c r="H1417">
        <v>3505</v>
      </c>
      <c r="I1417" t="s">
        <v>2607</v>
      </c>
    </row>
    <row r="1418" spans="1:9" x14ac:dyDescent="0.25">
      <c r="A1418" s="91">
        <v>46101</v>
      </c>
      <c r="B1418" t="s">
        <v>712</v>
      </c>
      <c r="C1418" t="s">
        <v>3735</v>
      </c>
      <c r="D1418">
        <v>8032</v>
      </c>
      <c r="E1418" t="s">
        <v>3598</v>
      </c>
      <c r="F1418">
        <v>50000</v>
      </c>
      <c r="G1418" t="s">
        <v>622</v>
      </c>
      <c r="H1418">
        <v>50000</v>
      </c>
      <c r="I1418" t="s">
        <v>2607</v>
      </c>
    </row>
    <row r="1419" spans="1:9" x14ac:dyDescent="0.25">
      <c r="A1419" s="91">
        <v>46101</v>
      </c>
      <c r="B1419" t="s">
        <v>682</v>
      </c>
      <c r="C1419" t="s">
        <v>3736</v>
      </c>
      <c r="D1419">
        <v>7552</v>
      </c>
      <c r="E1419" t="s">
        <v>2752</v>
      </c>
      <c r="F1419">
        <v>24000</v>
      </c>
      <c r="G1419" t="s">
        <v>622</v>
      </c>
      <c r="H1419">
        <v>24000</v>
      </c>
      <c r="I1419" t="s">
        <v>2633</v>
      </c>
    </row>
    <row r="1420" spans="1:9" x14ac:dyDescent="0.25">
      <c r="A1420" s="91">
        <v>46101</v>
      </c>
      <c r="B1420" t="s">
        <v>2870</v>
      </c>
      <c r="C1420" t="s">
        <v>3737</v>
      </c>
      <c r="D1420" t="s">
        <v>2713</v>
      </c>
      <c r="E1420" t="s">
        <v>2714</v>
      </c>
      <c r="F1420">
        <v>1190</v>
      </c>
      <c r="G1420" t="s">
        <v>619</v>
      </c>
      <c r="H1420">
        <v>1190</v>
      </c>
      <c r="I1420" t="s">
        <v>2607</v>
      </c>
    </row>
    <row r="1421" spans="1:9" x14ac:dyDescent="0.25">
      <c r="A1421" s="91">
        <v>46101</v>
      </c>
      <c r="B1421" t="s">
        <v>688</v>
      </c>
      <c r="C1421" t="s">
        <v>3738</v>
      </c>
      <c r="D1421">
        <v>7746</v>
      </c>
      <c r="E1421" t="s">
        <v>692</v>
      </c>
      <c r="F1421">
        <v>68000</v>
      </c>
      <c r="G1421" t="s">
        <v>622</v>
      </c>
      <c r="H1421">
        <v>68000</v>
      </c>
      <c r="I1421" t="s">
        <v>2633</v>
      </c>
    </row>
    <row r="1422" spans="1:9" x14ac:dyDescent="0.25">
      <c r="A1422" s="91">
        <v>46101</v>
      </c>
      <c r="B1422" t="s">
        <v>685</v>
      </c>
      <c r="C1422" t="s">
        <v>3739</v>
      </c>
      <c r="D1422">
        <v>7374</v>
      </c>
      <c r="E1422" t="s">
        <v>785</v>
      </c>
      <c r="F1422">
        <v>25000</v>
      </c>
      <c r="G1422" t="s">
        <v>622</v>
      </c>
      <c r="H1422">
        <v>25000</v>
      </c>
      <c r="I1422" t="s">
        <v>2633</v>
      </c>
    </row>
    <row r="1423" spans="1:9" x14ac:dyDescent="0.25">
      <c r="A1423" s="91">
        <v>46104</v>
      </c>
      <c r="B1423" t="s">
        <v>2665</v>
      </c>
      <c r="C1423" t="s">
        <v>3740</v>
      </c>
      <c r="D1423" t="s">
        <v>3552</v>
      </c>
      <c r="E1423" t="s">
        <v>3553</v>
      </c>
      <c r="F1423">
        <v>2833</v>
      </c>
      <c r="G1423" t="s">
        <v>619</v>
      </c>
      <c r="H1423">
        <v>2833</v>
      </c>
      <c r="I1423" t="s">
        <v>2607</v>
      </c>
    </row>
    <row r="1424" spans="1:9" x14ac:dyDescent="0.25">
      <c r="A1424" s="91">
        <v>46104</v>
      </c>
      <c r="B1424" t="s">
        <v>2665</v>
      </c>
      <c r="C1424" t="s">
        <v>3741</v>
      </c>
      <c r="D1424" t="s">
        <v>627</v>
      </c>
      <c r="E1424" t="s">
        <v>2846</v>
      </c>
      <c r="F1424">
        <v>800</v>
      </c>
      <c r="G1424" t="s">
        <v>619</v>
      </c>
      <c r="H1424">
        <v>800</v>
      </c>
      <c r="I1424" t="s">
        <v>2607</v>
      </c>
    </row>
    <row r="1425" spans="1:9" x14ac:dyDescent="0.25">
      <c r="A1425" s="91">
        <v>46104</v>
      </c>
      <c r="B1425" t="s">
        <v>2606</v>
      </c>
      <c r="C1425" t="s">
        <v>3742</v>
      </c>
      <c r="D1425" t="s">
        <v>110</v>
      </c>
      <c r="E1425" t="s">
        <v>3743</v>
      </c>
      <c r="F1425">
        <v>7300</v>
      </c>
      <c r="G1425" t="s">
        <v>619</v>
      </c>
      <c r="H1425">
        <v>7300</v>
      </c>
      <c r="I1425" t="s">
        <v>2607</v>
      </c>
    </row>
    <row r="1426" spans="1:9" x14ac:dyDescent="0.25">
      <c r="A1426" s="91">
        <v>46104</v>
      </c>
      <c r="B1426" t="s">
        <v>2606</v>
      </c>
      <c r="C1426" t="s">
        <v>3744</v>
      </c>
      <c r="D1426" t="s">
        <v>1401</v>
      </c>
      <c r="E1426" t="s">
        <v>2061</v>
      </c>
      <c r="F1426">
        <v>7300</v>
      </c>
      <c r="G1426" t="s">
        <v>619</v>
      </c>
      <c r="H1426">
        <v>7300</v>
      </c>
      <c r="I1426" t="s">
        <v>2607</v>
      </c>
    </row>
    <row r="1427" spans="1:9" x14ac:dyDescent="0.25">
      <c r="A1427" s="91">
        <v>46104</v>
      </c>
      <c r="B1427" t="s">
        <v>2611</v>
      </c>
      <c r="C1427" t="s">
        <v>3745</v>
      </c>
      <c r="D1427">
        <v>72001</v>
      </c>
      <c r="E1427" t="s">
        <v>3056</v>
      </c>
      <c r="F1427">
        <v>500</v>
      </c>
      <c r="G1427" t="s">
        <v>619</v>
      </c>
      <c r="H1427">
        <v>500</v>
      </c>
      <c r="I1427" t="s">
        <v>2607</v>
      </c>
    </row>
    <row r="1428" spans="1:9" x14ac:dyDescent="0.25">
      <c r="A1428" s="91">
        <v>46104</v>
      </c>
      <c r="B1428" t="s">
        <v>2606</v>
      </c>
      <c r="C1428" t="s">
        <v>3746</v>
      </c>
      <c r="D1428" t="s">
        <v>112</v>
      </c>
      <c r="E1428" t="s">
        <v>2620</v>
      </c>
      <c r="F1428">
        <v>7300</v>
      </c>
      <c r="G1428" t="s">
        <v>619</v>
      </c>
      <c r="H1428">
        <v>7300</v>
      </c>
      <c r="I1428" t="s">
        <v>2607</v>
      </c>
    </row>
    <row r="1429" spans="1:9" x14ac:dyDescent="0.25">
      <c r="A1429" s="91">
        <v>46104</v>
      </c>
      <c r="B1429" t="s">
        <v>2608</v>
      </c>
      <c r="C1429" t="s">
        <v>3747</v>
      </c>
      <c r="D1429">
        <v>8013256</v>
      </c>
      <c r="E1429" t="s">
        <v>3748</v>
      </c>
      <c r="F1429">
        <v>4000</v>
      </c>
      <c r="G1429" t="s">
        <v>619</v>
      </c>
      <c r="H1429">
        <v>4000</v>
      </c>
      <c r="I1429" t="s">
        <v>2607</v>
      </c>
    </row>
    <row r="1430" spans="1:9" x14ac:dyDescent="0.25">
      <c r="A1430" s="91">
        <v>46104</v>
      </c>
      <c r="B1430" t="s">
        <v>2617</v>
      </c>
      <c r="C1430" t="s">
        <v>3749</v>
      </c>
      <c r="D1430">
        <v>5150010450</v>
      </c>
      <c r="E1430" t="s">
        <v>2619</v>
      </c>
      <c r="F1430">
        <v>2256</v>
      </c>
      <c r="G1430" t="s">
        <v>619</v>
      </c>
      <c r="H1430">
        <v>2256</v>
      </c>
      <c r="I1430" t="s">
        <v>2607</v>
      </c>
    </row>
    <row r="1431" spans="1:9" x14ac:dyDescent="0.25">
      <c r="A1431" s="91">
        <v>46104</v>
      </c>
      <c r="B1431" t="s">
        <v>2665</v>
      </c>
      <c r="C1431" t="s">
        <v>2188</v>
      </c>
      <c r="D1431" t="s">
        <v>2189</v>
      </c>
      <c r="E1431" t="s">
        <v>3430</v>
      </c>
      <c r="F1431">
        <v>400</v>
      </c>
      <c r="G1431" t="s">
        <v>619</v>
      </c>
      <c r="H1431">
        <v>400</v>
      </c>
      <c r="I1431" t="s">
        <v>2607</v>
      </c>
    </row>
    <row r="1432" spans="1:9" x14ac:dyDescent="0.25">
      <c r="A1432" s="91">
        <v>46104</v>
      </c>
      <c r="B1432" t="s">
        <v>2606</v>
      </c>
      <c r="C1432" t="s">
        <v>3750</v>
      </c>
      <c r="D1432" t="s">
        <v>1401</v>
      </c>
      <c r="E1432" t="s">
        <v>2061</v>
      </c>
      <c r="F1432">
        <v>7300</v>
      </c>
      <c r="G1432" t="s">
        <v>619</v>
      </c>
      <c r="H1432">
        <v>7300</v>
      </c>
      <c r="I1432" t="s">
        <v>2607</v>
      </c>
    </row>
    <row r="1433" spans="1:9" x14ac:dyDescent="0.25">
      <c r="A1433" s="91">
        <v>46104</v>
      </c>
      <c r="B1433" t="s">
        <v>2665</v>
      </c>
      <c r="C1433" t="s">
        <v>3751</v>
      </c>
      <c r="D1433" t="s">
        <v>3557</v>
      </c>
      <c r="E1433" t="s">
        <v>3558</v>
      </c>
      <c r="F1433">
        <v>800</v>
      </c>
      <c r="G1433" t="s">
        <v>619</v>
      </c>
      <c r="H1433">
        <v>800</v>
      </c>
      <c r="I1433" t="s">
        <v>2607</v>
      </c>
    </row>
    <row r="1434" spans="1:9" x14ac:dyDescent="0.25">
      <c r="A1434" s="91">
        <v>46104</v>
      </c>
      <c r="B1434">
        <v>7002</v>
      </c>
      <c r="C1434" t="s">
        <v>3752</v>
      </c>
      <c r="D1434">
        <v>907013</v>
      </c>
      <c r="E1434" t="s">
        <v>3041</v>
      </c>
      <c r="F1434">
        <v>174</v>
      </c>
      <c r="G1434" t="s">
        <v>619</v>
      </c>
      <c r="H1434">
        <v>174</v>
      </c>
      <c r="I1434" t="s">
        <v>2607</v>
      </c>
    </row>
    <row r="1435" spans="1:9" x14ac:dyDescent="0.25">
      <c r="A1435" s="91">
        <v>46104</v>
      </c>
      <c r="B1435" t="s">
        <v>2665</v>
      </c>
      <c r="C1435" t="s">
        <v>2187</v>
      </c>
      <c r="D1435" t="s">
        <v>1405</v>
      </c>
      <c r="E1435" t="s">
        <v>2709</v>
      </c>
      <c r="F1435">
        <v>4500</v>
      </c>
      <c r="G1435" t="s">
        <v>619</v>
      </c>
      <c r="H1435">
        <v>4500</v>
      </c>
      <c r="I1435" t="s">
        <v>2607</v>
      </c>
    </row>
    <row r="1436" spans="1:9" x14ac:dyDescent="0.25">
      <c r="A1436" s="91">
        <v>46104</v>
      </c>
      <c r="B1436" t="s">
        <v>2621</v>
      </c>
      <c r="C1436" t="s">
        <v>3753</v>
      </c>
      <c r="D1436" t="s">
        <v>3073</v>
      </c>
      <c r="E1436" t="s">
        <v>3074</v>
      </c>
      <c r="F1436">
        <v>1000</v>
      </c>
      <c r="G1436" t="s">
        <v>619</v>
      </c>
      <c r="H1436">
        <v>1000</v>
      </c>
      <c r="I1436" t="s">
        <v>2607</v>
      </c>
    </row>
    <row r="1437" spans="1:9" x14ac:dyDescent="0.25">
      <c r="A1437" s="91">
        <v>46104</v>
      </c>
      <c r="B1437" t="s">
        <v>2621</v>
      </c>
      <c r="C1437" t="s">
        <v>3754</v>
      </c>
      <c r="D1437" t="s">
        <v>2669</v>
      </c>
      <c r="E1437" t="s">
        <v>2670</v>
      </c>
      <c r="F1437">
        <v>4762</v>
      </c>
      <c r="G1437" t="s">
        <v>619</v>
      </c>
      <c r="H1437">
        <v>4762</v>
      </c>
      <c r="I1437" t="s">
        <v>2607</v>
      </c>
    </row>
    <row r="1438" spans="1:9" x14ac:dyDescent="0.25">
      <c r="A1438" s="91">
        <v>46104</v>
      </c>
      <c r="B1438" t="s">
        <v>2621</v>
      </c>
      <c r="C1438" t="s">
        <v>3755</v>
      </c>
      <c r="D1438" t="s">
        <v>2669</v>
      </c>
      <c r="E1438" t="s">
        <v>2670</v>
      </c>
      <c r="F1438">
        <v>4762</v>
      </c>
      <c r="G1438" t="s">
        <v>619</v>
      </c>
      <c r="H1438">
        <v>4762</v>
      </c>
      <c r="I1438" t="s">
        <v>2607</v>
      </c>
    </row>
    <row r="1439" spans="1:9" x14ac:dyDescent="0.25">
      <c r="A1439" s="91">
        <v>46104</v>
      </c>
      <c r="B1439" t="s">
        <v>2624</v>
      </c>
      <c r="C1439" t="s">
        <v>3756</v>
      </c>
      <c r="D1439" t="s">
        <v>2756</v>
      </c>
      <c r="E1439" t="s">
        <v>2757</v>
      </c>
      <c r="F1439">
        <v>3505</v>
      </c>
      <c r="G1439" t="s">
        <v>619</v>
      </c>
      <c r="H1439">
        <v>3505</v>
      </c>
      <c r="I1439" t="s">
        <v>2607</v>
      </c>
    </row>
    <row r="1440" spans="1:9" x14ac:dyDescent="0.25">
      <c r="A1440" s="91">
        <v>46104</v>
      </c>
      <c r="B1440" t="s">
        <v>2624</v>
      </c>
      <c r="C1440" t="s">
        <v>3757</v>
      </c>
      <c r="D1440" t="s">
        <v>2910</v>
      </c>
      <c r="E1440" t="s">
        <v>2911</v>
      </c>
      <c r="F1440">
        <v>2300</v>
      </c>
      <c r="G1440" t="s">
        <v>619</v>
      </c>
      <c r="H1440">
        <v>2300</v>
      </c>
      <c r="I1440" t="s">
        <v>2607</v>
      </c>
    </row>
    <row r="1441" spans="1:9" x14ac:dyDescent="0.25">
      <c r="A1441" s="91">
        <v>46104</v>
      </c>
      <c r="B1441" t="s">
        <v>2624</v>
      </c>
      <c r="C1441" t="s">
        <v>3758</v>
      </c>
      <c r="D1441" t="s">
        <v>2793</v>
      </c>
      <c r="E1441" t="s">
        <v>2794</v>
      </c>
      <c r="F1441">
        <v>2083</v>
      </c>
      <c r="G1441" t="s">
        <v>619</v>
      </c>
      <c r="H1441">
        <v>2083</v>
      </c>
      <c r="I1441" t="s">
        <v>2607</v>
      </c>
    </row>
    <row r="1442" spans="1:9" x14ac:dyDescent="0.25">
      <c r="A1442" s="91">
        <v>46104</v>
      </c>
      <c r="B1442" t="s">
        <v>2870</v>
      </c>
      <c r="C1442" t="s">
        <v>3759</v>
      </c>
      <c r="D1442" t="s">
        <v>2713</v>
      </c>
      <c r="E1442" t="s">
        <v>2714</v>
      </c>
      <c r="F1442">
        <v>1190</v>
      </c>
      <c r="G1442" t="s">
        <v>619</v>
      </c>
      <c r="H1442">
        <v>1190</v>
      </c>
      <c r="I1442" t="s">
        <v>2607</v>
      </c>
    </row>
    <row r="1443" spans="1:9" x14ac:dyDescent="0.25">
      <c r="A1443" s="91">
        <v>46104</v>
      </c>
      <c r="B1443" t="s">
        <v>2870</v>
      </c>
      <c r="C1443" t="s">
        <v>3760</v>
      </c>
      <c r="D1443" t="s">
        <v>2713</v>
      </c>
      <c r="E1443" t="s">
        <v>2714</v>
      </c>
      <c r="F1443">
        <v>1190</v>
      </c>
      <c r="G1443" t="s">
        <v>619</v>
      </c>
      <c r="H1443">
        <v>1190</v>
      </c>
      <c r="I1443" t="s">
        <v>2607</v>
      </c>
    </row>
    <row r="1444" spans="1:9" x14ac:dyDescent="0.25">
      <c r="A1444" s="91">
        <v>46104</v>
      </c>
      <c r="B1444">
        <v>7002</v>
      </c>
      <c r="C1444" t="s">
        <v>3761</v>
      </c>
      <c r="D1444">
        <v>907019</v>
      </c>
      <c r="E1444" t="s">
        <v>3154</v>
      </c>
      <c r="F1444">
        <v>108</v>
      </c>
      <c r="G1444" t="s">
        <v>619</v>
      </c>
      <c r="H1444">
        <v>108</v>
      </c>
      <c r="I1444" t="s">
        <v>2607</v>
      </c>
    </row>
    <row r="1445" spans="1:9" x14ac:dyDescent="0.25">
      <c r="A1445" s="91">
        <v>46104</v>
      </c>
      <c r="B1445" t="s">
        <v>2665</v>
      </c>
      <c r="C1445" t="s">
        <v>3762</v>
      </c>
      <c r="D1445" t="s">
        <v>626</v>
      </c>
      <c r="E1445" t="s">
        <v>2845</v>
      </c>
      <c r="F1445">
        <v>2833</v>
      </c>
      <c r="G1445" t="s">
        <v>619</v>
      </c>
      <c r="H1445">
        <v>2833</v>
      </c>
      <c r="I1445" t="s">
        <v>2607</v>
      </c>
    </row>
    <row r="1446" spans="1:9" x14ac:dyDescent="0.25">
      <c r="A1446" s="91">
        <v>46105</v>
      </c>
      <c r="B1446" t="s">
        <v>2606</v>
      </c>
      <c r="C1446" t="s">
        <v>3763</v>
      </c>
      <c r="D1446" t="s">
        <v>939</v>
      </c>
      <c r="E1446" t="s">
        <v>3764</v>
      </c>
      <c r="F1446">
        <v>160</v>
      </c>
      <c r="G1446" t="s">
        <v>619</v>
      </c>
      <c r="H1446">
        <v>160</v>
      </c>
      <c r="I1446" t="s">
        <v>2607</v>
      </c>
    </row>
    <row r="1447" spans="1:9" x14ac:dyDescent="0.25">
      <c r="A1447" s="91">
        <v>46105</v>
      </c>
      <c r="B1447" t="s">
        <v>2606</v>
      </c>
      <c r="C1447" t="s">
        <v>3765</v>
      </c>
      <c r="D1447" t="s">
        <v>102</v>
      </c>
      <c r="E1447" t="s">
        <v>2631</v>
      </c>
      <c r="F1447">
        <v>7300</v>
      </c>
      <c r="G1447" t="s">
        <v>619</v>
      </c>
      <c r="H1447">
        <v>7300</v>
      </c>
      <c r="I1447" t="s">
        <v>2607</v>
      </c>
    </row>
    <row r="1448" spans="1:9" x14ac:dyDescent="0.25">
      <c r="A1448" s="91">
        <v>46105</v>
      </c>
      <c r="B1448" t="s">
        <v>2606</v>
      </c>
      <c r="C1448" t="s">
        <v>3766</v>
      </c>
      <c r="D1448" t="s">
        <v>1009</v>
      </c>
      <c r="E1448" t="s">
        <v>3767</v>
      </c>
      <c r="F1448">
        <v>360</v>
      </c>
      <c r="G1448" t="s">
        <v>619</v>
      </c>
      <c r="H1448">
        <v>360</v>
      </c>
      <c r="I1448" t="s">
        <v>2607</v>
      </c>
    </row>
    <row r="1449" spans="1:9" x14ac:dyDescent="0.25">
      <c r="A1449" s="91">
        <v>46105</v>
      </c>
      <c r="B1449" t="s">
        <v>2606</v>
      </c>
      <c r="C1449" t="s">
        <v>3768</v>
      </c>
      <c r="D1449" t="s">
        <v>1401</v>
      </c>
      <c r="E1449" t="s">
        <v>2061</v>
      </c>
      <c r="F1449">
        <v>7300</v>
      </c>
      <c r="G1449" t="s">
        <v>619</v>
      </c>
      <c r="H1449">
        <v>7300</v>
      </c>
      <c r="I1449" t="s">
        <v>2607</v>
      </c>
    </row>
    <row r="1450" spans="1:9" x14ac:dyDescent="0.25">
      <c r="A1450" s="91">
        <v>46105</v>
      </c>
      <c r="B1450" t="s">
        <v>2606</v>
      </c>
      <c r="C1450" t="s">
        <v>3769</v>
      </c>
      <c r="D1450" t="s">
        <v>97</v>
      </c>
      <c r="E1450" t="s">
        <v>3770</v>
      </c>
      <c r="F1450">
        <v>7300</v>
      </c>
      <c r="G1450" t="s">
        <v>619</v>
      </c>
      <c r="H1450">
        <v>7300</v>
      </c>
      <c r="I1450" t="s">
        <v>2607</v>
      </c>
    </row>
    <row r="1451" spans="1:9" x14ac:dyDescent="0.25">
      <c r="A1451" s="91">
        <v>46105</v>
      </c>
      <c r="B1451" t="s">
        <v>2614</v>
      </c>
      <c r="C1451" t="s">
        <v>3771</v>
      </c>
      <c r="D1451">
        <v>900106</v>
      </c>
      <c r="E1451" t="s">
        <v>2616</v>
      </c>
      <c r="F1451">
        <v>480</v>
      </c>
      <c r="G1451" t="s">
        <v>619</v>
      </c>
      <c r="H1451">
        <v>480</v>
      </c>
      <c r="I1451" t="s">
        <v>2607</v>
      </c>
    </row>
    <row r="1452" spans="1:9" x14ac:dyDescent="0.25">
      <c r="A1452" s="91">
        <v>46105</v>
      </c>
      <c r="B1452" t="s">
        <v>2608</v>
      </c>
      <c r="C1452" t="s">
        <v>2554</v>
      </c>
      <c r="D1452">
        <v>7033</v>
      </c>
      <c r="E1452" t="s">
        <v>1109</v>
      </c>
      <c r="F1452">
        <v>95000</v>
      </c>
      <c r="G1452" t="s">
        <v>622</v>
      </c>
      <c r="H1452">
        <v>95000</v>
      </c>
      <c r="I1452" t="s">
        <v>2609</v>
      </c>
    </row>
    <row r="1453" spans="1:9" x14ac:dyDescent="0.25">
      <c r="A1453" s="91">
        <v>46105</v>
      </c>
      <c r="B1453" t="s">
        <v>2608</v>
      </c>
      <c r="C1453" t="s">
        <v>3772</v>
      </c>
      <c r="D1453">
        <v>7121</v>
      </c>
      <c r="E1453" t="s">
        <v>635</v>
      </c>
      <c r="F1453">
        <v>95000</v>
      </c>
      <c r="G1453" t="s">
        <v>622</v>
      </c>
      <c r="H1453">
        <v>95000</v>
      </c>
      <c r="I1453" t="s">
        <v>2609</v>
      </c>
    </row>
    <row r="1454" spans="1:9" x14ac:dyDescent="0.25">
      <c r="A1454" s="91">
        <v>46105</v>
      </c>
      <c r="B1454" t="s">
        <v>2617</v>
      </c>
      <c r="C1454" t="s">
        <v>3773</v>
      </c>
      <c r="D1454">
        <v>5150010450</v>
      </c>
      <c r="E1454" t="s">
        <v>2619</v>
      </c>
      <c r="F1454">
        <v>900</v>
      </c>
      <c r="G1454" t="s">
        <v>619</v>
      </c>
      <c r="H1454">
        <v>900</v>
      </c>
      <c r="I1454" t="s">
        <v>2607</v>
      </c>
    </row>
    <row r="1455" spans="1:9" x14ac:dyDescent="0.25">
      <c r="A1455" s="91">
        <v>46105</v>
      </c>
      <c r="B1455" t="s">
        <v>685</v>
      </c>
      <c r="C1455" t="s">
        <v>3774</v>
      </c>
      <c r="D1455">
        <v>7372</v>
      </c>
      <c r="E1455" t="s">
        <v>741</v>
      </c>
      <c r="F1455">
        <v>40000</v>
      </c>
      <c r="G1455" t="s">
        <v>622</v>
      </c>
      <c r="H1455">
        <v>40000</v>
      </c>
      <c r="I1455" t="s">
        <v>2633</v>
      </c>
    </row>
    <row r="1456" spans="1:9" x14ac:dyDescent="0.25">
      <c r="A1456" s="91">
        <v>46105</v>
      </c>
      <c r="B1456" t="s">
        <v>2606</v>
      </c>
      <c r="C1456" t="s">
        <v>3775</v>
      </c>
      <c r="D1456" t="s">
        <v>1401</v>
      </c>
      <c r="E1456" t="s">
        <v>2061</v>
      </c>
      <c r="F1456">
        <v>7300</v>
      </c>
      <c r="G1456" t="s">
        <v>619</v>
      </c>
      <c r="H1456">
        <v>7300</v>
      </c>
      <c r="I1456" t="s">
        <v>2607</v>
      </c>
    </row>
    <row r="1457" spans="1:9" x14ac:dyDescent="0.25">
      <c r="A1457" s="91">
        <v>46105</v>
      </c>
      <c r="B1457" t="s">
        <v>685</v>
      </c>
      <c r="C1457" t="s">
        <v>3776</v>
      </c>
      <c r="D1457">
        <v>7372</v>
      </c>
      <c r="E1457" t="s">
        <v>741</v>
      </c>
      <c r="F1457">
        <v>40000</v>
      </c>
      <c r="G1457" t="s">
        <v>622</v>
      </c>
      <c r="H1457">
        <v>40000</v>
      </c>
      <c r="I1457" t="s">
        <v>2633</v>
      </c>
    </row>
    <row r="1458" spans="1:9" x14ac:dyDescent="0.25">
      <c r="A1458" s="91">
        <v>46105</v>
      </c>
      <c r="B1458" t="s">
        <v>2665</v>
      </c>
      <c r="C1458" t="s">
        <v>2513</v>
      </c>
      <c r="D1458" t="s">
        <v>894</v>
      </c>
      <c r="E1458" t="s">
        <v>895</v>
      </c>
      <c r="F1458">
        <v>6667</v>
      </c>
      <c r="G1458" t="s">
        <v>619</v>
      </c>
      <c r="H1458">
        <v>6667</v>
      </c>
      <c r="I1458" t="s">
        <v>2607</v>
      </c>
    </row>
    <row r="1459" spans="1:9" x14ac:dyDescent="0.25">
      <c r="A1459" s="91">
        <v>46105</v>
      </c>
      <c r="B1459" t="s">
        <v>2665</v>
      </c>
      <c r="C1459" t="s">
        <v>3777</v>
      </c>
      <c r="D1459" t="s">
        <v>894</v>
      </c>
      <c r="E1459" t="s">
        <v>895</v>
      </c>
      <c r="F1459">
        <v>6667</v>
      </c>
      <c r="G1459" t="s">
        <v>619</v>
      </c>
      <c r="H1459">
        <v>6667</v>
      </c>
      <c r="I1459" t="s">
        <v>2607</v>
      </c>
    </row>
    <row r="1460" spans="1:9" x14ac:dyDescent="0.25">
      <c r="A1460" s="91">
        <v>46105</v>
      </c>
      <c r="B1460">
        <v>7002</v>
      </c>
      <c r="C1460" t="s">
        <v>3778</v>
      </c>
      <c r="D1460">
        <v>907013</v>
      </c>
      <c r="E1460" t="s">
        <v>3041</v>
      </c>
      <c r="F1460">
        <v>174</v>
      </c>
      <c r="G1460" t="s">
        <v>619</v>
      </c>
      <c r="H1460">
        <v>174</v>
      </c>
      <c r="I1460" t="s">
        <v>2607</v>
      </c>
    </row>
    <row r="1461" spans="1:9" x14ac:dyDescent="0.25">
      <c r="A1461" s="91">
        <v>46105</v>
      </c>
      <c r="B1461" t="s">
        <v>688</v>
      </c>
      <c r="C1461" t="s">
        <v>3779</v>
      </c>
      <c r="D1461">
        <v>7741</v>
      </c>
      <c r="E1461" t="s">
        <v>690</v>
      </c>
      <c r="F1461">
        <v>68000</v>
      </c>
      <c r="G1461" t="s">
        <v>622</v>
      </c>
      <c r="H1461">
        <v>68000</v>
      </c>
      <c r="I1461" t="s">
        <v>2633</v>
      </c>
    </row>
    <row r="1462" spans="1:9" x14ac:dyDescent="0.25">
      <c r="A1462" s="91">
        <v>46105</v>
      </c>
      <c r="B1462" t="s">
        <v>2665</v>
      </c>
      <c r="C1462" t="s">
        <v>3780</v>
      </c>
      <c r="D1462" t="s">
        <v>1405</v>
      </c>
      <c r="E1462" t="s">
        <v>2709</v>
      </c>
      <c r="F1462">
        <v>6500</v>
      </c>
      <c r="G1462" t="s">
        <v>619</v>
      </c>
      <c r="H1462">
        <v>6500</v>
      </c>
      <c r="I1462" t="s">
        <v>2607</v>
      </c>
    </row>
    <row r="1463" spans="1:9" x14ac:dyDescent="0.25">
      <c r="A1463" s="91">
        <v>46105</v>
      </c>
      <c r="B1463" t="s">
        <v>712</v>
      </c>
      <c r="C1463" t="s">
        <v>3781</v>
      </c>
      <c r="D1463">
        <v>8032</v>
      </c>
      <c r="E1463" t="s">
        <v>3598</v>
      </c>
      <c r="F1463">
        <v>50000</v>
      </c>
      <c r="G1463" t="s">
        <v>622</v>
      </c>
      <c r="H1463">
        <v>50000</v>
      </c>
      <c r="I1463" t="s">
        <v>2607</v>
      </c>
    </row>
    <row r="1464" spans="1:9" x14ac:dyDescent="0.25">
      <c r="A1464" s="91">
        <v>46105</v>
      </c>
      <c r="B1464" t="s">
        <v>2624</v>
      </c>
      <c r="C1464" t="s">
        <v>3782</v>
      </c>
      <c r="D1464" t="s">
        <v>3189</v>
      </c>
      <c r="E1464" t="s">
        <v>3190</v>
      </c>
      <c r="F1464">
        <v>200</v>
      </c>
      <c r="G1464" t="s">
        <v>619</v>
      </c>
      <c r="H1464">
        <v>200</v>
      </c>
      <c r="I1464" t="s">
        <v>2939</v>
      </c>
    </row>
    <row r="1465" spans="1:9" x14ac:dyDescent="0.25">
      <c r="A1465" s="91">
        <v>46105</v>
      </c>
      <c r="B1465" t="s">
        <v>682</v>
      </c>
      <c r="C1465" t="s">
        <v>3783</v>
      </c>
      <c r="D1465" t="s">
        <v>806</v>
      </c>
      <c r="E1465" t="s">
        <v>807</v>
      </c>
      <c r="F1465">
        <v>28000</v>
      </c>
      <c r="G1465" t="s">
        <v>622</v>
      </c>
      <c r="H1465">
        <v>28000</v>
      </c>
      <c r="I1465" t="s">
        <v>2633</v>
      </c>
    </row>
    <row r="1466" spans="1:9" x14ac:dyDescent="0.25">
      <c r="A1466" s="91">
        <v>46105</v>
      </c>
      <c r="B1466" t="s">
        <v>2621</v>
      </c>
      <c r="C1466" t="s">
        <v>3784</v>
      </c>
      <c r="D1466" t="s">
        <v>3785</v>
      </c>
      <c r="E1466" t="s">
        <v>3786</v>
      </c>
      <c r="F1466">
        <v>500</v>
      </c>
      <c r="G1466" t="s">
        <v>619</v>
      </c>
      <c r="H1466">
        <v>500</v>
      </c>
      <c r="I1466" t="s">
        <v>2607</v>
      </c>
    </row>
    <row r="1467" spans="1:9" x14ac:dyDescent="0.25">
      <c r="A1467" s="91">
        <v>46105</v>
      </c>
      <c r="B1467" t="s">
        <v>2736</v>
      </c>
      <c r="C1467" t="s">
        <v>3787</v>
      </c>
      <c r="D1467" t="s">
        <v>3788</v>
      </c>
      <c r="E1467" t="s">
        <v>3789</v>
      </c>
      <c r="F1467">
        <v>1000</v>
      </c>
      <c r="G1467" t="s">
        <v>622</v>
      </c>
      <c r="H1467">
        <v>1000</v>
      </c>
      <c r="I1467" t="s">
        <v>2607</v>
      </c>
    </row>
    <row r="1468" spans="1:9" x14ac:dyDescent="0.25">
      <c r="A1468" s="91">
        <v>46105</v>
      </c>
      <c r="B1468" t="s">
        <v>2665</v>
      </c>
      <c r="C1468" t="s">
        <v>3790</v>
      </c>
      <c r="D1468" t="s">
        <v>994</v>
      </c>
      <c r="E1468" t="s">
        <v>2916</v>
      </c>
      <c r="F1468">
        <v>6500</v>
      </c>
      <c r="G1468" t="s">
        <v>619</v>
      </c>
      <c r="H1468">
        <v>6500</v>
      </c>
      <c r="I1468" t="s">
        <v>2607</v>
      </c>
    </row>
    <row r="1469" spans="1:9" x14ac:dyDescent="0.25">
      <c r="A1469" s="91">
        <v>46105</v>
      </c>
      <c r="B1469" t="s">
        <v>2621</v>
      </c>
      <c r="C1469" t="s">
        <v>3791</v>
      </c>
      <c r="D1469" t="s">
        <v>2639</v>
      </c>
      <c r="E1469" t="s">
        <v>2640</v>
      </c>
      <c r="F1469">
        <v>4762</v>
      </c>
      <c r="G1469" t="s">
        <v>619</v>
      </c>
      <c r="H1469">
        <v>4762</v>
      </c>
      <c r="I1469" t="s">
        <v>2607</v>
      </c>
    </row>
    <row r="1470" spans="1:9" x14ac:dyDescent="0.25">
      <c r="A1470" s="91">
        <v>46106</v>
      </c>
      <c r="B1470" t="s">
        <v>2665</v>
      </c>
      <c r="C1470" t="s">
        <v>3792</v>
      </c>
      <c r="D1470" t="s">
        <v>894</v>
      </c>
      <c r="E1470" t="s">
        <v>895</v>
      </c>
      <c r="F1470">
        <v>6667</v>
      </c>
      <c r="G1470" t="s">
        <v>619</v>
      </c>
      <c r="H1470">
        <v>6667</v>
      </c>
      <c r="I1470" t="s">
        <v>2607</v>
      </c>
    </row>
    <row r="1471" spans="1:9" x14ac:dyDescent="0.25">
      <c r="A1471" s="91">
        <v>46106</v>
      </c>
      <c r="B1471" t="s">
        <v>2608</v>
      </c>
      <c r="C1471" t="s">
        <v>3793</v>
      </c>
      <c r="D1471">
        <v>7018</v>
      </c>
      <c r="E1471" t="s">
        <v>1077</v>
      </c>
      <c r="F1471">
        <v>105000</v>
      </c>
      <c r="G1471" t="s">
        <v>622</v>
      </c>
      <c r="H1471">
        <v>105000</v>
      </c>
      <c r="I1471" t="s">
        <v>2609</v>
      </c>
    </row>
    <row r="1472" spans="1:9" x14ac:dyDescent="0.25">
      <c r="A1472" s="91">
        <v>46106</v>
      </c>
      <c r="B1472" t="s">
        <v>2606</v>
      </c>
      <c r="C1472" t="s">
        <v>3794</v>
      </c>
      <c r="D1472" t="s">
        <v>102</v>
      </c>
      <c r="E1472" t="s">
        <v>2631</v>
      </c>
      <c r="F1472">
        <v>7300</v>
      </c>
      <c r="G1472" t="s">
        <v>619</v>
      </c>
      <c r="H1472">
        <v>7300</v>
      </c>
      <c r="I1472" t="s">
        <v>2607</v>
      </c>
    </row>
    <row r="1473" spans="1:9" x14ac:dyDescent="0.25">
      <c r="A1473" s="91">
        <v>46106</v>
      </c>
      <c r="B1473" t="s">
        <v>2606</v>
      </c>
      <c r="C1473" t="s">
        <v>3795</v>
      </c>
      <c r="D1473" t="s">
        <v>1401</v>
      </c>
      <c r="E1473" t="s">
        <v>2061</v>
      </c>
      <c r="F1473">
        <v>7300</v>
      </c>
      <c r="G1473" t="s">
        <v>619</v>
      </c>
      <c r="H1473">
        <v>7300</v>
      </c>
      <c r="I1473" t="s">
        <v>2607</v>
      </c>
    </row>
    <row r="1474" spans="1:9" x14ac:dyDescent="0.25">
      <c r="A1474" s="91">
        <v>46106</v>
      </c>
      <c r="B1474" t="s">
        <v>2606</v>
      </c>
      <c r="C1474" t="s">
        <v>3796</v>
      </c>
      <c r="D1474" t="s">
        <v>102</v>
      </c>
      <c r="E1474" t="s">
        <v>2631</v>
      </c>
      <c r="F1474">
        <v>7300</v>
      </c>
      <c r="G1474" t="s">
        <v>619</v>
      </c>
      <c r="H1474">
        <v>7300</v>
      </c>
      <c r="I1474" t="s">
        <v>2607</v>
      </c>
    </row>
    <row r="1475" spans="1:9" x14ac:dyDescent="0.25">
      <c r="A1475" s="91">
        <v>46106</v>
      </c>
      <c r="B1475" t="s">
        <v>685</v>
      </c>
      <c r="C1475" t="s">
        <v>3797</v>
      </c>
      <c r="D1475" t="s">
        <v>722</v>
      </c>
      <c r="E1475" t="s">
        <v>723</v>
      </c>
      <c r="F1475">
        <v>40000</v>
      </c>
      <c r="G1475" t="s">
        <v>622</v>
      </c>
      <c r="H1475">
        <v>40000</v>
      </c>
      <c r="I1475" t="s">
        <v>2633</v>
      </c>
    </row>
    <row r="1476" spans="1:9" x14ac:dyDescent="0.25">
      <c r="A1476" s="91">
        <v>46106</v>
      </c>
      <c r="B1476" t="s">
        <v>2736</v>
      </c>
      <c r="C1476" t="s">
        <v>3798</v>
      </c>
      <c r="D1476" t="s">
        <v>3799</v>
      </c>
      <c r="E1476" t="s">
        <v>3800</v>
      </c>
      <c r="F1476">
        <v>500</v>
      </c>
      <c r="G1476" t="s">
        <v>622</v>
      </c>
      <c r="H1476">
        <v>500</v>
      </c>
      <c r="I1476" t="s">
        <v>2607</v>
      </c>
    </row>
    <row r="1477" spans="1:9" x14ac:dyDescent="0.25">
      <c r="A1477" s="91">
        <v>46106</v>
      </c>
      <c r="B1477" t="s">
        <v>688</v>
      </c>
      <c r="C1477" t="s">
        <v>3801</v>
      </c>
      <c r="D1477">
        <v>7741</v>
      </c>
      <c r="E1477" t="s">
        <v>690</v>
      </c>
      <c r="F1477">
        <v>68000</v>
      </c>
      <c r="G1477" t="s">
        <v>622</v>
      </c>
      <c r="H1477">
        <v>68000</v>
      </c>
      <c r="I1477" t="s">
        <v>2633</v>
      </c>
    </row>
    <row r="1478" spans="1:9" x14ac:dyDescent="0.25">
      <c r="A1478" s="91">
        <v>46106</v>
      </c>
      <c r="B1478" t="s">
        <v>693</v>
      </c>
      <c r="C1478" t="s">
        <v>3802</v>
      </c>
      <c r="D1478" t="s">
        <v>3803</v>
      </c>
      <c r="E1478" t="s">
        <v>3804</v>
      </c>
      <c r="F1478">
        <v>9360</v>
      </c>
      <c r="G1478" t="s">
        <v>619</v>
      </c>
      <c r="H1478">
        <v>9360</v>
      </c>
      <c r="I1478" t="s">
        <v>2607</v>
      </c>
    </row>
    <row r="1479" spans="1:9" x14ac:dyDescent="0.25">
      <c r="A1479" s="91">
        <v>46106</v>
      </c>
      <c r="B1479" t="s">
        <v>712</v>
      </c>
      <c r="C1479" t="s">
        <v>3805</v>
      </c>
      <c r="D1479">
        <v>8032</v>
      </c>
      <c r="E1479" t="s">
        <v>3598</v>
      </c>
      <c r="F1479">
        <v>50000</v>
      </c>
      <c r="G1479" t="s">
        <v>622</v>
      </c>
      <c r="H1479">
        <v>50000</v>
      </c>
      <c r="I1479" t="s">
        <v>2607</v>
      </c>
    </row>
    <row r="1480" spans="1:9" x14ac:dyDescent="0.25">
      <c r="A1480" s="91">
        <v>46106</v>
      </c>
      <c r="B1480" t="s">
        <v>712</v>
      </c>
      <c r="C1480" t="s">
        <v>3806</v>
      </c>
      <c r="D1480">
        <v>8032</v>
      </c>
      <c r="E1480" t="s">
        <v>3598</v>
      </c>
      <c r="F1480">
        <v>50000</v>
      </c>
      <c r="G1480" t="s">
        <v>622</v>
      </c>
      <c r="H1480">
        <v>50000</v>
      </c>
      <c r="I1480" t="s">
        <v>2607</v>
      </c>
    </row>
    <row r="1481" spans="1:9" x14ac:dyDescent="0.25">
      <c r="A1481" s="91">
        <v>46106</v>
      </c>
      <c r="B1481" t="s">
        <v>682</v>
      </c>
      <c r="C1481" t="s">
        <v>3807</v>
      </c>
      <c r="D1481">
        <v>7297</v>
      </c>
      <c r="E1481" t="s">
        <v>684</v>
      </c>
      <c r="F1481">
        <v>30000</v>
      </c>
      <c r="G1481" t="s">
        <v>622</v>
      </c>
      <c r="H1481">
        <v>30000</v>
      </c>
      <c r="I1481" t="s">
        <v>2633</v>
      </c>
    </row>
    <row r="1482" spans="1:9" x14ac:dyDescent="0.25">
      <c r="A1482" s="91">
        <v>46106</v>
      </c>
      <c r="B1482" t="s">
        <v>682</v>
      </c>
      <c r="C1482" t="s">
        <v>3808</v>
      </c>
      <c r="D1482">
        <v>7302</v>
      </c>
      <c r="E1482" t="s">
        <v>768</v>
      </c>
      <c r="F1482">
        <v>27000</v>
      </c>
      <c r="G1482" t="s">
        <v>622</v>
      </c>
      <c r="H1482">
        <v>27000</v>
      </c>
      <c r="I1482" t="s">
        <v>2633</v>
      </c>
    </row>
    <row r="1483" spans="1:9" x14ac:dyDescent="0.25">
      <c r="A1483" s="91">
        <v>46106</v>
      </c>
      <c r="B1483" t="s">
        <v>688</v>
      </c>
      <c r="C1483" t="s">
        <v>3809</v>
      </c>
      <c r="D1483">
        <v>7741</v>
      </c>
      <c r="E1483" t="s">
        <v>690</v>
      </c>
      <c r="F1483">
        <v>68000</v>
      </c>
      <c r="G1483" t="s">
        <v>622</v>
      </c>
      <c r="H1483">
        <v>68000</v>
      </c>
      <c r="I1483" t="s">
        <v>2633</v>
      </c>
    </row>
    <row r="1484" spans="1:9" x14ac:dyDescent="0.25">
      <c r="A1484" s="91">
        <v>46106</v>
      </c>
      <c r="B1484" t="s">
        <v>693</v>
      </c>
      <c r="C1484" t="s">
        <v>3810</v>
      </c>
      <c r="D1484" t="s">
        <v>3811</v>
      </c>
      <c r="E1484" t="s">
        <v>3812</v>
      </c>
      <c r="F1484">
        <v>9360</v>
      </c>
      <c r="G1484" t="s">
        <v>619</v>
      </c>
      <c r="H1484">
        <v>9360</v>
      </c>
      <c r="I1484" t="s">
        <v>2607</v>
      </c>
    </row>
    <row r="1485" spans="1:9" x14ac:dyDescent="0.25">
      <c r="A1485" s="91">
        <v>46107</v>
      </c>
      <c r="B1485" t="s">
        <v>2680</v>
      </c>
      <c r="C1485" t="s">
        <v>3813</v>
      </c>
      <c r="D1485">
        <v>800500</v>
      </c>
      <c r="E1485" t="s">
        <v>2945</v>
      </c>
      <c r="F1485">
        <v>900</v>
      </c>
      <c r="G1485" t="s">
        <v>619</v>
      </c>
      <c r="H1485">
        <v>900</v>
      </c>
      <c r="I1485" t="s">
        <v>2939</v>
      </c>
    </row>
    <row r="1486" spans="1:9" x14ac:dyDescent="0.25">
      <c r="A1486" s="91">
        <v>46107</v>
      </c>
      <c r="B1486" t="s">
        <v>2614</v>
      </c>
      <c r="C1486" t="s">
        <v>3814</v>
      </c>
      <c r="D1486">
        <v>900105</v>
      </c>
      <c r="E1486" t="s">
        <v>2884</v>
      </c>
      <c r="F1486">
        <v>480</v>
      </c>
      <c r="G1486" t="s">
        <v>619</v>
      </c>
      <c r="H1486">
        <v>480</v>
      </c>
      <c r="I1486" t="s">
        <v>2607</v>
      </c>
    </row>
    <row r="1487" spans="1:9" x14ac:dyDescent="0.25">
      <c r="A1487" s="91">
        <v>46107</v>
      </c>
      <c r="B1487" t="s">
        <v>2617</v>
      </c>
      <c r="C1487" t="s">
        <v>3815</v>
      </c>
      <c r="D1487">
        <v>5150010451</v>
      </c>
      <c r="E1487" t="s">
        <v>2706</v>
      </c>
      <c r="F1487">
        <v>2256</v>
      </c>
      <c r="G1487" t="s">
        <v>619</v>
      </c>
      <c r="H1487">
        <v>2256</v>
      </c>
      <c r="I1487" t="s">
        <v>2607</v>
      </c>
    </row>
    <row r="1488" spans="1:9" x14ac:dyDescent="0.25">
      <c r="A1488" s="91">
        <v>46107</v>
      </c>
      <c r="B1488" t="s">
        <v>2608</v>
      </c>
      <c r="C1488" t="s">
        <v>3816</v>
      </c>
      <c r="D1488">
        <v>79502</v>
      </c>
      <c r="E1488" t="s">
        <v>885</v>
      </c>
      <c r="F1488">
        <v>105000</v>
      </c>
      <c r="G1488" t="s">
        <v>622</v>
      </c>
      <c r="H1488">
        <v>105000</v>
      </c>
      <c r="I1488" t="s">
        <v>2609</v>
      </c>
    </row>
    <row r="1489" spans="1:9" x14ac:dyDescent="0.25">
      <c r="A1489" s="91">
        <v>46107</v>
      </c>
      <c r="B1489" t="s">
        <v>2606</v>
      </c>
      <c r="C1489" t="s">
        <v>3817</v>
      </c>
      <c r="D1489" t="s">
        <v>1401</v>
      </c>
      <c r="E1489" t="s">
        <v>2061</v>
      </c>
      <c r="F1489">
        <v>7300</v>
      </c>
      <c r="G1489" t="s">
        <v>619</v>
      </c>
      <c r="H1489">
        <v>7300</v>
      </c>
      <c r="I1489" t="s">
        <v>2607</v>
      </c>
    </row>
    <row r="1490" spans="1:9" x14ac:dyDescent="0.25">
      <c r="A1490" s="91">
        <v>46107</v>
      </c>
      <c r="B1490" t="s">
        <v>2606</v>
      </c>
      <c r="C1490" t="s">
        <v>3818</v>
      </c>
      <c r="D1490" t="s">
        <v>126</v>
      </c>
      <c r="E1490" t="s">
        <v>3819</v>
      </c>
      <c r="F1490">
        <v>7300</v>
      </c>
      <c r="G1490" t="s">
        <v>619</v>
      </c>
      <c r="H1490">
        <v>7300</v>
      </c>
      <c r="I1490" t="s">
        <v>2607</v>
      </c>
    </row>
    <row r="1491" spans="1:9" x14ac:dyDescent="0.25">
      <c r="A1491" s="91">
        <v>46107</v>
      </c>
      <c r="B1491" t="s">
        <v>685</v>
      </c>
      <c r="C1491" t="s">
        <v>3820</v>
      </c>
      <c r="D1491" t="s">
        <v>686</v>
      </c>
      <c r="E1491" t="s">
        <v>687</v>
      </c>
      <c r="F1491">
        <v>40000</v>
      </c>
      <c r="G1491" t="s">
        <v>622</v>
      </c>
      <c r="H1491">
        <v>40000</v>
      </c>
      <c r="I1491" t="s">
        <v>2633</v>
      </c>
    </row>
    <row r="1492" spans="1:9" x14ac:dyDescent="0.25">
      <c r="A1492" s="91">
        <v>46107</v>
      </c>
      <c r="B1492" t="s">
        <v>2665</v>
      </c>
      <c r="C1492" t="s">
        <v>3821</v>
      </c>
      <c r="D1492" t="s">
        <v>894</v>
      </c>
      <c r="E1492" t="s">
        <v>895</v>
      </c>
      <c r="F1492">
        <v>6667</v>
      </c>
      <c r="G1492" t="s">
        <v>619</v>
      </c>
      <c r="H1492">
        <v>6667</v>
      </c>
      <c r="I1492" t="s">
        <v>2607</v>
      </c>
    </row>
    <row r="1493" spans="1:9" x14ac:dyDescent="0.25">
      <c r="A1493" s="91">
        <v>46107</v>
      </c>
      <c r="B1493" t="s">
        <v>2736</v>
      </c>
      <c r="C1493" t="s">
        <v>3822</v>
      </c>
      <c r="D1493" t="s">
        <v>2530</v>
      </c>
      <c r="E1493" t="s">
        <v>2531</v>
      </c>
      <c r="F1493">
        <v>450</v>
      </c>
      <c r="G1493" t="s">
        <v>622</v>
      </c>
      <c r="H1493">
        <v>450</v>
      </c>
      <c r="I1493" t="s">
        <v>2607</v>
      </c>
    </row>
    <row r="1494" spans="1:9" x14ac:dyDescent="0.25">
      <c r="A1494" s="91">
        <v>46107</v>
      </c>
      <c r="B1494" t="s">
        <v>2621</v>
      </c>
      <c r="C1494" t="s">
        <v>3823</v>
      </c>
      <c r="D1494" t="s">
        <v>2639</v>
      </c>
      <c r="E1494" t="s">
        <v>2640</v>
      </c>
      <c r="F1494">
        <v>4762</v>
      </c>
      <c r="G1494" t="s">
        <v>619</v>
      </c>
      <c r="H1494">
        <v>4762</v>
      </c>
      <c r="I1494" t="s">
        <v>2607</v>
      </c>
    </row>
    <row r="1495" spans="1:9" x14ac:dyDescent="0.25">
      <c r="A1495" s="91">
        <v>46107</v>
      </c>
      <c r="B1495" t="s">
        <v>2624</v>
      </c>
      <c r="C1495" t="s">
        <v>3824</v>
      </c>
      <c r="D1495" t="s">
        <v>2793</v>
      </c>
      <c r="E1495" t="s">
        <v>2794</v>
      </c>
      <c r="F1495">
        <v>2083</v>
      </c>
      <c r="G1495" t="s">
        <v>619</v>
      </c>
      <c r="H1495">
        <v>2083</v>
      </c>
      <c r="I1495" t="s">
        <v>2607</v>
      </c>
    </row>
    <row r="1496" spans="1:9" x14ac:dyDescent="0.25">
      <c r="A1496" s="91">
        <v>46107</v>
      </c>
      <c r="B1496" t="s">
        <v>712</v>
      </c>
      <c r="C1496" t="s">
        <v>3825</v>
      </c>
      <c r="D1496">
        <v>8032</v>
      </c>
      <c r="E1496" t="s">
        <v>3598</v>
      </c>
      <c r="F1496">
        <v>50000</v>
      </c>
      <c r="G1496" t="s">
        <v>622</v>
      </c>
      <c r="H1496">
        <v>50000</v>
      </c>
      <c r="I1496" t="s">
        <v>2607</v>
      </c>
    </row>
    <row r="1497" spans="1:9" x14ac:dyDescent="0.25">
      <c r="A1497" s="91">
        <v>46107</v>
      </c>
      <c r="B1497" t="s">
        <v>682</v>
      </c>
      <c r="C1497" t="s">
        <v>3826</v>
      </c>
      <c r="D1497">
        <v>7552</v>
      </c>
      <c r="E1497" t="s">
        <v>2752</v>
      </c>
      <c r="F1497">
        <v>24000</v>
      </c>
      <c r="G1497" t="s">
        <v>622</v>
      </c>
      <c r="H1497">
        <v>24000</v>
      </c>
      <c r="I1497" t="s">
        <v>2633</v>
      </c>
    </row>
    <row r="1498" spans="1:9" x14ac:dyDescent="0.25">
      <c r="A1498" s="91">
        <v>46107</v>
      </c>
      <c r="B1498" t="s">
        <v>688</v>
      </c>
      <c r="C1498" t="s">
        <v>3827</v>
      </c>
      <c r="D1498">
        <v>7741</v>
      </c>
      <c r="E1498" t="s">
        <v>690</v>
      </c>
      <c r="F1498">
        <v>68000</v>
      </c>
      <c r="G1498" t="s">
        <v>622</v>
      </c>
      <c r="H1498">
        <v>68000</v>
      </c>
      <c r="I1498" t="s">
        <v>2633</v>
      </c>
    </row>
    <row r="1499" spans="1:9" x14ac:dyDescent="0.25">
      <c r="A1499" s="91">
        <v>46107</v>
      </c>
      <c r="B1499">
        <v>7002</v>
      </c>
      <c r="C1499" t="s">
        <v>3828</v>
      </c>
      <c r="D1499">
        <v>907013</v>
      </c>
      <c r="E1499" t="s">
        <v>3041</v>
      </c>
      <c r="F1499">
        <v>174</v>
      </c>
      <c r="G1499" t="s">
        <v>619</v>
      </c>
      <c r="H1499">
        <v>174</v>
      </c>
      <c r="I1499" t="s">
        <v>2607</v>
      </c>
    </row>
    <row r="1500" spans="1:9" x14ac:dyDescent="0.25">
      <c r="A1500" s="91">
        <v>46107</v>
      </c>
      <c r="B1500" t="s">
        <v>2665</v>
      </c>
      <c r="C1500" t="s">
        <v>3829</v>
      </c>
      <c r="D1500" t="s">
        <v>3830</v>
      </c>
      <c r="E1500" t="s">
        <v>3831</v>
      </c>
      <c r="F1500">
        <v>5000</v>
      </c>
      <c r="G1500" t="s">
        <v>619</v>
      </c>
      <c r="H1500">
        <v>5000</v>
      </c>
      <c r="I1500" t="s">
        <v>2607</v>
      </c>
    </row>
    <row r="1501" spans="1:9" x14ac:dyDescent="0.25">
      <c r="A1501" s="91">
        <v>46108</v>
      </c>
      <c r="B1501" t="s">
        <v>2606</v>
      </c>
      <c r="C1501" t="s">
        <v>3832</v>
      </c>
      <c r="D1501" t="s">
        <v>1400</v>
      </c>
      <c r="E1501" t="s">
        <v>2941</v>
      </c>
      <c r="F1501">
        <v>7300</v>
      </c>
      <c r="G1501" t="s">
        <v>619</v>
      </c>
      <c r="H1501">
        <v>7300</v>
      </c>
      <c r="I1501" t="s">
        <v>2607</v>
      </c>
    </row>
    <row r="1502" spans="1:9" x14ac:dyDescent="0.25">
      <c r="A1502" s="91">
        <v>46108</v>
      </c>
      <c r="B1502" t="s">
        <v>2680</v>
      </c>
      <c r="C1502" t="s">
        <v>3833</v>
      </c>
      <c r="D1502">
        <v>800500</v>
      </c>
      <c r="E1502" t="s">
        <v>2945</v>
      </c>
      <c r="F1502">
        <v>900</v>
      </c>
      <c r="G1502" t="s">
        <v>619</v>
      </c>
      <c r="H1502">
        <v>900</v>
      </c>
      <c r="I1502" t="s">
        <v>2939</v>
      </c>
    </row>
    <row r="1503" spans="1:9" x14ac:dyDescent="0.25">
      <c r="A1503" s="91">
        <v>46108</v>
      </c>
      <c r="B1503" t="s">
        <v>2617</v>
      </c>
      <c r="C1503" t="s">
        <v>3834</v>
      </c>
      <c r="D1503">
        <v>5150010451</v>
      </c>
      <c r="E1503" t="s">
        <v>2706</v>
      </c>
      <c r="F1503">
        <v>2256</v>
      </c>
      <c r="G1503" t="s">
        <v>619</v>
      </c>
      <c r="H1503">
        <v>2256</v>
      </c>
      <c r="I1503" t="s">
        <v>2607</v>
      </c>
    </row>
    <row r="1504" spans="1:9" x14ac:dyDescent="0.25">
      <c r="A1504" s="91">
        <v>46108</v>
      </c>
      <c r="B1504" t="s">
        <v>2608</v>
      </c>
      <c r="C1504" t="s">
        <v>3835</v>
      </c>
      <c r="D1504">
        <v>79501</v>
      </c>
      <c r="E1504" t="s">
        <v>629</v>
      </c>
      <c r="F1504">
        <v>105000</v>
      </c>
      <c r="G1504" t="s">
        <v>622</v>
      </c>
      <c r="H1504">
        <v>105000</v>
      </c>
      <c r="I1504" t="s">
        <v>2609</v>
      </c>
    </row>
    <row r="1505" spans="1:9" x14ac:dyDescent="0.25">
      <c r="A1505" s="91">
        <v>46108</v>
      </c>
      <c r="B1505" t="s">
        <v>2606</v>
      </c>
      <c r="C1505" t="s">
        <v>3836</v>
      </c>
      <c r="D1505" t="s">
        <v>1401</v>
      </c>
      <c r="E1505" t="s">
        <v>2061</v>
      </c>
      <c r="F1505">
        <v>7300</v>
      </c>
      <c r="G1505" t="s">
        <v>619</v>
      </c>
      <c r="H1505">
        <v>7300</v>
      </c>
      <c r="I1505" t="s">
        <v>2607</v>
      </c>
    </row>
    <row r="1506" spans="1:9" x14ac:dyDescent="0.25">
      <c r="A1506" s="91">
        <v>46108</v>
      </c>
      <c r="B1506" t="s">
        <v>2665</v>
      </c>
      <c r="C1506" t="s">
        <v>3837</v>
      </c>
      <c r="D1506" t="s">
        <v>1106</v>
      </c>
      <c r="E1506" t="s">
        <v>1107</v>
      </c>
      <c r="F1506">
        <v>1800</v>
      </c>
      <c r="G1506" t="s">
        <v>619</v>
      </c>
      <c r="H1506">
        <v>1800</v>
      </c>
      <c r="I1506" t="s">
        <v>2607</v>
      </c>
    </row>
    <row r="1507" spans="1:9" x14ac:dyDescent="0.25">
      <c r="A1507" s="91">
        <v>46108</v>
      </c>
      <c r="B1507" t="s">
        <v>2665</v>
      </c>
      <c r="C1507" t="s">
        <v>3838</v>
      </c>
      <c r="D1507" t="s">
        <v>1106</v>
      </c>
      <c r="E1507" t="s">
        <v>1107</v>
      </c>
      <c r="F1507">
        <v>6667</v>
      </c>
      <c r="G1507" t="s">
        <v>619</v>
      </c>
      <c r="H1507">
        <v>6667</v>
      </c>
      <c r="I1507" t="s">
        <v>2607</v>
      </c>
    </row>
    <row r="1508" spans="1:9" x14ac:dyDescent="0.25">
      <c r="A1508" s="91">
        <v>46108</v>
      </c>
      <c r="B1508" t="s">
        <v>2736</v>
      </c>
      <c r="C1508" t="s">
        <v>3839</v>
      </c>
      <c r="D1508" t="s">
        <v>3840</v>
      </c>
      <c r="E1508" t="s">
        <v>3841</v>
      </c>
      <c r="F1508">
        <v>450</v>
      </c>
      <c r="G1508" t="s">
        <v>622</v>
      </c>
      <c r="H1508">
        <v>450</v>
      </c>
      <c r="I1508" t="s">
        <v>2607</v>
      </c>
    </row>
    <row r="1509" spans="1:9" x14ac:dyDescent="0.25">
      <c r="A1509" s="91">
        <v>46108</v>
      </c>
      <c r="B1509" t="s">
        <v>2621</v>
      </c>
      <c r="C1509" t="s">
        <v>3842</v>
      </c>
      <c r="D1509" t="s">
        <v>2713</v>
      </c>
      <c r="E1509" t="s">
        <v>2714</v>
      </c>
      <c r="F1509">
        <v>2381</v>
      </c>
      <c r="G1509" t="s">
        <v>619</v>
      </c>
      <c r="H1509">
        <v>2381</v>
      </c>
      <c r="I1509" t="s">
        <v>2607</v>
      </c>
    </row>
    <row r="1510" spans="1:9" x14ac:dyDescent="0.25">
      <c r="A1510" s="91">
        <v>46108</v>
      </c>
      <c r="B1510" t="s">
        <v>2624</v>
      </c>
      <c r="C1510" t="s">
        <v>3843</v>
      </c>
      <c r="D1510" t="s">
        <v>3189</v>
      </c>
      <c r="E1510" t="s">
        <v>3190</v>
      </c>
      <c r="F1510">
        <v>3526</v>
      </c>
      <c r="G1510" t="s">
        <v>619</v>
      </c>
      <c r="H1510">
        <v>3526</v>
      </c>
      <c r="I1510" t="s">
        <v>2939</v>
      </c>
    </row>
    <row r="1511" spans="1:9" x14ac:dyDescent="0.25">
      <c r="A1511" s="91">
        <v>46108</v>
      </c>
      <c r="B1511">
        <v>7002</v>
      </c>
      <c r="C1511" t="s">
        <v>3844</v>
      </c>
      <c r="D1511">
        <v>907013</v>
      </c>
      <c r="E1511" t="s">
        <v>3041</v>
      </c>
      <c r="F1511">
        <v>174</v>
      </c>
      <c r="G1511" t="s">
        <v>619</v>
      </c>
      <c r="H1511">
        <v>174</v>
      </c>
      <c r="I1511" t="s">
        <v>2607</v>
      </c>
    </row>
    <row r="1512" spans="1:9" x14ac:dyDescent="0.25">
      <c r="A1512" s="91">
        <v>46109</v>
      </c>
      <c r="B1512">
        <v>7002</v>
      </c>
      <c r="C1512" t="s">
        <v>3845</v>
      </c>
      <c r="D1512">
        <v>907013</v>
      </c>
      <c r="E1512" t="s">
        <v>3041</v>
      </c>
      <c r="F1512">
        <v>174</v>
      </c>
      <c r="G1512" t="s">
        <v>619</v>
      </c>
      <c r="H1512">
        <v>174</v>
      </c>
      <c r="I1512" t="s">
        <v>2607</v>
      </c>
    </row>
    <row r="1513" spans="1:9" x14ac:dyDescent="0.25">
      <c r="A1513" s="91">
        <v>46109</v>
      </c>
      <c r="B1513" t="s">
        <v>2624</v>
      </c>
      <c r="C1513" t="s">
        <v>3846</v>
      </c>
      <c r="D1513" t="s">
        <v>3189</v>
      </c>
      <c r="E1513" t="s">
        <v>3190</v>
      </c>
      <c r="F1513">
        <v>3526</v>
      </c>
      <c r="G1513" t="s">
        <v>619</v>
      </c>
      <c r="H1513">
        <v>3526</v>
      </c>
      <c r="I1513" t="s">
        <v>2939</v>
      </c>
    </row>
    <row r="1514" spans="1:9" x14ac:dyDescent="0.25">
      <c r="A1514" s="91">
        <v>46109</v>
      </c>
      <c r="B1514" t="s">
        <v>2621</v>
      </c>
      <c r="C1514" t="s">
        <v>3847</v>
      </c>
      <c r="D1514" t="s">
        <v>2910</v>
      </c>
      <c r="E1514" t="s">
        <v>2911</v>
      </c>
      <c r="F1514">
        <v>2381</v>
      </c>
      <c r="G1514" t="s">
        <v>619</v>
      </c>
      <c r="H1514">
        <v>2381</v>
      </c>
      <c r="I1514" t="s">
        <v>2607</v>
      </c>
    </row>
    <row r="1515" spans="1:9" x14ac:dyDescent="0.25">
      <c r="A1515" s="91">
        <v>46109</v>
      </c>
      <c r="B1515" t="s">
        <v>2606</v>
      </c>
      <c r="C1515" t="s">
        <v>3848</v>
      </c>
      <c r="D1515" t="s">
        <v>110</v>
      </c>
      <c r="E1515" t="s">
        <v>3743</v>
      </c>
      <c r="F1515">
        <v>7300</v>
      </c>
      <c r="G1515" t="s">
        <v>619</v>
      </c>
      <c r="H1515">
        <v>7300</v>
      </c>
      <c r="I1515" t="s">
        <v>2607</v>
      </c>
    </row>
    <row r="1516" spans="1:9" x14ac:dyDescent="0.25">
      <c r="A1516" s="91">
        <v>46109</v>
      </c>
      <c r="B1516" t="s">
        <v>2606</v>
      </c>
      <c r="C1516" t="s">
        <v>3849</v>
      </c>
      <c r="D1516" t="s">
        <v>3850</v>
      </c>
      <c r="E1516" t="s">
        <v>3851</v>
      </c>
      <c r="F1516">
        <v>7300</v>
      </c>
      <c r="G1516" t="s">
        <v>619</v>
      </c>
      <c r="H1516">
        <v>7300</v>
      </c>
      <c r="I1516" t="s">
        <v>2607</v>
      </c>
    </row>
    <row r="1517" spans="1:9" x14ac:dyDescent="0.25">
      <c r="A1517" s="91">
        <v>46109</v>
      </c>
      <c r="B1517" t="s">
        <v>2617</v>
      </c>
      <c r="C1517" t="s">
        <v>3852</v>
      </c>
      <c r="D1517">
        <v>5150010451</v>
      </c>
      <c r="E1517" t="s">
        <v>2706</v>
      </c>
      <c r="F1517">
        <v>2256</v>
      </c>
      <c r="G1517" t="s">
        <v>619</v>
      </c>
      <c r="H1517">
        <v>2256</v>
      </c>
      <c r="I1517" t="s">
        <v>2607</v>
      </c>
    </row>
    <row r="1518" spans="1:9" x14ac:dyDescent="0.25">
      <c r="A1518" s="91">
        <v>46109</v>
      </c>
      <c r="B1518" t="s">
        <v>2680</v>
      </c>
      <c r="C1518" t="s">
        <v>3853</v>
      </c>
      <c r="D1518">
        <v>800500</v>
      </c>
      <c r="E1518" t="s">
        <v>2945</v>
      </c>
      <c r="F1518">
        <v>900</v>
      </c>
      <c r="G1518" t="s">
        <v>619</v>
      </c>
      <c r="H1518">
        <v>900</v>
      </c>
      <c r="I1518" t="s">
        <v>2939</v>
      </c>
    </row>
    <row r="1519" spans="1:9" x14ac:dyDescent="0.25">
      <c r="A1519" s="91">
        <v>46110</v>
      </c>
      <c r="B1519" t="s">
        <v>2617</v>
      </c>
      <c r="C1519" t="s">
        <v>3854</v>
      </c>
      <c r="D1519">
        <v>5150010451</v>
      </c>
      <c r="E1519" t="s">
        <v>2706</v>
      </c>
      <c r="F1519">
        <v>2256</v>
      </c>
      <c r="G1519" t="s">
        <v>619</v>
      </c>
      <c r="H1519">
        <v>2256</v>
      </c>
      <c r="I1519" t="s">
        <v>2607</v>
      </c>
    </row>
    <row r="1520" spans="1:9" x14ac:dyDescent="0.25">
      <c r="A1520" s="91">
        <v>46110</v>
      </c>
      <c r="B1520" t="s">
        <v>2621</v>
      </c>
      <c r="C1520" t="s">
        <v>3855</v>
      </c>
      <c r="D1520" t="s">
        <v>2910</v>
      </c>
      <c r="E1520" t="s">
        <v>2911</v>
      </c>
      <c r="F1520">
        <v>2381</v>
      </c>
      <c r="G1520" t="s">
        <v>619</v>
      </c>
      <c r="H1520">
        <v>2381</v>
      </c>
      <c r="I1520" t="s">
        <v>2607</v>
      </c>
    </row>
    <row r="1521" spans="1:9" x14ac:dyDescent="0.25">
      <c r="A1521" s="91">
        <v>46110</v>
      </c>
      <c r="B1521">
        <v>7002</v>
      </c>
      <c r="C1521" t="s">
        <v>3856</v>
      </c>
      <c r="D1521">
        <v>961515</v>
      </c>
      <c r="E1521" t="s">
        <v>2691</v>
      </c>
      <c r="F1521">
        <v>163</v>
      </c>
      <c r="G1521" t="s">
        <v>619</v>
      </c>
      <c r="H1521">
        <v>163</v>
      </c>
      <c r="I1521" t="s">
        <v>2607</v>
      </c>
    </row>
    <row r="1522" spans="1:9" x14ac:dyDescent="0.25">
      <c r="A1522" s="91">
        <v>46110</v>
      </c>
      <c r="B1522" t="s">
        <v>2624</v>
      </c>
      <c r="C1522" t="s">
        <v>3857</v>
      </c>
      <c r="D1522" t="s">
        <v>2626</v>
      </c>
      <c r="E1522" t="s">
        <v>2627</v>
      </c>
      <c r="F1522">
        <v>3505</v>
      </c>
      <c r="G1522" t="s">
        <v>619</v>
      </c>
      <c r="H1522">
        <v>3505</v>
      </c>
      <c r="I1522" t="s">
        <v>2607</v>
      </c>
    </row>
    <row r="1523" spans="1:9" x14ac:dyDescent="0.25">
      <c r="A1523" s="91">
        <v>46111</v>
      </c>
      <c r="B1523" t="s">
        <v>2608</v>
      </c>
      <c r="C1523" t="s">
        <v>3858</v>
      </c>
      <c r="D1523">
        <v>7076</v>
      </c>
      <c r="E1523" t="s">
        <v>634</v>
      </c>
      <c r="F1523">
        <v>95000</v>
      </c>
      <c r="G1523" t="s">
        <v>622</v>
      </c>
      <c r="H1523">
        <v>95000</v>
      </c>
      <c r="I1523" t="s">
        <v>2609</v>
      </c>
    </row>
    <row r="1524" spans="1:9" x14ac:dyDescent="0.25">
      <c r="A1524" s="91">
        <v>46111</v>
      </c>
      <c r="B1524" t="s">
        <v>2611</v>
      </c>
      <c r="C1524" t="s">
        <v>3859</v>
      </c>
      <c r="D1524">
        <v>72002</v>
      </c>
      <c r="E1524" t="s">
        <v>2613</v>
      </c>
      <c r="F1524">
        <v>500</v>
      </c>
      <c r="G1524" t="s">
        <v>619</v>
      </c>
      <c r="H1524">
        <v>500</v>
      </c>
      <c r="I1524" t="s">
        <v>2607</v>
      </c>
    </row>
    <row r="1525" spans="1:9" x14ac:dyDescent="0.25">
      <c r="A1525" s="91">
        <v>46111</v>
      </c>
      <c r="B1525" t="s">
        <v>2617</v>
      </c>
      <c r="C1525" t="s">
        <v>3860</v>
      </c>
      <c r="D1525">
        <v>5150010451</v>
      </c>
      <c r="E1525" t="s">
        <v>2706</v>
      </c>
      <c r="F1525">
        <v>2256</v>
      </c>
      <c r="G1525" t="s">
        <v>619</v>
      </c>
      <c r="H1525">
        <v>2256</v>
      </c>
      <c r="I1525" t="s">
        <v>2607</v>
      </c>
    </row>
    <row r="1526" spans="1:9" x14ac:dyDescent="0.25">
      <c r="A1526" s="91">
        <v>46111</v>
      </c>
      <c r="B1526" t="s">
        <v>2652</v>
      </c>
      <c r="C1526" t="s">
        <v>3861</v>
      </c>
      <c r="D1526">
        <v>2205</v>
      </c>
      <c r="E1526" t="s">
        <v>880</v>
      </c>
      <c r="F1526">
        <v>240</v>
      </c>
      <c r="G1526" t="s">
        <v>622</v>
      </c>
      <c r="H1526">
        <v>240</v>
      </c>
      <c r="I1526" t="s">
        <v>2607</v>
      </c>
    </row>
    <row r="1527" spans="1:9" x14ac:dyDescent="0.25">
      <c r="A1527" s="91">
        <v>46111</v>
      </c>
      <c r="B1527" t="s">
        <v>2652</v>
      </c>
      <c r="C1527" t="s">
        <v>3862</v>
      </c>
      <c r="D1527">
        <v>2203</v>
      </c>
      <c r="E1527" t="s">
        <v>886</v>
      </c>
      <c r="F1527">
        <v>132</v>
      </c>
      <c r="G1527" t="s">
        <v>622</v>
      </c>
      <c r="H1527">
        <v>132</v>
      </c>
      <c r="I1527" t="s">
        <v>2607</v>
      </c>
    </row>
    <row r="1528" spans="1:9" x14ac:dyDescent="0.25">
      <c r="A1528" s="91">
        <v>46111</v>
      </c>
      <c r="B1528" t="s">
        <v>2652</v>
      </c>
      <c r="C1528" t="s">
        <v>3863</v>
      </c>
      <c r="D1528">
        <v>2201</v>
      </c>
      <c r="E1528" t="s">
        <v>879</v>
      </c>
      <c r="F1528">
        <v>288</v>
      </c>
      <c r="G1528" t="s">
        <v>622</v>
      </c>
      <c r="H1528">
        <v>288</v>
      </c>
      <c r="I1528" t="s">
        <v>2607</v>
      </c>
    </row>
    <row r="1529" spans="1:9" x14ac:dyDescent="0.25">
      <c r="A1529" s="91">
        <v>46111</v>
      </c>
      <c r="B1529" t="s">
        <v>2652</v>
      </c>
      <c r="C1529" t="s">
        <v>3864</v>
      </c>
      <c r="D1529">
        <v>2335</v>
      </c>
      <c r="E1529" t="s">
        <v>1092</v>
      </c>
      <c r="F1529">
        <v>100</v>
      </c>
      <c r="G1529" t="s">
        <v>622</v>
      </c>
      <c r="H1529">
        <v>100</v>
      </c>
      <c r="I1529" t="s">
        <v>2607</v>
      </c>
    </row>
    <row r="1530" spans="1:9" x14ac:dyDescent="0.25">
      <c r="A1530" s="91">
        <v>46111</v>
      </c>
      <c r="B1530" t="s">
        <v>2652</v>
      </c>
      <c r="C1530" t="s">
        <v>3865</v>
      </c>
      <c r="D1530">
        <v>2213</v>
      </c>
      <c r="E1530" t="s">
        <v>889</v>
      </c>
      <c r="F1530">
        <v>204</v>
      </c>
      <c r="G1530" t="s">
        <v>622</v>
      </c>
      <c r="H1530">
        <v>204</v>
      </c>
      <c r="I1530" t="s">
        <v>2607</v>
      </c>
    </row>
    <row r="1531" spans="1:9" x14ac:dyDescent="0.25">
      <c r="A1531" s="91">
        <v>46111</v>
      </c>
      <c r="B1531" t="s">
        <v>2652</v>
      </c>
      <c r="C1531" t="s">
        <v>3866</v>
      </c>
      <c r="D1531">
        <v>2337</v>
      </c>
      <c r="E1531" t="s">
        <v>1093</v>
      </c>
      <c r="F1531">
        <v>120</v>
      </c>
      <c r="G1531" t="s">
        <v>622</v>
      </c>
      <c r="H1531">
        <v>120</v>
      </c>
      <c r="I1531" t="s">
        <v>2607</v>
      </c>
    </row>
    <row r="1532" spans="1:9" x14ac:dyDescent="0.25">
      <c r="A1532" s="91">
        <v>46111</v>
      </c>
      <c r="B1532" t="s">
        <v>2652</v>
      </c>
      <c r="C1532" t="s">
        <v>3867</v>
      </c>
      <c r="D1532">
        <v>2209</v>
      </c>
      <c r="E1532" t="s">
        <v>888</v>
      </c>
      <c r="F1532">
        <v>288</v>
      </c>
      <c r="G1532" t="s">
        <v>622</v>
      </c>
      <c r="H1532">
        <v>288</v>
      </c>
      <c r="I1532" t="s">
        <v>2607</v>
      </c>
    </row>
    <row r="1533" spans="1:9" x14ac:dyDescent="0.25">
      <c r="A1533" s="91">
        <v>46111</v>
      </c>
      <c r="B1533" t="s">
        <v>2652</v>
      </c>
      <c r="C1533" t="s">
        <v>3868</v>
      </c>
      <c r="D1533">
        <v>2207</v>
      </c>
      <c r="E1533" t="s">
        <v>887</v>
      </c>
      <c r="F1533">
        <v>288</v>
      </c>
      <c r="G1533" t="s">
        <v>622</v>
      </c>
      <c r="H1533">
        <v>288</v>
      </c>
      <c r="I1533" t="s">
        <v>2607</v>
      </c>
    </row>
    <row r="1534" spans="1:9" x14ac:dyDescent="0.25">
      <c r="A1534" s="91">
        <v>46111</v>
      </c>
      <c r="B1534" t="s">
        <v>2652</v>
      </c>
      <c r="C1534" t="s">
        <v>3869</v>
      </c>
      <c r="D1534">
        <v>2211</v>
      </c>
      <c r="E1534" t="s">
        <v>881</v>
      </c>
      <c r="F1534">
        <v>288</v>
      </c>
      <c r="G1534" t="s">
        <v>622</v>
      </c>
      <c r="H1534">
        <v>288</v>
      </c>
      <c r="I1534" t="s">
        <v>2607</v>
      </c>
    </row>
    <row r="1535" spans="1:9" x14ac:dyDescent="0.25">
      <c r="A1535" s="91">
        <v>46111</v>
      </c>
      <c r="B1535" t="s">
        <v>2606</v>
      </c>
      <c r="C1535" t="s">
        <v>3870</v>
      </c>
      <c r="D1535">
        <v>220131</v>
      </c>
      <c r="E1535" t="s">
        <v>1395</v>
      </c>
      <c r="F1535">
        <v>12500</v>
      </c>
      <c r="G1535" t="s">
        <v>619</v>
      </c>
      <c r="H1535">
        <v>12500</v>
      </c>
      <c r="I1535" t="s">
        <v>2607</v>
      </c>
    </row>
    <row r="1536" spans="1:9" x14ac:dyDescent="0.25">
      <c r="A1536" s="91">
        <v>46111</v>
      </c>
      <c r="B1536" t="s">
        <v>2665</v>
      </c>
      <c r="C1536" t="s">
        <v>3871</v>
      </c>
      <c r="D1536" t="s">
        <v>3872</v>
      </c>
      <c r="E1536" t="s">
        <v>3873</v>
      </c>
      <c r="F1536">
        <v>2833</v>
      </c>
      <c r="G1536" t="s">
        <v>619</v>
      </c>
      <c r="H1536">
        <v>2833</v>
      </c>
      <c r="I1536" t="s">
        <v>2607</v>
      </c>
    </row>
    <row r="1537" spans="1:9" x14ac:dyDescent="0.25">
      <c r="A1537" s="91">
        <v>46111</v>
      </c>
      <c r="B1537" t="s">
        <v>685</v>
      </c>
      <c r="C1537" t="s">
        <v>3874</v>
      </c>
      <c r="D1537">
        <v>7373</v>
      </c>
      <c r="E1537" t="s">
        <v>783</v>
      </c>
      <c r="F1537">
        <v>25000</v>
      </c>
      <c r="G1537" t="s">
        <v>622</v>
      </c>
      <c r="H1537">
        <v>25000</v>
      </c>
      <c r="I1537" t="s">
        <v>2633</v>
      </c>
    </row>
    <row r="1538" spans="1:9" x14ac:dyDescent="0.25">
      <c r="A1538" s="91">
        <v>46111</v>
      </c>
      <c r="B1538" t="s">
        <v>2606</v>
      </c>
      <c r="C1538" t="s">
        <v>3875</v>
      </c>
      <c r="D1538" t="s">
        <v>1401</v>
      </c>
      <c r="E1538" t="s">
        <v>2061</v>
      </c>
      <c r="F1538">
        <v>6260</v>
      </c>
      <c r="G1538" t="s">
        <v>619</v>
      </c>
      <c r="H1538">
        <v>6260</v>
      </c>
      <c r="I1538" t="s">
        <v>2607</v>
      </c>
    </row>
    <row r="1539" spans="1:9" x14ac:dyDescent="0.25">
      <c r="A1539" s="91">
        <v>46111</v>
      </c>
      <c r="B1539" t="s">
        <v>688</v>
      </c>
      <c r="C1539" t="s">
        <v>3876</v>
      </c>
      <c r="D1539">
        <v>7746</v>
      </c>
      <c r="E1539" t="s">
        <v>692</v>
      </c>
      <c r="F1539">
        <v>68000</v>
      </c>
      <c r="G1539" t="s">
        <v>622</v>
      </c>
      <c r="H1539">
        <v>68000</v>
      </c>
      <c r="I1539" t="s">
        <v>2633</v>
      </c>
    </row>
    <row r="1540" spans="1:9" x14ac:dyDescent="0.25">
      <c r="A1540" s="91">
        <v>46111</v>
      </c>
      <c r="B1540" t="s">
        <v>682</v>
      </c>
      <c r="C1540" t="s">
        <v>3877</v>
      </c>
      <c r="D1540" t="s">
        <v>806</v>
      </c>
      <c r="E1540" t="s">
        <v>807</v>
      </c>
      <c r="F1540">
        <v>28000</v>
      </c>
      <c r="G1540" t="s">
        <v>622</v>
      </c>
      <c r="H1540">
        <v>28000</v>
      </c>
      <c r="I1540" t="s">
        <v>2633</v>
      </c>
    </row>
    <row r="1541" spans="1:9" x14ac:dyDescent="0.25">
      <c r="A1541" s="91">
        <v>46111</v>
      </c>
      <c r="B1541" t="s">
        <v>712</v>
      </c>
      <c r="C1541" t="s">
        <v>3878</v>
      </c>
      <c r="D1541">
        <v>8032</v>
      </c>
      <c r="E1541" t="s">
        <v>3598</v>
      </c>
      <c r="F1541">
        <v>50000</v>
      </c>
      <c r="G1541" t="s">
        <v>622</v>
      </c>
      <c r="H1541">
        <v>50000</v>
      </c>
      <c r="I1541" t="s">
        <v>2607</v>
      </c>
    </row>
    <row r="1542" spans="1:9" x14ac:dyDescent="0.25">
      <c r="A1542" s="91">
        <v>46111</v>
      </c>
      <c r="B1542" t="s">
        <v>2624</v>
      </c>
      <c r="C1542" t="s">
        <v>3879</v>
      </c>
      <c r="D1542" t="s">
        <v>2756</v>
      </c>
      <c r="E1542" t="s">
        <v>2757</v>
      </c>
      <c r="F1542">
        <v>2300</v>
      </c>
      <c r="G1542" t="s">
        <v>619</v>
      </c>
      <c r="H1542">
        <v>2300</v>
      </c>
      <c r="I1542" t="s">
        <v>2607</v>
      </c>
    </row>
    <row r="1543" spans="1:9" x14ac:dyDescent="0.25">
      <c r="A1543" s="91">
        <v>46111</v>
      </c>
      <c r="B1543" t="s">
        <v>2624</v>
      </c>
      <c r="C1543" t="s">
        <v>3880</v>
      </c>
      <c r="D1543" t="s">
        <v>2626</v>
      </c>
      <c r="E1543" t="s">
        <v>2627</v>
      </c>
      <c r="F1543">
        <v>2300</v>
      </c>
      <c r="G1543" t="s">
        <v>619</v>
      </c>
      <c r="H1543">
        <v>2300</v>
      </c>
      <c r="I1543" t="s">
        <v>2607</v>
      </c>
    </row>
    <row r="1544" spans="1:9" x14ac:dyDescent="0.25">
      <c r="A1544" s="91">
        <v>46111</v>
      </c>
      <c r="B1544">
        <v>7002</v>
      </c>
      <c r="C1544" t="s">
        <v>3881</v>
      </c>
      <c r="D1544">
        <v>961515</v>
      </c>
      <c r="E1544" t="s">
        <v>2691</v>
      </c>
      <c r="F1544">
        <v>163</v>
      </c>
      <c r="G1544" t="s">
        <v>619</v>
      </c>
      <c r="H1544">
        <v>163</v>
      </c>
      <c r="I1544" t="s">
        <v>2607</v>
      </c>
    </row>
    <row r="1545" spans="1:9" x14ac:dyDescent="0.25">
      <c r="A1545" s="91">
        <v>46111</v>
      </c>
      <c r="B1545" t="s">
        <v>2665</v>
      </c>
      <c r="C1545" t="s">
        <v>3882</v>
      </c>
      <c r="D1545" t="s">
        <v>3883</v>
      </c>
      <c r="E1545" t="s">
        <v>3884</v>
      </c>
      <c r="F1545">
        <v>800</v>
      </c>
      <c r="G1545" t="s">
        <v>619</v>
      </c>
      <c r="H1545">
        <v>800</v>
      </c>
      <c r="I1545" t="s">
        <v>2607</v>
      </c>
    </row>
    <row r="1546" spans="1:9" x14ac:dyDescent="0.25">
      <c r="A1546" s="91">
        <v>46111</v>
      </c>
      <c r="B1546" t="s">
        <v>2665</v>
      </c>
      <c r="C1546" t="s">
        <v>3885</v>
      </c>
      <c r="D1546" t="s">
        <v>994</v>
      </c>
      <c r="E1546" t="s">
        <v>2916</v>
      </c>
      <c r="F1546">
        <v>6500</v>
      </c>
      <c r="G1546" t="s">
        <v>619</v>
      </c>
      <c r="H1546">
        <v>6500</v>
      </c>
      <c r="I1546" t="s">
        <v>2607</v>
      </c>
    </row>
    <row r="1547" spans="1:9" x14ac:dyDescent="0.25">
      <c r="A1547" s="91">
        <v>46111</v>
      </c>
      <c r="B1547" t="s">
        <v>2665</v>
      </c>
      <c r="C1547" t="s">
        <v>3886</v>
      </c>
      <c r="D1547" t="s">
        <v>3887</v>
      </c>
      <c r="E1547" t="s">
        <v>3888</v>
      </c>
      <c r="F1547">
        <v>260</v>
      </c>
      <c r="G1547" t="s">
        <v>619</v>
      </c>
      <c r="H1547">
        <v>260</v>
      </c>
      <c r="I1547" t="s">
        <v>2607</v>
      </c>
    </row>
    <row r="1548" spans="1:9" x14ac:dyDescent="0.25">
      <c r="A1548" s="91">
        <v>46111</v>
      </c>
      <c r="B1548" t="s">
        <v>2665</v>
      </c>
      <c r="C1548" t="s">
        <v>3889</v>
      </c>
      <c r="D1548" t="s">
        <v>3890</v>
      </c>
      <c r="E1548" t="s">
        <v>3891</v>
      </c>
      <c r="F1548">
        <v>260</v>
      </c>
      <c r="G1548" t="s">
        <v>619</v>
      </c>
      <c r="H1548">
        <v>260</v>
      </c>
      <c r="I1548" t="s">
        <v>2607</v>
      </c>
    </row>
    <row r="1549" spans="1:9" x14ac:dyDescent="0.25">
      <c r="A1549" s="91">
        <v>46111</v>
      </c>
      <c r="B1549" t="s">
        <v>2621</v>
      </c>
      <c r="C1549" t="s">
        <v>3892</v>
      </c>
      <c r="D1549">
        <v>529300</v>
      </c>
      <c r="E1549" t="s">
        <v>2623</v>
      </c>
      <c r="F1549">
        <v>6667</v>
      </c>
      <c r="G1549" t="s">
        <v>619</v>
      </c>
      <c r="H1549">
        <v>6667</v>
      </c>
      <c r="I1549" t="s">
        <v>2607</v>
      </c>
    </row>
    <row r="1550" spans="1:9" x14ac:dyDescent="0.25">
      <c r="A1550" s="91">
        <v>46112</v>
      </c>
      <c r="B1550" t="s">
        <v>2606</v>
      </c>
      <c r="C1550" t="s">
        <v>3893</v>
      </c>
      <c r="D1550" t="s">
        <v>1401</v>
      </c>
      <c r="E1550" t="s">
        <v>2061</v>
      </c>
      <c r="F1550">
        <v>6260</v>
      </c>
      <c r="G1550" t="s">
        <v>619</v>
      </c>
      <c r="H1550">
        <v>6260</v>
      </c>
      <c r="I1550" t="s">
        <v>2607</v>
      </c>
    </row>
    <row r="1551" spans="1:9" x14ac:dyDescent="0.25">
      <c r="A1551" s="91">
        <v>46112</v>
      </c>
      <c r="B1551" t="s">
        <v>2608</v>
      </c>
      <c r="C1551" t="s">
        <v>3894</v>
      </c>
      <c r="D1551">
        <v>7016</v>
      </c>
      <c r="E1551" t="s">
        <v>628</v>
      </c>
      <c r="F1551">
        <v>105000</v>
      </c>
      <c r="G1551" t="s">
        <v>622</v>
      </c>
      <c r="H1551">
        <v>105000</v>
      </c>
      <c r="I1551" t="s">
        <v>2609</v>
      </c>
    </row>
    <row r="1552" spans="1:9" x14ac:dyDescent="0.25">
      <c r="A1552" s="91">
        <v>46112</v>
      </c>
      <c r="B1552" t="s">
        <v>2652</v>
      </c>
      <c r="C1552" t="s">
        <v>3895</v>
      </c>
      <c r="D1552">
        <v>2237</v>
      </c>
      <c r="E1552" t="s">
        <v>891</v>
      </c>
      <c r="F1552">
        <v>120</v>
      </c>
      <c r="G1552" t="s">
        <v>622</v>
      </c>
      <c r="H1552">
        <v>120</v>
      </c>
      <c r="I1552" t="s">
        <v>2607</v>
      </c>
    </row>
    <row r="1553" spans="1:9" x14ac:dyDescent="0.25">
      <c r="A1553" s="91">
        <v>46112</v>
      </c>
      <c r="B1553" t="s">
        <v>2652</v>
      </c>
      <c r="C1553" t="s">
        <v>3896</v>
      </c>
      <c r="D1553">
        <v>2255</v>
      </c>
      <c r="E1553" t="s">
        <v>2291</v>
      </c>
      <c r="F1553">
        <v>120</v>
      </c>
      <c r="G1553" t="s">
        <v>622</v>
      </c>
      <c r="H1553">
        <v>120</v>
      </c>
      <c r="I1553" t="s">
        <v>2607</v>
      </c>
    </row>
    <row r="1554" spans="1:9" x14ac:dyDescent="0.25">
      <c r="A1554" s="91">
        <v>46112</v>
      </c>
      <c r="B1554" t="s">
        <v>2652</v>
      </c>
      <c r="C1554" t="s">
        <v>3897</v>
      </c>
      <c r="D1554">
        <v>2241</v>
      </c>
      <c r="E1554" t="s">
        <v>893</v>
      </c>
      <c r="F1554">
        <v>96</v>
      </c>
      <c r="G1554" t="s">
        <v>622</v>
      </c>
      <c r="H1554">
        <v>96</v>
      </c>
      <c r="I1554" t="s">
        <v>2607</v>
      </c>
    </row>
    <row r="1555" spans="1:9" x14ac:dyDescent="0.25">
      <c r="A1555" s="91">
        <v>46112</v>
      </c>
      <c r="B1555" t="s">
        <v>2652</v>
      </c>
      <c r="C1555" t="s">
        <v>3898</v>
      </c>
      <c r="D1555">
        <v>2239</v>
      </c>
      <c r="E1555" t="s">
        <v>892</v>
      </c>
      <c r="F1555">
        <v>96</v>
      </c>
      <c r="G1555" t="s">
        <v>622</v>
      </c>
      <c r="H1555">
        <v>96</v>
      </c>
      <c r="I1555" t="s">
        <v>2607</v>
      </c>
    </row>
    <row r="1556" spans="1:9" x14ac:dyDescent="0.25">
      <c r="A1556" s="91">
        <v>46112</v>
      </c>
      <c r="B1556" t="s">
        <v>2652</v>
      </c>
      <c r="C1556" t="s">
        <v>3899</v>
      </c>
      <c r="D1556">
        <v>2243</v>
      </c>
      <c r="E1556" t="s">
        <v>883</v>
      </c>
      <c r="F1556">
        <v>204</v>
      </c>
      <c r="G1556" t="s">
        <v>622</v>
      </c>
      <c r="H1556">
        <v>204</v>
      </c>
      <c r="I1556" t="s">
        <v>2607</v>
      </c>
    </row>
    <row r="1557" spans="1:9" x14ac:dyDescent="0.25">
      <c r="A1557" s="91">
        <v>46112</v>
      </c>
      <c r="B1557" t="s">
        <v>2617</v>
      </c>
      <c r="C1557" t="s">
        <v>3900</v>
      </c>
      <c r="D1557">
        <v>5150010451</v>
      </c>
      <c r="E1557" t="s">
        <v>2706</v>
      </c>
      <c r="F1557">
        <v>2256</v>
      </c>
      <c r="G1557" t="s">
        <v>619</v>
      </c>
      <c r="H1557">
        <v>2256</v>
      </c>
      <c r="I1557" t="s">
        <v>2607</v>
      </c>
    </row>
    <row r="1558" spans="1:9" x14ac:dyDescent="0.25">
      <c r="A1558" s="91">
        <v>46112</v>
      </c>
      <c r="B1558" t="s">
        <v>2611</v>
      </c>
      <c r="C1558" t="s">
        <v>3901</v>
      </c>
      <c r="D1558">
        <v>72002</v>
      </c>
      <c r="E1558" t="s">
        <v>2613</v>
      </c>
      <c r="F1558">
        <v>500</v>
      </c>
      <c r="G1558" t="s">
        <v>619</v>
      </c>
      <c r="H1558">
        <v>500</v>
      </c>
      <c r="I1558" t="s">
        <v>2607</v>
      </c>
    </row>
    <row r="1559" spans="1:9" x14ac:dyDescent="0.25">
      <c r="A1559" s="91">
        <v>46112</v>
      </c>
      <c r="B1559" t="s">
        <v>2606</v>
      </c>
      <c r="C1559" t="s">
        <v>3902</v>
      </c>
      <c r="D1559">
        <v>220131</v>
      </c>
      <c r="E1559" t="s">
        <v>1395</v>
      </c>
      <c r="F1559">
        <v>12500</v>
      </c>
      <c r="G1559" t="s">
        <v>619</v>
      </c>
      <c r="H1559">
        <v>12500</v>
      </c>
      <c r="I1559" t="s">
        <v>2607</v>
      </c>
    </row>
    <row r="1560" spans="1:9" x14ac:dyDescent="0.25">
      <c r="A1560" s="91">
        <v>46112</v>
      </c>
      <c r="B1560" t="s">
        <v>2652</v>
      </c>
      <c r="C1560" t="s">
        <v>3903</v>
      </c>
      <c r="D1560">
        <v>2257</v>
      </c>
      <c r="E1560" t="s">
        <v>2296</v>
      </c>
      <c r="F1560">
        <v>120</v>
      </c>
      <c r="G1560" t="s">
        <v>622</v>
      </c>
      <c r="H1560">
        <v>120</v>
      </c>
      <c r="I1560" t="s">
        <v>2607</v>
      </c>
    </row>
    <row r="1561" spans="1:9" x14ac:dyDescent="0.25">
      <c r="A1561" s="91">
        <v>46112</v>
      </c>
      <c r="B1561" t="s">
        <v>2665</v>
      </c>
      <c r="C1561" t="s">
        <v>3904</v>
      </c>
      <c r="D1561" t="s">
        <v>916</v>
      </c>
      <c r="E1561" t="s">
        <v>2666</v>
      </c>
      <c r="F1561">
        <v>6500</v>
      </c>
      <c r="G1561" t="s">
        <v>619</v>
      </c>
      <c r="H1561">
        <v>6500</v>
      </c>
      <c r="I1561" t="s">
        <v>2607</v>
      </c>
    </row>
    <row r="1562" spans="1:9" x14ac:dyDescent="0.25">
      <c r="A1562" s="91">
        <v>46112</v>
      </c>
      <c r="B1562">
        <v>7002</v>
      </c>
      <c r="C1562" t="s">
        <v>3905</v>
      </c>
      <c r="D1562">
        <v>961515</v>
      </c>
      <c r="E1562" t="s">
        <v>2691</v>
      </c>
      <c r="F1562">
        <v>163</v>
      </c>
      <c r="G1562" t="s">
        <v>619</v>
      </c>
      <c r="H1562">
        <v>163</v>
      </c>
      <c r="I1562" t="s">
        <v>2607</v>
      </c>
    </row>
    <row r="1563" spans="1:9" x14ac:dyDescent="0.25">
      <c r="A1563" s="91">
        <v>46112</v>
      </c>
      <c r="B1563" t="s">
        <v>2665</v>
      </c>
      <c r="C1563" t="s">
        <v>3906</v>
      </c>
      <c r="D1563" t="s">
        <v>3907</v>
      </c>
      <c r="E1563" t="s">
        <v>3908</v>
      </c>
      <c r="F1563">
        <v>6500</v>
      </c>
      <c r="G1563" t="s">
        <v>619</v>
      </c>
      <c r="H1563">
        <v>6500</v>
      </c>
      <c r="I1563" t="s">
        <v>2607</v>
      </c>
    </row>
    <row r="1564" spans="1:9" x14ac:dyDescent="0.25">
      <c r="A1564" s="91">
        <v>46112</v>
      </c>
      <c r="B1564" t="s">
        <v>2665</v>
      </c>
      <c r="C1564" t="s">
        <v>3909</v>
      </c>
      <c r="D1564" t="s">
        <v>3910</v>
      </c>
      <c r="E1564" t="s">
        <v>3911</v>
      </c>
      <c r="F1564">
        <v>260</v>
      </c>
      <c r="G1564" t="s">
        <v>619</v>
      </c>
      <c r="H1564">
        <v>260</v>
      </c>
      <c r="I1564" t="s">
        <v>2607</v>
      </c>
    </row>
    <row r="1565" spans="1:9" x14ac:dyDescent="0.25">
      <c r="A1565" s="91">
        <v>46112</v>
      </c>
      <c r="B1565" t="s">
        <v>688</v>
      </c>
      <c r="C1565" t="s">
        <v>3912</v>
      </c>
      <c r="D1565">
        <v>7746</v>
      </c>
      <c r="E1565" t="s">
        <v>692</v>
      </c>
      <c r="F1565">
        <v>68000</v>
      </c>
      <c r="G1565" t="s">
        <v>622</v>
      </c>
      <c r="H1565">
        <v>68000</v>
      </c>
      <c r="I1565" t="s">
        <v>2633</v>
      </c>
    </row>
    <row r="1566" spans="1:9" x14ac:dyDescent="0.25">
      <c r="A1566" s="91">
        <v>46112</v>
      </c>
      <c r="B1566" t="s">
        <v>679</v>
      </c>
      <c r="C1566" t="s">
        <v>3913</v>
      </c>
      <c r="D1566">
        <v>7212</v>
      </c>
      <c r="E1566" t="s">
        <v>681</v>
      </c>
      <c r="F1566">
        <v>85000</v>
      </c>
      <c r="G1566" t="s">
        <v>622</v>
      </c>
      <c r="H1566">
        <v>85000</v>
      </c>
      <c r="I1566" t="s">
        <v>2633</v>
      </c>
    </row>
    <row r="1567" spans="1:9" x14ac:dyDescent="0.25">
      <c r="A1567" s="91">
        <v>46112</v>
      </c>
      <c r="B1567" t="s">
        <v>712</v>
      </c>
      <c r="C1567" t="s">
        <v>3914</v>
      </c>
      <c r="D1567">
        <v>8032</v>
      </c>
      <c r="E1567" t="s">
        <v>3598</v>
      </c>
      <c r="F1567">
        <v>50000</v>
      </c>
      <c r="G1567" t="s">
        <v>622</v>
      </c>
      <c r="H1567">
        <v>50000</v>
      </c>
      <c r="I1567" t="s">
        <v>2607</v>
      </c>
    </row>
    <row r="1568" spans="1:9" x14ac:dyDescent="0.25">
      <c r="A1568" s="91">
        <v>46112</v>
      </c>
      <c r="B1568" t="s">
        <v>682</v>
      </c>
      <c r="C1568" t="s">
        <v>3915</v>
      </c>
      <c r="D1568">
        <v>7304</v>
      </c>
      <c r="E1568" t="s">
        <v>770</v>
      </c>
      <c r="F1568">
        <v>27000</v>
      </c>
      <c r="G1568" t="s">
        <v>622</v>
      </c>
      <c r="H1568">
        <v>27000</v>
      </c>
      <c r="I1568" t="s">
        <v>2633</v>
      </c>
    </row>
    <row r="1569" spans="1:9" x14ac:dyDescent="0.25">
      <c r="A1569" s="91">
        <v>46112</v>
      </c>
      <c r="B1569" t="s">
        <v>2621</v>
      </c>
      <c r="C1569" t="s">
        <v>3916</v>
      </c>
      <c r="D1569">
        <v>529300</v>
      </c>
      <c r="E1569" t="s">
        <v>2623</v>
      </c>
      <c r="F1569">
        <v>6667</v>
      </c>
      <c r="G1569" t="s">
        <v>619</v>
      </c>
      <c r="H1569">
        <v>6667</v>
      </c>
      <c r="I1569" t="s">
        <v>2607</v>
      </c>
    </row>
    <row r="1570" spans="1:9" x14ac:dyDescent="0.25">
      <c r="A1570" s="91">
        <v>46112</v>
      </c>
      <c r="B1570" t="s">
        <v>693</v>
      </c>
      <c r="C1570" t="s">
        <v>3917</v>
      </c>
      <c r="D1570" t="s">
        <v>3811</v>
      </c>
      <c r="E1570" t="s">
        <v>3812</v>
      </c>
      <c r="F1570">
        <v>9120</v>
      </c>
      <c r="G1570" t="s">
        <v>619</v>
      </c>
      <c r="H1570">
        <v>9120</v>
      </c>
      <c r="I1570" t="s">
        <v>2607</v>
      </c>
    </row>
    <row r="1571" spans="1:9" x14ac:dyDescent="0.25">
      <c r="A1571" s="91">
        <v>46112</v>
      </c>
      <c r="B1571" t="s">
        <v>693</v>
      </c>
      <c r="C1571" t="s">
        <v>3918</v>
      </c>
      <c r="D1571" t="s">
        <v>3803</v>
      </c>
      <c r="E1571" t="s">
        <v>3804</v>
      </c>
      <c r="F1571">
        <v>9120</v>
      </c>
      <c r="G1571" t="s">
        <v>619</v>
      </c>
      <c r="H1571">
        <v>9120</v>
      </c>
      <c r="I1571" t="s">
        <v>2607</v>
      </c>
    </row>
    <row r="1572" spans="1:9" x14ac:dyDescent="0.25">
      <c r="A1572" s="91">
        <v>46112</v>
      </c>
      <c r="B1572" t="s">
        <v>2665</v>
      </c>
      <c r="C1572" t="s">
        <v>3919</v>
      </c>
      <c r="D1572" t="s">
        <v>3920</v>
      </c>
      <c r="E1572" t="s">
        <v>3921</v>
      </c>
      <c r="F1572">
        <v>260</v>
      </c>
      <c r="G1572" t="s">
        <v>619</v>
      </c>
      <c r="H1572">
        <v>260</v>
      </c>
      <c r="I1572" t="s">
        <v>2607</v>
      </c>
    </row>
    <row r="1573" spans="1:9" x14ac:dyDescent="0.25">
      <c r="A1573" s="91">
        <v>46112</v>
      </c>
      <c r="B1573" t="s">
        <v>2624</v>
      </c>
      <c r="C1573" t="s">
        <v>3922</v>
      </c>
      <c r="D1573" t="s">
        <v>2669</v>
      </c>
      <c r="E1573" t="s">
        <v>2670</v>
      </c>
      <c r="F1573">
        <v>4167</v>
      </c>
      <c r="G1573" t="s">
        <v>619</v>
      </c>
      <c r="H1573">
        <v>4167</v>
      </c>
      <c r="I1573" t="s">
        <v>2607</v>
      </c>
    </row>
    <row r="1574" spans="1:9" x14ac:dyDescent="0.25">
      <c r="A1574" s="91">
        <v>46113</v>
      </c>
      <c r="B1574" t="s">
        <v>2606</v>
      </c>
      <c r="C1574" t="s">
        <v>3923</v>
      </c>
      <c r="D1574" t="s">
        <v>1401</v>
      </c>
      <c r="E1574" t="s">
        <v>2061</v>
      </c>
      <c r="F1574">
        <v>6260</v>
      </c>
      <c r="G1574" t="s">
        <v>619</v>
      </c>
      <c r="H1574">
        <v>6260</v>
      </c>
      <c r="I1574" t="s">
        <v>2607</v>
      </c>
    </row>
    <row r="1575" spans="1:9" x14ac:dyDescent="0.25">
      <c r="A1575" s="91">
        <v>46113</v>
      </c>
      <c r="B1575" t="s">
        <v>2611</v>
      </c>
      <c r="C1575" t="s">
        <v>3924</v>
      </c>
      <c r="D1575">
        <v>72002</v>
      </c>
      <c r="E1575" t="s">
        <v>2613</v>
      </c>
      <c r="F1575">
        <v>500</v>
      </c>
      <c r="G1575" t="s">
        <v>619</v>
      </c>
      <c r="H1575">
        <v>500</v>
      </c>
      <c r="I1575" t="s">
        <v>2607</v>
      </c>
    </row>
    <row r="1576" spans="1:9" x14ac:dyDescent="0.25">
      <c r="A1576" s="91">
        <v>46113</v>
      </c>
      <c r="B1576" t="s">
        <v>2617</v>
      </c>
      <c r="C1576" t="s">
        <v>3925</v>
      </c>
      <c r="D1576">
        <v>5150010451</v>
      </c>
      <c r="E1576" t="s">
        <v>2706</v>
      </c>
      <c r="F1576">
        <v>2256</v>
      </c>
      <c r="G1576" t="s">
        <v>619</v>
      </c>
      <c r="H1576">
        <v>2256</v>
      </c>
      <c r="I1576" t="s">
        <v>2607</v>
      </c>
    </row>
    <row r="1577" spans="1:9" x14ac:dyDescent="0.25">
      <c r="A1577" s="91">
        <v>46113</v>
      </c>
      <c r="B1577" t="s">
        <v>2610</v>
      </c>
      <c r="C1577" t="s">
        <v>3926</v>
      </c>
      <c r="D1577" t="s">
        <v>113</v>
      </c>
      <c r="E1577" t="s">
        <v>1094</v>
      </c>
      <c r="F1577">
        <v>3700</v>
      </c>
      <c r="G1577" t="s">
        <v>619</v>
      </c>
      <c r="H1577">
        <v>3700</v>
      </c>
      <c r="I1577" t="s">
        <v>2607</v>
      </c>
    </row>
    <row r="1578" spans="1:9" x14ac:dyDescent="0.25">
      <c r="A1578" s="91">
        <v>46113</v>
      </c>
      <c r="B1578" t="s">
        <v>2608</v>
      </c>
      <c r="C1578" t="s">
        <v>2571</v>
      </c>
      <c r="D1578">
        <v>7010</v>
      </c>
      <c r="E1578" t="s">
        <v>621</v>
      </c>
      <c r="F1578">
        <v>105000</v>
      </c>
      <c r="G1578" t="s">
        <v>622</v>
      </c>
      <c r="H1578">
        <v>105000</v>
      </c>
      <c r="I1578" t="s">
        <v>2609</v>
      </c>
    </row>
    <row r="1579" spans="1:9" x14ac:dyDescent="0.25">
      <c r="A1579" s="91">
        <v>46113</v>
      </c>
      <c r="B1579" t="s">
        <v>2606</v>
      </c>
      <c r="C1579" t="s">
        <v>3927</v>
      </c>
      <c r="D1579">
        <v>220131</v>
      </c>
      <c r="E1579" t="s">
        <v>1395</v>
      </c>
      <c r="F1579">
        <v>12500</v>
      </c>
      <c r="G1579" t="s">
        <v>619</v>
      </c>
      <c r="H1579">
        <v>12500</v>
      </c>
      <c r="I1579" t="s">
        <v>2607</v>
      </c>
    </row>
    <row r="1580" spans="1:9" x14ac:dyDescent="0.25">
      <c r="A1580" s="91">
        <v>46113</v>
      </c>
      <c r="B1580" t="s">
        <v>2665</v>
      </c>
      <c r="C1580" t="s">
        <v>3928</v>
      </c>
      <c r="D1580" t="s">
        <v>3929</v>
      </c>
      <c r="E1580" t="s">
        <v>3930</v>
      </c>
      <c r="F1580">
        <v>3700</v>
      </c>
      <c r="G1580" t="s">
        <v>619</v>
      </c>
      <c r="H1580">
        <v>3700</v>
      </c>
      <c r="I1580" t="s">
        <v>2607</v>
      </c>
    </row>
    <row r="1581" spans="1:9" x14ac:dyDescent="0.25">
      <c r="A1581" s="91">
        <v>46113</v>
      </c>
      <c r="B1581" t="s">
        <v>2624</v>
      </c>
      <c r="C1581" t="s">
        <v>3931</v>
      </c>
      <c r="D1581" t="s">
        <v>2669</v>
      </c>
      <c r="E1581" t="s">
        <v>2670</v>
      </c>
      <c r="F1581">
        <v>4167</v>
      </c>
      <c r="G1581" t="s">
        <v>619</v>
      </c>
      <c r="H1581">
        <v>4167</v>
      </c>
      <c r="I1581" t="s">
        <v>2607</v>
      </c>
    </row>
    <row r="1582" spans="1:9" x14ac:dyDescent="0.25">
      <c r="A1582" s="91">
        <v>46113</v>
      </c>
      <c r="B1582" t="s">
        <v>2621</v>
      </c>
      <c r="C1582" t="s">
        <v>3932</v>
      </c>
      <c r="D1582">
        <v>529300</v>
      </c>
      <c r="E1582" t="s">
        <v>2623</v>
      </c>
      <c r="F1582">
        <v>6667</v>
      </c>
      <c r="G1582" t="s">
        <v>619</v>
      </c>
      <c r="H1582">
        <v>6667</v>
      </c>
      <c r="I1582" t="s">
        <v>2607</v>
      </c>
    </row>
    <row r="1583" spans="1:9" x14ac:dyDescent="0.25">
      <c r="A1583" s="91">
        <v>46113</v>
      </c>
      <c r="B1583" t="s">
        <v>712</v>
      </c>
      <c r="C1583" t="s">
        <v>3933</v>
      </c>
      <c r="D1583">
        <v>8032</v>
      </c>
      <c r="E1583" t="s">
        <v>3598</v>
      </c>
      <c r="F1583">
        <v>50000</v>
      </c>
      <c r="G1583" t="s">
        <v>622</v>
      </c>
      <c r="H1583">
        <v>50000</v>
      </c>
      <c r="I1583" t="s">
        <v>2607</v>
      </c>
    </row>
    <row r="1584" spans="1:9" x14ac:dyDescent="0.25">
      <c r="A1584" s="91">
        <v>46113</v>
      </c>
      <c r="B1584" t="s">
        <v>682</v>
      </c>
      <c r="C1584" t="s">
        <v>3934</v>
      </c>
      <c r="D1584">
        <v>7281</v>
      </c>
      <c r="E1584" t="s">
        <v>739</v>
      </c>
      <c r="F1584">
        <v>28000</v>
      </c>
      <c r="G1584" t="s">
        <v>622</v>
      </c>
      <c r="H1584">
        <v>28000</v>
      </c>
      <c r="I1584" t="s">
        <v>2633</v>
      </c>
    </row>
    <row r="1585" spans="1:9" x14ac:dyDescent="0.25">
      <c r="A1585" s="91">
        <v>46113</v>
      </c>
      <c r="B1585" t="s">
        <v>688</v>
      </c>
      <c r="C1585" t="s">
        <v>3935</v>
      </c>
      <c r="D1585">
        <v>7746</v>
      </c>
      <c r="E1585" t="s">
        <v>692</v>
      </c>
      <c r="F1585">
        <v>68000</v>
      </c>
      <c r="G1585" t="s">
        <v>622</v>
      </c>
      <c r="H1585">
        <v>68000</v>
      </c>
      <c r="I1585" t="s">
        <v>2633</v>
      </c>
    </row>
    <row r="1586" spans="1:9" x14ac:dyDescent="0.25">
      <c r="A1586" s="91">
        <v>46113</v>
      </c>
      <c r="B1586">
        <v>7002</v>
      </c>
      <c r="C1586" t="s">
        <v>3936</v>
      </c>
      <c r="D1586">
        <v>961515</v>
      </c>
      <c r="E1586" t="s">
        <v>2691</v>
      </c>
      <c r="F1586">
        <v>163</v>
      </c>
      <c r="G1586" t="s">
        <v>619</v>
      </c>
      <c r="H1586">
        <v>163</v>
      </c>
      <c r="I1586" t="s">
        <v>2607</v>
      </c>
    </row>
    <row r="1587" spans="1:9" x14ac:dyDescent="0.25">
      <c r="A1587" s="91">
        <v>46113</v>
      </c>
      <c r="B1587" t="s">
        <v>2665</v>
      </c>
      <c r="C1587" t="s">
        <v>3937</v>
      </c>
      <c r="D1587" t="s">
        <v>3447</v>
      </c>
      <c r="E1587" t="s">
        <v>3448</v>
      </c>
      <c r="F1587">
        <v>6500</v>
      </c>
      <c r="G1587" t="s">
        <v>619</v>
      </c>
      <c r="H1587">
        <v>6500</v>
      </c>
      <c r="I1587" t="s">
        <v>2607</v>
      </c>
    </row>
    <row r="1588" spans="1:9" x14ac:dyDescent="0.25">
      <c r="A1588" s="91">
        <v>46114</v>
      </c>
      <c r="B1588" t="s">
        <v>2606</v>
      </c>
      <c r="C1588" t="s">
        <v>3938</v>
      </c>
      <c r="D1588" t="s">
        <v>1401</v>
      </c>
      <c r="E1588" t="s">
        <v>2061</v>
      </c>
      <c r="F1588">
        <v>6260</v>
      </c>
      <c r="G1588" t="s">
        <v>619</v>
      </c>
      <c r="H1588">
        <v>6260</v>
      </c>
      <c r="I1588" t="s">
        <v>2607</v>
      </c>
    </row>
    <row r="1589" spans="1:9" x14ac:dyDescent="0.25">
      <c r="A1589" s="91">
        <v>46114</v>
      </c>
      <c r="B1589" t="s">
        <v>2611</v>
      </c>
      <c r="C1589" t="s">
        <v>3939</v>
      </c>
      <c r="D1589">
        <v>72001</v>
      </c>
      <c r="E1589" t="s">
        <v>3056</v>
      </c>
      <c r="F1589">
        <v>500</v>
      </c>
      <c r="G1589" t="s">
        <v>619</v>
      </c>
      <c r="H1589">
        <v>500</v>
      </c>
      <c r="I1589" t="s">
        <v>2607</v>
      </c>
    </row>
    <row r="1590" spans="1:9" x14ac:dyDescent="0.25">
      <c r="A1590" s="91">
        <v>46114</v>
      </c>
      <c r="B1590" t="s">
        <v>2617</v>
      </c>
      <c r="C1590" t="s">
        <v>3940</v>
      </c>
      <c r="D1590">
        <v>5150010451</v>
      </c>
      <c r="E1590" t="s">
        <v>2706</v>
      </c>
      <c r="F1590">
        <v>2256</v>
      </c>
      <c r="G1590" t="s">
        <v>619</v>
      </c>
      <c r="H1590">
        <v>2256</v>
      </c>
      <c r="I1590" t="s">
        <v>2607</v>
      </c>
    </row>
    <row r="1591" spans="1:9" x14ac:dyDescent="0.25">
      <c r="A1591" s="91">
        <v>46114</v>
      </c>
      <c r="B1591" t="s">
        <v>2610</v>
      </c>
      <c r="C1591" t="s">
        <v>3941</v>
      </c>
      <c r="D1591" t="s">
        <v>114</v>
      </c>
      <c r="E1591" t="s">
        <v>2211</v>
      </c>
      <c r="F1591">
        <v>3700</v>
      </c>
      <c r="G1591" t="s">
        <v>619</v>
      </c>
      <c r="H1591">
        <v>3700</v>
      </c>
      <c r="I1591" t="s">
        <v>2607</v>
      </c>
    </row>
    <row r="1592" spans="1:9" x14ac:dyDescent="0.25">
      <c r="A1592" s="91">
        <v>46114</v>
      </c>
      <c r="B1592" t="s">
        <v>2606</v>
      </c>
      <c r="C1592" t="s">
        <v>3942</v>
      </c>
      <c r="D1592">
        <v>220125</v>
      </c>
      <c r="E1592" t="s">
        <v>2700</v>
      </c>
      <c r="F1592">
        <v>4250</v>
      </c>
      <c r="G1592" t="s">
        <v>619</v>
      </c>
      <c r="H1592">
        <v>4250</v>
      </c>
      <c r="I1592" t="s">
        <v>2607</v>
      </c>
    </row>
    <row r="1593" spans="1:9" x14ac:dyDescent="0.25">
      <c r="A1593" s="91">
        <v>46114</v>
      </c>
      <c r="B1593" t="s">
        <v>2665</v>
      </c>
      <c r="C1593" t="s">
        <v>3943</v>
      </c>
      <c r="D1593" t="s">
        <v>3944</v>
      </c>
      <c r="E1593" t="s">
        <v>3945</v>
      </c>
      <c r="F1593">
        <v>6400</v>
      </c>
      <c r="G1593" t="s">
        <v>619</v>
      </c>
      <c r="H1593">
        <v>6400</v>
      </c>
      <c r="I1593" t="s">
        <v>2607</v>
      </c>
    </row>
    <row r="1594" spans="1:9" x14ac:dyDescent="0.25">
      <c r="A1594" s="91">
        <v>46114</v>
      </c>
      <c r="B1594">
        <v>7002</v>
      </c>
      <c r="C1594" t="s">
        <v>3946</v>
      </c>
      <c r="D1594">
        <v>961515</v>
      </c>
      <c r="E1594" t="s">
        <v>2691</v>
      </c>
      <c r="F1594">
        <v>163</v>
      </c>
      <c r="G1594" t="s">
        <v>619</v>
      </c>
      <c r="H1594">
        <v>163</v>
      </c>
      <c r="I1594" t="s">
        <v>2607</v>
      </c>
    </row>
    <row r="1595" spans="1:9" x14ac:dyDescent="0.25">
      <c r="A1595" s="91">
        <v>46114</v>
      </c>
      <c r="B1595" t="s">
        <v>2621</v>
      </c>
      <c r="C1595" t="s">
        <v>3947</v>
      </c>
      <c r="D1595">
        <v>529300</v>
      </c>
      <c r="E1595" t="s">
        <v>2623</v>
      </c>
      <c r="F1595">
        <v>6667</v>
      </c>
      <c r="G1595" t="s">
        <v>619</v>
      </c>
      <c r="H1595">
        <v>6667</v>
      </c>
      <c r="I1595" t="s">
        <v>2607</v>
      </c>
    </row>
    <row r="1596" spans="1:9" x14ac:dyDescent="0.25">
      <c r="A1596" s="91">
        <v>46114</v>
      </c>
      <c r="B1596" t="s">
        <v>2624</v>
      </c>
      <c r="C1596" t="s">
        <v>3948</v>
      </c>
      <c r="D1596" t="s">
        <v>2669</v>
      </c>
      <c r="E1596" t="s">
        <v>2670</v>
      </c>
      <c r="F1596">
        <v>4167</v>
      </c>
      <c r="G1596" t="s">
        <v>619</v>
      </c>
      <c r="H1596">
        <v>4167</v>
      </c>
      <c r="I1596" t="s">
        <v>2607</v>
      </c>
    </row>
    <row r="1597" spans="1:9" x14ac:dyDescent="0.25">
      <c r="A1597" s="91">
        <v>46114</v>
      </c>
      <c r="B1597" t="s">
        <v>712</v>
      </c>
      <c r="C1597" t="s">
        <v>3949</v>
      </c>
      <c r="D1597">
        <v>8032</v>
      </c>
      <c r="E1597" t="s">
        <v>3598</v>
      </c>
      <c r="F1597">
        <v>50000</v>
      </c>
      <c r="G1597" t="s">
        <v>622</v>
      </c>
      <c r="H1597">
        <v>50000</v>
      </c>
      <c r="I1597" t="s">
        <v>2607</v>
      </c>
    </row>
    <row r="1598" spans="1:9" x14ac:dyDescent="0.25">
      <c r="A1598" s="91">
        <v>46114</v>
      </c>
      <c r="B1598" t="s">
        <v>688</v>
      </c>
      <c r="C1598" t="s">
        <v>3950</v>
      </c>
      <c r="D1598">
        <v>7746</v>
      </c>
      <c r="E1598" t="s">
        <v>692</v>
      </c>
      <c r="F1598">
        <v>68000</v>
      </c>
      <c r="G1598" t="s">
        <v>622</v>
      </c>
      <c r="H1598">
        <v>68000</v>
      </c>
      <c r="I1598" t="s">
        <v>2633</v>
      </c>
    </row>
    <row r="1599" spans="1:9" x14ac:dyDescent="0.25">
      <c r="A1599" s="91">
        <v>46114</v>
      </c>
      <c r="B1599" t="s">
        <v>2733</v>
      </c>
      <c r="C1599" t="s">
        <v>3951</v>
      </c>
      <c r="D1599">
        <v>7128</v>
      </c>
      <c r="E1599" t="s">
        <v>633</v>
      </c>
      <c r="F1599">
        <v>105000</v>
      </c>
      <c r="G1599" t="s">
        <v>622</v>
      </c>
      <c r="H1599">
        <v>105000</v>
      </c>
      <c r="I1599" t="s">
        <v>2609</v>
      </c>
    </row>
    <row r="1600" spans="1:9" x14ac:dyDescent="0.25">
      <c r="A1600" s="91">
        <v>46114</v>
      </c>
      <c r="B1600" t="s">
        <v>715</v>
      </c>
      <c r="C1600" t="s">
        <v>3952</v>
      </c>
      <c r="D1600">
        <v>7185</v>
      </c>
      <c r="E1600" t="s">
        <v>717</v>
      </c>
      <c r="F1600">
        <v>55000</v>
      </c>
      <c r="G1600" t="s">
        <v>622</v>
      </c>
      <c r="H1600">
        <v>55000</v>
      </c>
      <c r="I1600" t="s">
        <v>2633</v>
      </c>
    </row>
    <row r="1601" spans="1:9" x14ac:dyDescent="0.25">
      <c r="A1601" s="91">
        <v>46115</v>
      </c>
      <c r="B1601" t="s">
        <v>2611</v>
      </c>
      <c r="C1601" t="s">
        <v>3953</v>
      </c>
      <c r="D1601">
        <v>72001</v>
      </c>
      <c r="E1601" t="s">
        <v>3056</v>
      </c>
      <c r="F1601">
        <v>500</v>
      </c>
      <c r="G1601" t="s">
        <v>619</v>
      </c>
      <c r="H1601">
        <v>500</v>
      </c>
      <c r="I1601" t="s">
        <v>2607</v>
      </c>
    </row>
    <row r="1602" spans="1:9" x14ac:dyDescent="0.25">
      <c r="A1602" s="91">
        <v>46115</v>
      </c>
      <c r="B1602" t="s">
        <v>2617</v>
      </c>
      <c r="C1602" t="s">
        <v>3954</v>
      </c>
      <c r="D1602">
        <v>5150010451</v>
      </c>
      <c r="E1602" t="s">
        <v>2706</v>
      </c>
      <c r="F1602">
        <v>400</v>
      </c>
      <c r="G1602" t="s">
        <v>619</v>
      </c>
      <c r="H1602">
        <v>400</v>
      </c>
      <c r="I1602" t="s">
        <v>2607</v>
      </c>
    </row>
    <row r="1603" spans="1:9" x14ac:dyDescent="0.25">
      <c r="A1603" s="91">
        <v>46115</v>
      </c>
      <c r="B1603" t="s">
        <v>2610</v>
      </c>
      <c r="C1603" t="s">
        <v>3955</v>
      </c>
      <c r="D1603" t="s">
        <v>115</v>
      </c>
      <c r="E1603" t="s">
        <v>2212</v>
      </c>
      <c r="F1603">
        <v>3400</v>
      </c>
      <c r="G1603" t="s">
        <v>619</v>
      </c>
      <c r="H1603">
        <v>3400</v>
      </c>
      <c r="I1603" t="s">
        <v>2607</v>
      </c>
    </row>
    <row r="1604" spans="1:9" x14ac:dyDescent="0.25">
      <c r="A1604" s="91">
        <v>46115</v>
      </c>
      <c r="B1604" t="s">
        <v>2606</v>
      </c>
      <c r="C1604" t="s">
        <v>3956</v>
      </c>
      <c r="D1604">
        <v>7013</v>
      </c>
      <c r="E1604" t="s">
        <v>630</v>
      </c>
      <c r="F1604">
        <v>100000</v>
      </c>
      <c r="G1604" t="s">
        <v>622</v>
      </c>
      <c r="H1604">
        <v>100000</v>
      </c>
      <c r="I1604" t="s">
        <v>2609</v>
      </c>
    </row>
    <row r="1605" spans="1:9" x14ac:dyDescent="0.25">
      <c r="A1605" s="91">
        <v>46115</v>
      </c>
      <c r="B1605" t="s">
        <v>2606</v>
      </c>
      <c r="C1605" t="s">
        <v>3957</v>
      </c>
      <c r="D1605">
        <v>220125</v>
      </c>
      <c r="E1605" t="s">
        <v>2700</v>
      </c>
      <c r="F1605">
        <v>4250</v>
      </c>
      <c r="G1605" t="s">
        <v>619</v>
      </c>
      <c r="H1605">
        <v>4250</v>
      </c>
      <c r="I1605" t="s">
        <v>2607</v>
      </c>
    </row>
    <row r="1606" spans="1:9" x14ac:dyDescent="0.25">
      <c r="A1606" s="91">
        <v>46115</v>
      </c>
      <c r="B1606" t="s">
        <v>2606</v>
      </c>
      <c r="C1606" t="s">
        <v>3958</v>
      </c>
      <c r="D1606" t="s">
        <v>1401</v>
      </c>
      <c r="E1606" t="s">
        <v>2061</v>
      </c>
      <c r="F1606">
        <v>6260</v>
      </c>
      <c r="G1606" t="s">
        <v>619</v>
      </c>
      <c r="H1606">
        <v>6260</v>
      </c>
      <c r="I1606" t="s">
        <v>2607</v>
      </c>
    </row>
    <row r="1607" spans="1:9" x14ac:dyDescent="0.25">
      <c r="A1607" s="91">
        <v>46115</v>
      </c>
      <c r="B1607" t="s">
        <v>2665</v>
      </c>
      <c r="C1607" t="s">
        <v>3959</v>
      </c>
      <c r="D1607" t="s">
        <v>3929</v>
      </c>
      <c r="E1607" t="s">
        <v>3930</v>
      </c>
      <c r="F1607">
        <v>6667</v>
      </c>
      <c r="G1607" t="s">
        <v>619</v>
      </c>
      <c r="H1607">
        <v>6667</v>
      </c>
      <c r="I1607" t="s">
        <v>2607</v>
      </c>
    </row>
    <row r="1608" spans="1:9" x14ac:dyDescent="0.25">
      <c r="A1608" s="91">
        <v>46115</v>
      </c>
      <c r="B1608" t="s">
        <v>2621</v>
      </c>
      <c r="C1608" t="s">
        <v>3960</v>
      </c>
      <c r="D1608">
        <v>529300</v>
      </c>
      <c r="E1608" t="s">
        <v>2623</v>
      </c>
      <c r="F1608">
        <v>6667</v>
      </c>
      <c r="G1608" t="s">
        <v>619</v>
      </c>
      <c r="H1608">
        <v>6667</v>
      </c>
      <c r="I1608" t="s">
        <v>2607</v>
      </c>
    </row>
    <row r="1609" spans="1:9" x14ac:dyDescent="0.25">
      <c r="A1609" s="91">
        <v>46115</v>
      </c>
      <c r="B1609" t="s">
        <v>2624</v>
      </c>
      <c r="C1609" t="s">
        <v>3961</v>
      </c>
      <c r="D1609" t="s">
        <v>2669</v>
      </c>
      <c r="E1609" t="s">
        <v>2670</v>
      </c>
      <c r="F1609">
        <v>4167</v>
      </c>
      <c r="G1609" t="s">
        <v>619</v>
      </c>
      <c r="H1609">
        <v>4167</v>
      </c>
      <c r="I1609" t="s">
        <v>2607</v>
      </c>
    </row>
    <row r="1610" spans="1:9" x14ac:dyDescent="0.25">
      <c r="A1610" s="91">
        <v>46115</v>
      </c>
      <c r="B1610">
        <v>7002</v>
      </c>
      <c r="C1610" t="s">
        <v>3962</v>
      </c>
      <c r="D1610">
        <v>961515</v>
      </c>
      <c r="E1610" t="s">
        <v>2691</v>
      </c>
      <c r="F1610">
        <v>163</v>
      </c>
      <c r="G1610" t="s">
        <v>619</v>
      </c>
      <c r="H1610">
        <v>163</v>
      </c>
      <c r="I1610" t="s">
        <v>2607</v>
      </c>
    </row>
    <row r="1611" spans="1:9" x14ac:dyDescent="0.25">
      <c r="A1611" s="91">
        <v>46115</v>
      </c>
      <c r="B1611" t="s">
        <v>2606</v>
      </c>
      <c r="C1611" t="s">
        <v>3963</v>
      </c>
      <c r="D1611">
        <v>7013</v>
      </c>
      <c r="E1611" t="s">
        <v>630</v>
      </c>
      <c r="F1611">
        <v>5000</v>
      </c>
      <c r="G1611" t="s">
        <v>622</v>
      </c>
      <c r="H1611">
        <v>5000</v>
      </c>
      <c r="I1611" t="s">
        <v>2609</v>
      </c>
    </row>
    <row r="1612" spans="1:9" x14ac:dyDescent="0.25">
      <c r="A1612" s="91">
        <v>46116</v>
      </c>
      <c r="B1612" t="s">
        <v>2606</v>
      </c>
      <c r="C1612" t="s">
        <v>3964</v>
      </c>
      <c r="D1612" t="s">
        <v>917</v>
      </c>
      <c r="E1612" t="s">
        <v>3965</v>
      </c>
      <c r="F1612">
        <v>6260</v>
      </c>
      <c r="G1612" t="s">
        <v>619</v>
      </c>
      <c r="H1612">
        <v>6260</v>
      </c>
      <c r="I1612" t="s">
        <v>2607</v>
      </c>
    </row>
    <row r="1613" spans="1:9" x14ac:dyDescent="0.25">
      <c r="A1613" s="91">
        <v>46116</v>
      </c>
      <c r="B1613" t="s">
        <v>2606</v>
      </c>
      <c r="C1613" t="s">
        <v>3966</v>
      </c>
      <c r="D1613">
        <v>220125</v>
      </c>
      <c r="E1613" t="s">
        <v>2700</v>
      </c>
      <c r="F1613">
        <v>4250</v>
      </c>
      <c r="G1613" t="s">
        <v>619</v>
      </c>
      <c r="H1613">
        <v>4250</v>
      </c>
      <c r="I1613" t="s">
        <v>2607</v>
      </c>
    </row>
    <row r="1614" spans="1:9" x14ac:dyDescent="0.25">
      <c r="A1614" s="91">
        <v>46118</v>
      </c>
      <c r="B1614" t="s">
        <v>685</v>
      </c>
      <c r="C1614" t="s">
        <v>3967</v>
      </c>
      <c r="D1614">
        <v>7374</v>
      </c>
      <c r="E1614" t="s">
        <v>785</v>
      </c>
      <c r="F1614">
        <v>25000</v>
      </c>
      <c r="G1614" t="s">
        <v>622</v>
      </c>
      <c r="H1614">
        <v>25000</v>
      </c>
      <c r="I1614" t="s">
        <v>2633</v>
      </c>
    </row>
    <row r="1615" spans="1:9" x14ac:dyDescent="0.25">
      <c r="A1615" s="91">
        <v>46118</v>
      </c>
      <c r="B1615" t="s">
        <v>2680</v>
      </c>
      <c r="C1615" t="s">
        <v>3968</v>
      </c>
      <c r="D1615">
        <v>900401</v>
      </c>
      <c r="E1615" t="s">
        <v>2741</v>
      </c>
      <c r="F1615">
        <v>480</v>
      </c>
      <c r="G1615" t="s">
        <v>619</v>
      </c>
      <c r="H1615">
        <v>480</v>
      </c>
      <c r="I1615" t="s">
        <v>2607</v>
      </c>
    </row>
    <row r="1616" spans="1:9" x14ac:dyDescent="0.25">
      <c r="A1616" s="91">
        <v>46118</v>
      </c>
      <c r="B1616" t="s">
        <v>2614</v>
      </c>
      <c r="C1616" t="s">
        <v>3969</v>
      </c>
      <c r="D1616">
        <v>900107</v>
      </c>
      <c r="E1616" t="s">
        <v>2685</v>
      </c>
      <c r="F1616">
        <v>480</v>
      </c>
      <c r="G1616" t="s">
        <v>619</v>
      </c>
      <c r="H1616">
        <v>480</v>
      </c>
      <c r="I1616" t="s">
        <v>2607</v>
      </c>
    </row>
    <row r="1617" spans="1:9" x14ac:dyDescent="0.25">
      <c r="A1617" s="91">
        <v>46118</v>
      </c>
      <c r="B1617" t="s">
        <v>2617</v>
      </c>
      <c r="C1617" t="s">
        <v>3970</v>
      </c>
      <c r="D1617">
        <v>5150010450</v>
      </c>
      <c r="E1617" t="s">
        <v>2619</v>
      </c>
      <c r="F1617">
        <v>2256</v>
      </c>
      <c r="G1617" t="s">
        <v>619</v>
      </c>
      <c r="H1617">
        <v>2256</v>
      </c>
      <c r="I1617" t="s">
        <v>2607</v>
      </c>
    </row>
    <row r="1618" spans="1:9" x14ac:dyDescent="0.25">
      <c r="A1618" s="91">
        <v>46118</v>
      </c>
      <c r="B1618" t="s">
        <v>2608</v>
      </c>
      <c r="C1618" t="s">
        <v>3971</v>
      </c>
      <c r="D1618">
        <v>7151</v>
      </c>
      <c r="E1618" t="s">
        <v>3972</v>
      </c>
      <c r="F1618">
        <v>10000</v>
      </c>
      <c r="G1618" t="s">
        <v>622</v>
      </c>
      <c r="H1618">
        <v>10000</v>
      </c>
      <c r="I1618" t="s">
        <v>2609</v>
      </c>
    </row>
    <row r="1619" spans="1:9" x14ac:dyDescent="0.25">
      <c r="A1619" s="91">
        <v>46118</v>
      </c>
      <c r="B1619" t="s">
        <v>2606</v>
      </c>
      <c r="C1619" t="s">
        <v>3973</v>
      </c>
      <c r="D1619" t="s">
        <v>1401</v>
      </c>
      <c r="E1619" t="s">
        <v>2061</v>
      </c>
      <c r="F1619">
        <v>6260</v>
      </c>
      <c r="G1619" t="s">
        <v>619</v>
      </c>
      <c r="H1619">
        <v>6260</v>
      </c>
      <c r="I1619" t="s">
        <v>2607</v>
      </c>
    </row>
    <row r="1620" spans="1:9" x14ac:dyDescent="0.25">
      <c r="A1620" s="91">
        <v>46118</v>
      </c>
      <c r="B1620" t="s">
        <v>2606</v>
      </c>
      <c r="C1620" t="s">
        <v>3974</v>
      </c>
      <c r="D1620">
        <v>220125</v>
      </c>
      <c r="E1620" t="s">
        <v>2700</v>
      </c>
      <c r="F1620">
        <v>4250</v>
      </c>
      <c r="G1620" t="s">
        <v>619</v>
      </c>
      <c r="H1620">
        <v>4250</v>
      </c>
      <c r="I1620" t="s">
        <v>2607</v>
      </c>
    </row>
    <row r="1621" spans="1:9" x14ac:dyDescent="0.25">
      <c r="A1621" s="91">
        <v>46118</v>
      </c>
      <c r="B1621" t="s">
        <v>2665</v>
      </c>
      <c r="C1621" t="s">
        <v>3975</v>
      </c>
      <c r="D1621" t="s">
        <v>2042</v>
      </c>
      <c r="E1621" t="s">
        <v>3390</v>
      </c>
      <c r="F1621">
        <v>6250</v>
      </c>
      <c r="G1621" t="s">
        <v>619</v>
      </c>
      <c r="H1621">
        <v>6250</v>
      </c>
      <c r="I1621" t="s">
        <v>2607</v>
      </c>
    </row>
    <row r="1622" spans="1:9" x14ac:dyDescent="0.25">
      <c r="A1622" s="91">
        <v>46118</v>
      </c>
      <c r="B1622" t="s">
        <v>682</v>
      </c>
      <c r="C1622" t="s">
        <v>3976</v>
      </c>
      <c r="D1622">
        <v>7279</v>
      </c>
      <c r="E1622" t="s">
        <v>754</v>
      </c>
      <c r="F1622">
        <v>29000</v>
      </c>
      <c r="G1622" t="s">
        <v>622</v>
      </c>
      <c r="H1622">
        <v>29000</v>
      </c>
      <c r="I1622" t="s">
        <v>2633</v>
      </c>
    </row>
    <row r="1623" spans="1:9" x14ac:dyDescent="0.25">
      <c r="A1623" s="91">
        <v>46118</v>
      </c>
      <c r="B1623" t="s">
        <v>715</v>
      </c>
      <c r="C1623" t="s">
        <v>3977</v>
      </c>
      <c r="D1623">
        <v>7193</v>
      </c>
      <c r="E1623" t="s">
        <v>811</v>
      </c>
      <c r="F1623">
        <v>55000</v>
      </c>
      <c r="G1623" t="s">
        <v>622</v>
      </c>
      <c r="H1623">
        <v>55000</v>
      </c>
      <c r="I1623" t="s">
        <v>2633</v>
      </c>
    </row>
    <row r="1624" spans="1:9" x14ac:dyDescent="0.25">
      <c r="A1624" s="91">
        <v>46118</v>
      </c>
      <c r="B1624" t="s">
        <v>2621</v>
      </c>
      <c r="C1624" t="s">
        <v>3978</v>
      </c>
      <c r="D1624">
        <v>529300</v>
      </c>
      <c r="E1624" t="s">
        <v>2623</v>
      </c>
      <c r="F1624">
        <v>6667</v>
      </c>
      <c r="G1624" t="s">
        <v>619</v>
      </c>
      <c r="H1624">
        <v>6667</v>
      </c>
      <c r="I1624" t="s">
        <v>2607</v>
      </c>
    </row>
    <row r="1625" spans="1:9" x14ac:dyDescent="0.25">
      <c r="A1625" s="91">
        <v>46118</v>
      </c>
      <c r="B1625" t="s">
        <v>2624</v>
      </c>
      <c r="C1625" t="s">
        <v>3979</v>
      </c>
      <c r="D1625" t="s">
        <v>3073</v>
      </c>
      <c r="E1625" t="s">
        <v>3074</v>
      </c>
      <c r="F1625">
        <v>1000</v>
      </c>
      <c r="G1625" t="s">
        <v>619</v>
      </c>
      <c r="H1625">
        <v>1000</v>
      </c>
      <c r="I1625" t="s">
        <v>2607</v>
      </c>
    </row>
    <row r="1626" spans="1:9" x14ac:dyDescent="0.25">
      <c r="A1626" s="91">
        <v>46118</v>
      </c>
      <c r="B1626" t="s">
        <v>712</v>
      </c>
      <c r="C1626" t="s">
        <v>3980</v>
      </c>
      <c r="D1626">
        <v>8031</v>
      </c>
      <c r="E1626" t="s">
        <v>816</v>
      </c>
      <c r="F1626">
        <v>50000</v>
      </c>
      <c r="G1626" t="s">
        <v>622</v>
      </c>
      <c r="H1626">
        <v>50000</v>
      </c>
      <c r="I1626" t="s">
        <v>2607</v>
      </c>
    </row>
    <row r="1627" spans="1:9" x14ac:dyDescent="0.25">
      <c r="A1627" s="91">
        <v>46118</v>
      </c>
      <c r="B1627" t="s">
        <v>679</v>
      </c>
      <c r="C1627" t="s">
        <v>3981</v>
      </c>
      <c r="D1627">
        <v>7212</v>
      </c>
      <c r="E1627" t="s">
        <v>681</v>
      </c>
      <c r="F1627">
        <v>85000</v>
      </c>
      <c r="G1627" t="s">
        <v>622</v>
      </c>
      <c r="H1627">
        <v>85000</v>
      </c>
      <c r="I1627" t="s">
        <v>2633</v>
      </c>
    </row>
    <row r="1628" spans="1:9" x14ac:dyDescent="0.25">
      <c r="A1628" s="91">
        <v>46118</v>
      </c>
      <c r="B1628" t="s">
        <v>688</v>
      </c>
      <c r="C1628" t="s">
        <v>3982</v>
      </c>
      <c r="D1628">
        <v>7741</v>
      </c>
      <c r="E1628" t="s">
        <v>690</v>
      </c>
      <c r="F1628">
        <v>68000</v>
      </c>
      <c r="G1628" t="s">
        <v>622</v>
      </c>
      <c r="H1628">
        <v>68000</v>
      </c>
      <c r="I1628" t="s">
        <v>2633</v>
      </c>
    </row>
    <row r="1629" spans="1:9" x14ac:dyDescent="0.25">
      <c r="A1629" s="91">
        <v>46118</v>
      </c>
      <c r="B1629">
        <v>7002</v>
      </c>
      <c r="C1629" t="s">
        <v>3983</v>
      </c>
      <c r="D1629">
        <v>961515</v>
      </c>
      <c r="E1629" t="s">
        <v>2691</v>
      </c>
      <c r="F1629">
        <v>163</v>
      </c>
      <c r="G1629" t="s">
        <v>619</v>
      </c>
      <c r="H1629">
        <v>163</v>
      </c>
      <c r="I1629" t="s">
        <v>2607</v>
      </c>
    </row>
    <row r="1630" spans="1:9" x14ac:dyDescent="0.25">
      <c r="A1630" s="91">
        <v>46118</v>
      </c>
      <c r="B1630" t="s">
        <v>2736</v>
      </c>
      <c r="C1630" t="s">
        <v>3984</v>
      </c>
      <c r="D1630" t="s">
        <v>3985</v>
      </c>
      <c r="E1630" t="s">
        <v>3986</v>
      </c>
      <c r="F1630">
        <v>5200</v>
      </c>
      <c r="G1630" t="s">
        <v>622</v>
      </c>
      <c r="H1630">
        <v>5200</v>
      </c>
      <c r="I1630" t="s">
        <v>2607</v>
      </c>
    </row>
    <row r="1631" spans="1:9" x14ac:dyDescent="0.25">
      <c r="A1631" s="91">
        <v>46119</v>
      </c>
      <c r="B1631" t="s">
        <v>685</v>
      </c>
      <c r="C1631" t="s">
        <v>3987</v>
      </c>
      <c r="D1631">
        <v>7373</v>
      </c>
      <c r="E1631" t="s">
        <v>783</v>
      </c>
      <c r="F1631">
        <v>25000</v>
      </c>
      <c r="G1631" t="s">
        <v>622</v>
      </c>
      <c r="H1631">
        <v>25000</v>
      </c>
      <c r="I1631" t="s">
        <v>2633</v>
      </c>
    </row>
    <row r="1632" spans="1:9" x14ac:dyDescent="0.25">
      <c r="A1632" s="91">
        <v>46119</v>
      </c>
      <c r="B1632" t="s">
        <v>2614</v>
      </c>
      <c r="C1632" t="s">
        <v>3988</v>
      </c>
      <c r="D1632">
        <v>900101</v>
      </c>
      <c r="E1632" t="s">
        <v>2827</v>
      </c>
      <c r="F1632">
        <v>480</v>
      </c>
      <c r="G1632" t="s">
        <v>619</v>
      </c>
      <c r="H1632">
        <v>480</v>
      </c>
      <c r="I1632" t="s">
        <v>2607</v>
      </c>
    </row>
    <row r="1633" spans="1:9" x14ac:dyDescent="0.25">
      <c r="A1633" s="91">
        <v>46119</v>
      </c>
      <c r="B1633" t="s">
        <v>2680</v>
      </c>
      <c r="C1633" t="s">
        <v>3989</v>
      </c>
      <c r="D1633">
        <v>900401</v>
      </c>
      <c r="E1633" t="s">
        <v>2741</v>
      </c>
      <c r="F1633">
        <v>480</v>
      </c>
      <c r="G1633" t="s">
        <v>619</v>
      </c>
      <c r="H1633">
        <v>480</v>
      </c>
      <c r="I1633" t="s">
        <v>2607</v>
      </c>
    </row>
    <row r="1634" spans="1:9" x14ac:dyDescent="0.25">
      <c r="A1634" s="91">
        <v>46119</v>
      </c>
      <c r="B1634" t="s">
        <v>2617</v>
      </c>
      <c r="C1634" t="s">
        <v>3990</v>
      </c>
      <c r="D1634">
        <v>5150010450</v>
      </c>
      <c r="E1634" t="s">
        <v>2619</v>
      </c>
      <c r="F1634">
        <v>2256</v>
      </c>
      <c r="G1634" t="s">
        <v>619</v>
      </c>
      <c r="H1634">
        <v>2256</v>
      </c>
      <c r="I1634" t="s">
        <v>2607</v>
      </c>
    </row>
    <row r="1635" spans="1:9" x14ac:dyDescent="0.25">
      <c r="A1635" s="91">
        <v>46119</v>
      </c>
      <c r="B1635" t="s">
        <v>2606</v>
      </c>
      <c r="C1635" t="s">
        <v>3991</v>
      </c>
      <c r="D1635" t="s">
        <v>1401</v>
      </c>
      <c r="E1635" t="s">
        <v>2061</v>
      </c>
      <c r="F1635">
        <v>6250</v>
      </c>
      <c r="G1635" t="s">
        <v>619</v>
      </c>
      <c r="H1635">
        <v>6250</v>
      </c>
      <c r="I1635" t="s">
        <v>2607</v>
      </c>
    </row>
    <row r="1636" spans="1:9" x14ac:dyDescent="0.25">
      <c r="A1636" s="91">
        <v>46119</v>
      </c>
      <c r="B1636" t="s">
        <v>2606</v>
      </c>
      <c r="C1636" t="s">
        <v>3992</v>
      </c>
      <c r="D1636">
        <v>220125</v>
      </c>
      <c r="E1636" t="s">
        <v>2700</v>
      </c>
      <c r="F1636">
        <v>4250</v>
      </c>
      <c r="G1636" t="s">
        <v>619</v>
      </c>
      <c r="H1636">
        <v>4250</v>
      </c>
      <c r="I1636" t="s">
        <v>2607</v>
      </c>
    </row>
    <row r="1637" spans="1:9" x14ac:dyDescent="0.25">
      <c r="A1637" s="91">
        <v>46119</v>
      </c>
      <c r="B1637" t="s">
        <v>2606</v>
      </c>
      <c r="C1637" t="s">
        <v>3993</v>
      </c>
      <c r="D1637">
        <v>7036</v>
      </c>
      <c r="E1637" t="s">
        <v>3994</v>
      </c>
      <c r="F1637">
        <v>9000</v>
      </c>
      <c r="G1637" t="s">
        <v>622</v>
      </c>
      <c r="H1637">
        <v>9000</v>
      </c>
      <c r="I1637" t="s">
        <v>2609</v>
      </c>
    </row>
    <row r="1638" spans="1:9" x14ac:dyDescent="0.25">
      <c r="A1638" s="91">
        <v>46119</v>
      </c>
      <c r="B1638" t="s">
        <v>2665</v>
      </c>
      <c r="C1638" t="s">
        <v>3995</v>
      </c>
      <c r="D1638" t="s">
        <v>2042</v>
      </c>
      <c r="E1638" t="s">
        <v>3390</v>
      </c>
      <c r="F1638">
        <v>6250</v>
      </c>
      <c r="G1638" t="s">
        <v>619</v>
      </c>
      <c r="H1638">
        <v>6250</v>
      </c>
      <c r="I1638" t="s">
        <v>2607</v>
      </c>
    </row>
    <row r="1639" spans="1:9" x14ac:dyDescent="0.25">
      <c r="A1639" s="91">
        <v>46119</v>
      </c>
      <c r="B1639" t="s">
        <v>688</v>
      </c>
      <c r="C1639" t="s">
        <v>3996</v>
      </c>
      <c r="D1639">
        <v>7741</v>
      </c>
      <c r="E1639" t="s">
        <v>690</v>
      </c>
      <c r="F1639">
        <v>68000</v>
      </c>
      <c r="G1639" t="s">
        <v>622</v>
      </c>
      <c r="H1639">
        <v>68000</v>
      </c>
      <c r="I1639" t="s">
        <v>2633</v>
      </c>
    </row>
    <row r="1640" spans="1:9" x14ac:dyDescent="0.25">
      <c r="A1640" s="91">
        <v>46119</v>
      </c>
      <c r="B1640" t="s">
        <v>715</v>
      </c>
      <c r="C1640" t="s">
        <v>3997</v>
      </c>
      <c r="D1640">
        <v>7185</v>
      </c>
      <c r="E1640" t="s">
        <v>717</v>
      </c>
      <c r="F1640">
        <v>55000</v>
      </c>
      <c r="G1640" t="s">
        <v>622</v>
      </c>
      <c r="H1640">
        <v>55000</v>
      </c>
      <c r="I1640" t="s">
        <v>2633</v>
      </c>
    </row>
    <row r="1641" spans="1:9" x14ac:dyDescent="0.25">
      <c r="A1641" s="91">
        <v>46119</v>
      </c>
      <c r="B1641" t="s">
        <v>693</v>
      </c>
      <c r="C1641" t="s">
        <v>3998</v>
      </c>
      <c r="D1641" t="s">
        <v>3803</v>
      </c>
      <c r="E1641" t="s">
        <v>3804</v>
      </c>
      <c r="F1641">
        <v>9120</v>
      </c>
      <c r="G1641" t="s">
        <v>619</v>
      </c>
      <c r="H1641">
        <v>9120</v>
      </c>
      <c r="I1641" t="s">
        <v>2607</v>
      </c>
    </row>
    <row r="1642" spans="1:9" x14ac:dyDescent="0.25">
      <c r="A1642" s="91">
        <v>46119</v>
      </c>
      <c r="B1642" t="s">
        <v>693</v>
      </c>
      <c r="C1642" t="s">
        <v>3999</v>
      </c>
      <c r="D1642" t="s">
        <v>3811</v>
      </c>
      <c r="E1642" t="s">
        <v>3812</v>
      </c>
      <c r="F1642">
        <v>9120</v>
      </c>
      <c r="G1642" t="s">
        <v>619</v>
      </c>
      <c r="H1642">
        <v>9120</v>
      </c>
      <c r="I1642" t="s">
        <v>2607</v>
      </c>
    </row>
    <row r="1643" spans="1:9" x14ac:dyDescent="0.25">
      <c r="A1643" s="91">
        <v>46119</v>
      </c>
      <c r="B1643" t="s">
        <v>2621</v>
      </c>
      <c r="C1643" t="s">
        <v>4000</v>
      </c>
      <c r="D1643">
        <v>528400</v>
      </c>
      <c r="E1643" t="s">
        <v>3045</v>
      </c>
      <c r="F1643">
        <v>6667</v>
      </c>
      <c r="G1643" t="s">
        <v>619</v>
      </c>
      <c r="H1643">
        <v>6667</v>
      </c>
      <c r="I1643" t="s">
        <v>2607</v>
      </c>
    </row>
    <row r="1644" spans="1:9" x14ac:dyDescent="0.25">
      <c r="A1644" s="91">
        <v>46119</v>
      </c>
      <c r="B1644" t="s">
        <v>2624</v>
      </c>
      <c r="C1644" t="s">
        <v>4001</v>
      </c>
      <c r="D1644" t="s">
        <v>2713</v>
      </c>
      <c r="E1644" t="s">
        <v>2714</v>
      </c>
      <c r="F1644">
        <v>2083</v>
      </c>
      <c r="G1644" t="s">
        <v>619</v>
      </c>
      <c r="H1644">
        <v>2083</v>
      </c>
      <c r="I1644" t="s">
        <v>2607</v>
      </c>
    </row>
    <row r="1645" spans="1:9" x14ac:dyDescent="0.25">
      <c r="A1645" s="91">
        <v>46119</v>
      </c>
      <c r="B1645" t="s">
        <v>712</v>
      </c>
      <c r="C1645" t="s">
        <v>4002</v>
      </c>
      <c r="D1645">
        <v>8031</v>
      </c>
      <c r="E1645" t="s">
        <v>816</v>
      </c>
      <c r="F1645">
        <v>50000</v>
      </c>
      <c r="G1645" t="s">
        <v>622</v>
      </c>
      <c r="H1645">
        <v>50000</v>
      </c>
      <c r="I1645" t="s">
        <v>2607</v>
      </c>
    </row>
    <row r="1646" spans="1:9" x14ac:dyDescent="0.25">
      <c r="A1646" s="91">
        <v>46119</v>
      </c>
      <c r="B1646">
        <v>7002</v>
      </c>
      <c r="C1646" t="s">
        <v>4003</v>
      </c>
      <c r="D1646">
        <v>961515</v>
      </c>
      <c r="E1646" t="s">
        <v>2691</v>
      </c>
      <c r="F1646">
        <v>163</v>
      </c>
      <c r="G1646" t="s">
        <v>619</v>
      </c>
      <c r="H1646">
        <v>163</v>
      </c>
      <c r="I1646" t="s">
        <v>2607</v>
      </c>
    </row>
    <row r="1647" spans="1:9" x14ac:dyDescent="0.25">
      <c r="A1647" s="91">
        <v>46119</v>
      </c>
      <c r="B1647" t="s">
        <v>2736</v>
      </c>
      <c r="C1647" t="s">
        <v>4004</v>
      </c>
      <c r="D1647" t="s">
        <v>3985</v>
      </c>
      <c r="E1647" t="s">
        <v>3986</v>
      </c>
      <c r="F1647">
        <v>5200</v>
      </c>
      <c r="G1647" t="s">
        <v>622</v>
      </c>
      <c r="H1647">
        <v>5200</v>
      </c>
      <c r="I1647" t="s">
        <v>2607</v>
      </c>
    </row>
    <row r="1648" spans="1:9" x14ac:dyDescent="0.25">
      <c r="A1648" s="91">
        <v>46120</v>
      </c>
      <c r="B1648" t="s">
        <v>2680</v>
      </c>
      <c r="C1648" t="s">
        <v>4005</v>
      </c>
      <c r="D1648">
        <v>800500</v>
      </c>
      <c r="E1648" t="s">
        <v>2945</v>
      </c>
      <c r="F1648">
        <v>900</v>
      </c>
      <c r="G1648" t="s">
        <v>619</v>
      </c>
      <c r="H1648">
        <v>900</v>
      </c>
      <c r="I1648" t="s">
        <v>2939</v>
      </c>
    </row>
    <row r="1649" spans="1:9" x14ac:dyDescent="0.25">
      <c r="A1649" s="91">
        <v>46120</v>
      </c>
      <c r="B1649" t="s">
        <v>2614</v>
      </c>
      <c r="C1649" t="s">
        <v>4006</v>
      </c>
      <c r="D1649">
        <v>900102</v>
      </c>
      <c r="E1649" t="s">
        <v>2743</v>
      </c>
      <c r="F1649">
        <v>480</v>
      </c>
      <c r="G1649" t="s">
        <v>619</v>
      </c>
      <c r="H1649">
        <v>480</v>
      </c>
      <c r="I1649" t="s">
        <v>2607</v>
      </c>
    </row>
    <row r="1650" spans="1:9" x14ac:dyDescent="0.25">
      <c r="A1650" s="91">
        <v>46120</v>
      </c>
      <c r="B1650" t="s">
        <v>2617</v>
      </c>
      <c r="C1650" t="s">
        <v>4007</v>
      </c>
      <c r="D1650">
        <v>5150010450</v>
      </c>
      <c r="E1650" t="s">
        <v>2619</v>
      </c>
      <c r="F1650">
        <v>2256</v>
      </c>
      <c r="G1650" t="s">
        <v>619</v>
      </c>
      <c r="H1650">
        <v>2256</v>
      </c>
      <c r="I1650" t="s">
        <v>2607</v>
      </c>
    </row>
    <row r="1651" spans="1:9" x14ac:dyDescent="0.25">
      <c r="A1651" s="91">
        <v>46120</v>
      </c>
      <c r="B1651" t="s">
        <v>2608</v>
      </c>
      <c r="C1651" t="s">
        <v>4008</v>
      </c>
      <c r="D1651">
        <v>7081</v>
      </c>
      <c r="E1651" t="s">
        <v>4009</v>
      </c>
      <c r="F1651">
        <v>10000</v>
      </c>
      <c r="G1651" t="s">
        <v>622</v>
      </c>
      <c r="H1651">
        <v>10000</v>
      </c>
      <c r="I1651" t="s">
        <v>2609</v>
      </c>
    </row>
    <row r="1652" spans="1:9" x14ac:dyDescent="0.25">
      <c r="A1652" s="91">
        <v>46120</v>
      </c>
      <c r="B1652" t="s">
        <v>2606</v>
      </c>
      <c r="C1652" t="s">
        <v>4010</v>
      </c>
      <c r="D1652" t="s">
        <v>1401</v>
      </c>
      <c r="E1652" t="s">
        <v>2061</v>
      </c>
      <c r="F1652">
        <v>6260</v>
      </c>
      <c r="G1652" t="s">
        <v>619</v>
      </c>
      <c r="H1652">
        <v>6260</v>
      </c>
      <c r="I1652" t="s">
        <v>2607</v>
      </c>
    </row>
    <row r="1653" spans="1:9" x14ac:dyDescent="0.25">
      <c r="A1653" s="91">
        <v>46120</v>
      </c>
      <c r="B1653" t="s">
        <v>2606</v>
      </c>
      <c r="C1653" t="s">
        <v>4011</v>
      </c>
      <c r="D1653">
        <v>220125</v>
      </c>
      <c r="E1653" t="s">
        <v>2700</v>
      </c>
      <c r="F1653">
        <v>4250</v>
      </c>
      <c r="G1653" t="s">
        <v>619</v>
      </c>
      <c r="H1653">
        <v>4250</v>
      </c>
      <c r="I1653" t="s">
        <v>2607</v>
      </c>
    </row>
    <row r="1654" spans="1:9" x14ac:dyDescent="0.25">
      <c r="A1654" s="91">
        <v>46120</v>
      </c>
      <c r="B1654" t="s">
        <v>685</v>
      </c>
      <c r="C1654" t="s">
        <v>4012</v>
      </c>
      <c r="D1654">
        <v>7373</v>
      </c>
      <c r="E1654" t="s">
        <v>783</v>
      </c>
      <c r="F1654">
        <v>25000</v>
      </c>
      <c r="G1654" t="s">
        <v>622</v>
      </c>
      <c r="H1654">
        <v>25000</v>
      </c>
      <c r="I1654" t="s">
        <v>2633</v>
      </c>
    </row>
    <row r="1655" spans="1:9" x14ac:dyDescent="0.25">
      <c r="A1655" s="91">
        <v>46120</v>
      </c>
      <c r="B1655" t="s">
        <v>2665</v>
      </c>
      <c r="C1655" t="s">
        <v>4013</v>
      </c>
      <c r="D1655" t="s">
        <v>2042</v>
      </c>
      <c r="E1655" t="s">
        <v>3390</v>
      </c>
      <c r="F1655">
        <v>6250</v>
      </c>
      <c r="G1655" t="s">
        <v>619</v>
      </c>
      <c r="H1655">
        <v>6250</v>
      </c>
      <c r="I1655" t="s">
        <v>2607</v>
      </c>
    </row>
    <row r="1656" spans="1:9" x14ac:dyDescent="0.25">
      <c r="A1656" s="91">
        <v>46120</v>
      </c>
      <c r="B1656" t="s">
        <v>2665</v>
      </c>
      <c r="C1656" t="s">
        <v>4014</v>
      </c>
      <c r="D1656" t="s">
        <v>894</v>
      </c>
      <c r="E1656" t="s">
        <v>895</v>
      </c>
      <c r="F1656">
        <v>6667</v>
      </c>
      <c r="G1656" t="s">
        <v>619</v>
      </c>
      <c r="H1656">
        <v>6667</v>
      </c>
      <c r="I1656" t="s">
        <v>2607</v>
      </c>
    </row>
    <row r="1657" spans="1:9" x14ac:dyDescent="0.25">
      <c r="A1657" s="91">
        <v>46120</v>
      </c>
      <c r="B1657" t="s">
        <v>2621</v>
      </c>
      <c r="C1657" t="s">
        <v>4015</v>
      </c>
      <c r="D1657">
        <v>528400</v>
      </c>
      <c r="E1657" t="s">
        <v>3045</v>
      </c>
      <c r="F1657">
        <v>6667</v>
      </c>
      <c r="G1657" t="s">
        <v>619</v>
      </c>
      <c r="H1657">
        <v>6667</v>
      </c>
      <c r="I1657" t="s">
        <v>2607</v>
      </c>
    </row>
    <row r="1658" spans="1:9" x14ac:dyDescent="0.25">
      <c r="A1658" s="91">
        <v>46120</v>
      </c>
      <c r="B1658" t="s">
        <v>2624</v>
      </c>
      <c r="C1658" t="s">
        <v>4016</v>
      </c>
      <c r="D1658" t="s">
        <v>2910</v>
      </c>
      <c r="E1658" t="s">
        <v>2911</v>
      </c>
      <c r="F1658">
        <v>2083</v>
      </c>
      <c r="G1658" t="s">
        <v>619</v>
      </c>
      <c r="H1658">
        <v>2083</v>
      </c>
      <c r="I1658" t="s">
        <v>2607</v>
      </c>
    </row>
    <row r="1659" spans="1:9" x14ac:dyDescent="0.25">
      <c r="A1659" s="91">
        <v>46120</v>
      </c>
      <c r="B1659" t="s">
        <v>712</v>
      </c>
      <c r="C1659" t="s">
        <v>4017</v>
      </c>
      <c r="D1659">
        <v>8031</v>
      </c>
      <c r="E1659" t="s">
        <v>816</v>
      </c>
      <c r="F1659">
        <v>50000</v>
      </c>
      <c r="G1659" t="s">
        <v>622</v>
      </c>
      <c r="H1659">
        <v>50000</v>
      </c>
      <c r="I1659" t="s">
        <v>2607</v>
      </c>
    </row>
    <row r="1660" spans="1:9" x14ac:dyDescent="0.25">
      <c r="A1660" s="91">
        <v>46120</v>
      </c>
      <c r="B1660" t="s">
        <v>682</v>
      </c>
      <c r="C1660" t="s">
        <v>4018</v>
      </c>
      <c r="D1660">
        <v>7552</v>
      </c>
      <c r="E1660" t="s">
        <v>2752</v>
      </c>
      <c r="F1660">
        <v>24000</v>
      </c>
      <c r="G1660" t="s">
        <v>622</v>
      </c>
      <c r="H1660">
        <v>24000</v>
      </c>
      <c r="I1660" t="s">
        <v>2633</v>
      </c>
    </row>
    <row r="1661" spans="1:9" x14ac:dyDescent="0.25">
      <c r="A1661" s="91">
        <v>46120</v>
      </c>
      <c r="B1661" t="s">
        <v>688</v>
      </c>
      <c r="C1661" t="s">
        <v>4019</v>
      </c>
      <c r="D1661">
        <v>7741</v>
      </c>
      <c r="E1661" t="s">
        <v>690</v>
      </c>
      <c r="F1661">
        <v>68000</v>
      </c>
      <c r="G1661" t="s">
        <v>622</v>
      </c>
      <c r="H1661">
        <v>68000</v>
      </c>
      <c r="I1661" t="s">
        <v>2633</v>
      </c>
    </row>
    <row r="1662" spans="1:9" x14ac:dyDescent="0.25">
      <c r="A1662" s="91">
        <v>46120</v>
      </c>
      <c r="B1662">
        <v>7002</v>
      </c>
      <c r="C1662" t="s">
        <v>4020</v>
      </c>
      <c r="D1662">
        <v>961517</v>
      </c>
      <c r="E1662" t="s">
        <v>2960</v>
      </c>
      <c r="F1662">
        <v>173</v>
      </c>
      <c r="G1662" t="s">
        <v>619</v>
      </c>
      <c r="H1662">
        <v>173</v>
      </c>
      <c r="I1662" t="s">
        <v>2607</v>
      </c>
    </row>
    <row r="1663" spans="1:9" x14ac:dyDescent="0.25">
      <c r="A1663" s="91">
        <v>46120</v>
      </c>
      <c r="B1663" t="s">
        <v>2736</v>
      </c>
      <c r="C1663" t="s">
        <v>4021</v>
      </c>
      <c r="D1663" t="s">
        <v>3985</v>
      </c>
      <c r="E1663" t="s">
        <v>3986</v>
      </c>
      <c r="F1663">
        <v>5200</v>
      </c>
      <c r="G1663" t="s">
        <v>622</v>
      </c>
      <c r="H1663">
        <v>5200</v>
      </c>
      <c r="I1663" t="s">
        <v>2607</v>
      </c>
    </row>
    <row r="1664" spans="1:9" x14ac:dyDescent="0.25">
      <c r="A1664" s="91">
        <v>46121</v>
      </c>
      <c r="B1664" t="s">
        <v>2665</v>
      </c>
      <c r="C1664" t="s">
        <v>4022</v>
      </c>
      <c r="D1664" t="s">
        <v>4023</v>
      </c>
      <c r="E1664" t="s">
        <v>4024</v>
      </c>
      <c r="F1664">
        <v>6250</v>
      </c>
      <c r="G1664" t="s">
        <v>619</v>
      </c>
      <c r="H1664">
        <v>6250</v>
      </c>
      <c r="I1664" t="s">
        <v>2607</v>
      </c>
    </row>
    <row r="1665" spans="1:9" x14ac:dyDescent="0.25">
      <c r="A1665" s="91">
        <v>46121</v>
      </c>
      <c r="B1665" t="s">
        <v>2617</v>
      </c>
      <c r="C1665" t="s">
        <v>4025</v>
      </c>
      <c r="D1665">
        <v>5150010450</v>
      </c>
      <c r="E1665" t="s">
        <v>2619</v>
      </c>
      <c r="F1665">
        <v>2256</v>
      </c>
      <c r="G1665" t="s">
        <v>619</v>
      </c>
      <c r="H1665">
        <v>2256</v>
      </c>
      <c r="I1665" t="s">
        <v>2607</v>
      </c>
    </row>
    <row r="1666" spans="1:9" x14ac:dyDescent="0.25">
      <c r="A1666" s="91">
        <v>46121</v>
      </c>
      <c r="B1666" t="s">
        <v>2608</v>
      </c>
      <c r="C1666" t="s">
        <v>4026</v>
      </c>
      <c r="D1666">
        <v>8013256</v>
      </c>
      <c r="E1666" t="s">
        <v>3748</v>
      </c>
      <c r="F1666">
        <v>2100</v>
      </c>
      <c r="G1666" t="s">
        <v>619</v>
      </c>
      <c r="H1666">
        <v>2100</v>
      </c>
      <c r="I1666" t="s">
        <v>2607</v>
      </c>
    </row>
    <row r="1667" spans="1:9" x14ac:dyDescent="0.25">
      <c r="A1667" s="91">
        <v>46121</v>
      </c>
      <c r="B1667" t="s">
        <v>2606</v>
      </c>
      <c r="C1667" t="s">
        <v>4027</v>
      </c>
      <c r="D1667" t="s">
        <v>1401</v>
      </c>
      <c r="E1667" t="s">
        <v>2061</v>
      </c>
      <c r="F1667">
        <v>6260</v>
      </c>
      <c r="G1667" t="s">
        <v>619</v>
      </c>
      <c r="H1667">
        <v>6260</v>
      </c>
      <c r="I1667" t="s">
        <v>2607</v>
      </c>
    </row>
    <row r="1668" spans="1:9" x14ac:dyDescent="0.25">
      <c r="A1668" s="91">
        <v>46121</v>
      </c>
      <c r="B1668" t="s">
        <v>2606</v>
      </c>
      <c r="C1668" t="s">
        <v>4028</v>
      </c>
      <c r="D1668">
        <v>220125</v>
      </c>
      <c r="E1668" t="s">
        <v>2700</v>
      </c>
      <c r="F1668">
        <v>4250</v>
      </c>
      <c r="G1668" t="s">
        <v>619</v>
      </c>
      <c r="H1668">
        <v>4250</v>
      </c>
      <c r="I1668" t="s">
        <v>2607</v>
      </c>
    </row>
    <row r="1669" spans="1:9" x14ac:dyDescent="0.25">
      <c r="A1669" s="91">
        <v>46121</v>
      </c>
      <c r="B1669" t="s">
        <v>685</v>
      </c>
      <c r="C1669" t="s">
        <v>4029</v>
      </c>
      <c r="D1669">
        <v>7373</v>
      </c>
      <c r="E1669" t="s">
        <v>783</v>
      </c>
      <c r="F1669">
        <v>25000</v>
      </c>
      <c r="G1669" t="s">
        <v>622</v>
      </c>
      <c r="H1669">
        <v>25000</v>
      </c>
      <c r="I1669" t="s">
        <v>2633</v>
      </c>
    </row>
    <row r="1670" spans="1:9" x14ac:dyDescent="0.25">
      <c r="A1670" s="91">
        <v>46121</v>
      </c>
      <c r="B1670" t="s">
        <v>2665</v>
      </c>
      <c r="C1670" t="s">
        <v>4030</v>
      </c>
      <c r="D1670" t="s">
        <v>623</v>
      </c>
      <c r="E1670" t="s">
        <v>2703</v>
      </c>
      <c r="F1670">
        <v>6500</v>
      </c>
      <c r="G1670" t="s">
        <v>619</v>
      </c>
      <c r="H1670">
        <v>6500</v>
      </c>
      <c r="I1670" t="s">
        <v>2607</v>
      </c>
    </row>
    <row r="1671" spans="1:9" x14ac:dyDescent="0.25">
      <c r="A1671" s="91">
        <v>46121</v>
      </c>
      <c r="B1671" t="s">
        <v>2680</v>
      </c>
      <c r="C1671" t="s">
        <v>4031</v>
      </c>
      <c r="D1671">
        <v>800500</v>
      </c>
      <c r="E1671" t="s">
        <v>2945</v>
      </c>
      <c r="F1671">
        <v>900</v>
      </c>
      <c r="G1671" t="s">
        <v>619</v>
      </c>
      <c r="H1671">
        <v>900</v>
      </c>
      <c r="I1671" t="s">
        <v>2939</v>
      </c>
    </row>
    <row r="1672" spans="1:9" x14ac:dyDescent="0.25">
      <c r="A1672" s="91">
        <v>46121</v>
      </c>
      <c r="B1672" t="s">
        <v>2621</v>
      </c>
      <c r="C1672" t="s">
        <v>4032</v>
      </c>
      <c r="D1672" t="s">
        <v>2910</v>
      </c>
      <c r="E1672" t="s">
        <v>2911</v>
      </c>
      <c r="F1672">
        <v>1100</v>
      </c>
      <c r="G1672" t="s">
        <v>619</v>
      </c>
      <c r="H1672">
        <v>1100</v>
      </c>
      <c r="I1672" t="s">
        <v>2607</v>
      </c>
    </row>
    <row r="1673" spans="1:9" x14ac:dyDescent="0.25">
      <c r="A1673" s="91">
        <v>46121</v>
      </c>
      <c r="B1673" t="s">
        <v>2621</v>
      </c>
      <c r="C1673" t="s">
        <v>4033</v>
      </c>
      <c r="D1673" t="s">
        <v>2713</v>
      </c>
      <c r="E1673" t="s">
        <v>2714</v>
      </c>
      <c r="F1673">
        <v>1100</v>
      </c>
      <c r="G1673" t="s">
        <v>619</v>
      </c>
      <c r="H1673">
        <v>1100</v>
      </c>
      <c r="I1673" t="s">
        <v>2607</v>
      </c>
    </row>
    <row r="1674" spans="1:9" x14ac:dyDescent="0.25">
      <c r="A1674" s="91">
        <v>46121</v>
      </c>
      <c r="B1674" t="s">
        <v>2624</v>
      </c>
      <c r="C1674" t="s">
        <v>4034</v>
      </c>
      <c r="D1674" t="s">
        <v>2937</v>
      </c>
      <c r="E1674" t="s">
        <v>2938</v>
      </c>
      <c r="F1674">
        <v>3614</v>
      </c>
      <c r="G1674" t="s">
        <v>619</v>
      </c>
      <c r="H1674">
        <v>3614</v>
      </c>
      <c r="I1674" t="s">
        <v>2939</v>
      </c>
    </row>
    <row r="1675" spans="1:9" x14ac:dyDescent="0.25">
      <c r="A1675" s="91">
        <v>46121</v>
      </c>
      <c r="B1675" t="s">
        <v>712</v>
      </c>
      <c r="C1675" t="s">
        <v>4035</v>
      </c>
      <c r="D1675">
        <v>8031</v>
      </c>
      <c r="E1675" t="s">
        <v>816</v>
      </c>
      <c r="F1675">
        <v>50000</v>
      </c>
      <c r="G1675" t="s">
        <v>622</v>
      </c>
      <c r="H1675">
        <v>50000</v>
      </c>
      <c r="I1675" t="s">
        <v>2607</v>
      </c>
    </row>
    <row r="1676" spans="1:9" x14ac:dyDescent="0.25">
      <c r="A1676" s="91">
        <v>46121</v>
      </c>
      <c r="B1676" t="s">
        <v>682</v>
      </c>
      <c r="C1676" t="s">
        <v>4036</v>
      </c>
      <c r="D1676" t="s">
        <v>806</v>
      </c>
      <c r="E1676" t="s">
        <v>807</v>
      </c>
      <c r="F1676">
        <v>28000</v>
      </c>
      <c r="G1676" t="s">
        <v>622</v>
      </c>
      <c r="H1676">
        <v>28000</v>
      </c>
      <c r="I1676" t="s">
        <v>2633</v>
      </c>
    </row>
    <row r="1677" spans="1:9" x14ac:dyDescent="0.25">
      <c r="A1677" s="91">
        <v>46121</v>
      </c>
      <c r="B1677" t="s">
        <v>688</v>
      </c>
      <c r="C1677" t="s">
        <v>4037</v>
      </c>
      <c r="D1677">
        <v>7741</v>
      </c>
      <c r="E1677" t="s">
        <v>690</v>
      </c>
      <c r="F1677">
        <v>68000</v>
      </c>
      <c r="G1677" t="s">
        <v>622</v>
      </c>
      <c r="H1677">
        <v>68000</v>
      </c>
      <c r="I1677" t="s">
        <v>2633</v>
      </c>
    </row>
    <row r="1678" spans="1:9" x14ac:dyDescent="0.25">
      <c r="A1678" s="91">
        <v>46121</v>
      </c>
      <c r="B1678">
        <v>7002</v>
      </c>
      <c r="C1678" t="s">
        <v>4038</v>
      </c>
      <c r="D1678">
        <v>961517</v>
      </c>
      <c r="E1678" t="s">
        <v>2960</v>
      </c>
      <c r="F1678">
        <v>173</v>
      </c>
      <c r="G1678" t="s">
        <v>619</v>
      </c>
      <c r="H1678">
        <v>173</v>
      </c>
      <c r="I1678" t="s">
        <v>2607</v>
      </c>
    </row>
    <row r="1679" spans="1:9" x14ac:dyDescent="0.25">
      <c r="A1679" s="91">
        <v>46121</v>
      </c>
      <c r="B1679" t="s">
        <v>2736</v>
      </c>
      <c r="C1679" t="s">
        <v>4039</v>
      </c>
      <c r="D1679" t="s">
        <v>2140</v>
      </c>
      <c r="E1679" t="s">
        <v>2141</v>
      </c>
      <c r="F1679">
        <v>5500</v>
      </c>
      <c r="G1679" t="s">
        <v>622</v>
      </c>
      <c r="H1679">
        <v>5500</v>
      </c>
      <c r="I1679" t="s">
        <v>2607</v>
      </c>
    </row>
    <row r="1680" spans="1:9" x14ac:dyDescent="0.25">
      <c r="A1680" s="91">
        <v>46122</v>
      </c>
      <c r="B1680" t="s">
        <v>2617</v>
      </c>
      <c r="C1680" t="s">
        <v>4040</v>
      </c>
      <c r="D1680">
        <v>5150010450</v>
      </c>
      <c r="E1680" t="s">
        <v>2619</v>
      </c>
      <c r="F1680">
        <v>2256</v>
      </c>
      <c r="G1680" t="s">
        <v>619</v>
      </c>
      <c r="H1680">
        <v>2256</v>
      </c>
      <c r="I1680" t="s">
        <v>2607</v>
      </c>
    </row>
    <row r="1681" spans="1:9" x14ac:dyDescent="0.25">
      <c r="A1681" s="91">
        <v>46122</v>
      </c>
      <c r="B1681" t="s">
        <v>2606</v>
      </c>
      <c r="C1681" t="s">
        <v>4041</v>
      </c>
      <c r="D1681" t="s">
        <v>1401</v>
      </c>
      <c r="E1681" t="s">
        <v>2061</v>
      </c>
      <c r="F1681">
        <v>6260</v>
      </c>
      <c r="G1681" t="s">
        <v>619</v>
      </c>
      <c r="H1681">
        <v>6260</v>
      </c>
      <c r="I1681" t="s">
        <v>2607</v>
      </c>
    </row>
    <row r="1682" spans="1:9" x14ac:dyDescent="0.25">
      <c r="A1682" s="91">
        <v>46122</v>
      </c>
      <c r="B1682" t="s">
        <v>2606</v>
      </c>
      <c r="C1682" t="s">
        <v>4042</v>
      </c>
      <c r="D1682">
        <v>220125</v>
      </c>
      <c r="E1682" t="s">
        <v>2700</v>
      </c>
      <c r="F1682">
        <v>4250</v>
      </c>
      <c r="G1682" t="s">
        <v>619</v>
      </c>
      <c r="H1682">
        <v>4250</v>
      </c>
      <c r="I1682" t="s">
        <v>2607</v>
      </c>
    </row>
    <row r="1683" spans="1:9" x14ac:dyDescent="0.25">
      <c r="A1683" s="91">
        <v>46122</v>
      </c>
      <c r="B1683" t="s">
        <v>2665</v>
      </c>
      <c r="C1683" t="s">
        <v>4043</v>
      </c>
      <c r="D1683" t="s">
        <v>4023</v>
      </c>
      <c r="E1683" t="s">
        <v>4024</v>
      </c>
      <c r="F1683">
        <v>6250</v>
      </c>
      <c r="G1683" t="s">
        <v>619</v>
      </c>
      <c r="H1683">
        <v>6250</v>
      </c>
      <c r="I1683" t="s">
        <v>2607</v>
      </c>
    </row>
    <row r="1684" spans="1:9" x14ac:dyDescent="0.25">
      <c r="A1684" s="91">
        <v>46122</v>
      </c>
      <c r="B1684" t="s">
        <v>2624</v>
      </c>
      <c r="C1684" t="s">
        <v>4044</v>
      </c>
      <c r="D1684" t="s">
        <v>2937</v>
      </c>
      <c r="E1684" t="s">
        <v>2938</v>
      </c>
      <c r="F1684">
        <v>3614</v>
      </c>
      <c r="G1684" t="s">
        <v>619</v>
      </c>
      <c r="H1684">
        <v>3614</v>
      </c>
      <c r="I1684" t="s">
        <v>2939</v>
      </c>
    </row>
    <row r="1685" spans="1:9" x14ac:dyDescent="0.25">
      <c r="A1685" s="91">
        <v>46122</v>
      </c>
      <c r="B1685" t="s">
        <v>2736</v>
      </c>
      <c r="C1685" t="s">
        <v>4045</v>
      </c>
      <c r="D1685" t="s">
        <v>2140</v>
      </c>
      <c r="E1685" t="s">
        <v>2141</v>
      </c>
      <c r="F1685">
        <v>5500</v>
      </c>
      <c r="G1685" t="s">
        <v>622</v>
      </c>
      <c r="H1685">
        <v>5500</v>
      </c>
      <c r="I1685" t="s">
        <v>2607</v>
      </c>
    </row>
    <row r="1686" spans="1:9" x14ac:dyDescent="0.25">
      <c r="A1686" s="91">
        <v>46122</v>
      </c>
      <c r="B1686" t="s">
        <v>2621</v>
      </c>
      <c r="C1686" t="s">
        <v>4046</v>
      </c>
      <c r="D1686" t="s">
        <v>2910</v>
      </c>
      <c r="E1686" t="s">
        <v>2911</v>
      </c>
      <c r="F1686">
        <v>2381</v>
      </c>
      <c r="G1686" t="s">
        <v>619</v>
      </c>
      <c r="H1686">
        <v>2381</v>
      </c>
      <c r="I1686" t="s">
        <v>2607</v>
      </c>
    </row>
    <row r="1687" spans="1:9" x14ac:dyDescent="0.25">
      <c r="A1687" s="91">
        <v>46122</v>
      </c>
      <c r="B1687">
        <v>7002</v>
      </c>
      <c r="C1687" t="s">
        <v>4047</v>
      </c>
      <c r="D1687">
        <v>961517</v>
      </c>
      <c r="E1687" t="s">
        <v>2960</v>
      </c>
      <c r="F1687">
        <v>173</v>
      </c>
      <c r="G1687" t="s">
        <v>619</v>
      </c>
      <c r="H1687">
        <v>173</v>
      </c>
      <c r="I1687" t="s">
        <v>2607</v>
      </c>
    </row>
    <row r="1688" spans="1:9" x14ac:dyDescent="0.25">
      <c r="A1688" s="91">
        <v>46122</v>
      </c>
      <c r="B1688" t="s">
        <v>2665</v>
      </c>
      <c r="C1688" t="s">
        <v>4048</v>
      </c>
      <c r="D1688" t="s">
        <v>916</v>
      </c>
      <c r="E1688" t="s">
        <v>2666</v>
      </c>
      <c r="F1688">
        <v>6500</v>
      </c>
      <c r="G1688" t="s">
        <v>619</v>
      </c>
      <c r="H1688">
        <v>6500</v>
      </c>
      <c r="I1688" t="s">
        <v>2607</v>
      </c>
    </row>
    <row r="1689" spans="1:9" x14ac:dyDescent="0.25">
      <c r="A1689" s="91">
        <v>46123</v>
      </c>
      <c r="B1689" t="s">
        <v>2617</v>
      </c>
      <c r="C1689" t="s">
        <v>4049</v>
      </c>
      <c r="D1689">
        <v>5150010450</v>
      </c>
      <c r="E1689" t="s">
        <v>2619</v>
      </c>
      <c r="F1689">
        <v>2256</v>
      </c>
      <c r="G1689" t="s">
        <v>619</v>
      </c>
      <c r="H1689">
        <v>2256</v>
      </c>
      <c r="I1689" t="s">
        <v>2607</v>
      </c>
    </row>
    <row r="1690" spans="1:9" x14ac:dyDescent="0.25">
      <c r="A1690" s="91">
        <v>46123</v>
      </c>
      <c r="B1690" t="s">
        <v>2606</v>
      </c>
      <c r="C1690" t="s">
        <v>4050</v>
      </c>
      <c r="D1690" t="s">
        <v>1401</v>
      </c>
      <c r="E1690" t="s">
        <v>2061</v>
      </c>
      <c r="F1690">
        <v>6260</v>
      </c>
      <c r="G1690" t="s">
        <v>619</v>
      </c>
      <c r="H1690">
        <v>6260</v>
      </c>
      <c r="I1690" t="s">
        <v>2607</v>
      </c>
    </row>
    <row r="1691" spans="1:9" x14ac:dyDescent="0.25">
      <c r="A1691" s="91">
        <v>46123</v>
      </c>
      <c r="B1691" t="s">
        <v>2606</v>
      </c>
      <c r="C1691" t="s">
        <v>4051</v>
      </c>
      <c r="D1691">
        <v>220125</v>
      </c>
      <c r="E1691" t="s">
        <v>2700</v>
      </c>
      <c r="F1691">
        <v>4250</v>
      </c>
      <c r="G1691" t="s">
        <v>619</v>
      </c>
      <c r="H1691">
        <v>4250</v>
      </c>
      <c r="I1691" t="s">
        <v>2607</v>
      </c>
    </row>
    <row r="1692" spans="1:9" x14ac:dyDescent="0.25">
      <c r="A1692" s="91">
        <v>46123</v>
      </c>
      <c r="B1692" t="s">
        <v>2624</v>
      </c>
      <c r="C1692" t="s">
        <v>4052</v>
      </c>
      <c r="D1692" t="s">
        <v>2937</v>
      </c>
      <c r="E1692" t="s">
        <v>2938</v>
      </c>
      <c r="F1692">
        <v>1709</v>
      </c>
      <c r="G1692" t="s">
        <v>619</v>
      </c>
      <c r="H1692">
        <v>1709</v>
      </c>
      <c r="I1692" t="s">
        <v>2939</v>
      </c>
    </row>
    <row r="1693" spans="1:9" x14ac:dyDescent="0.25">
      <c r="A1693" s="91">
        <v>46123</v>
      </c>
      <c r="B1693">
        <v>7002</v>
      </c>
      <c r="C1693" t="s">
        <v>4053</v>
      </c>
      <c r="D1693">
        <v>961517</v>
      </c>
      <c r="E1693" t="s">
        <v>2960</v>
      </c>
      <c r="F1693">
        <v>173</v>
      </c>
      <c r="G1693" t="s">
        <v>619</v>
      </c>
      <c r="H1693">
        <v>173</v>
      </c>
      <c r="I1693" t="s">
        <v>2607</v>
      </c>
    </row>
    <row r="1694" spans="1:9" x14ac:dyDescent="0.25">
      <c r="A1694" s="91">
        <v>46123</v>
      </c>
      <c r="B1694" t="s">
        <v>2621</v>
      </c>
      <c r="C1694" t="s">
        <v>4054</v>
      </c>
      <c r="D1694" t="s">
        <v>2694</v>
      </c>
      <c r="E1694" t="s">
        <v>2695</v>
      </c>
      <c r="F1694">
        <v>2381</v>
      </c>
      <c r="G1694" t="s">
        <v>619</v>
      </c>
      <c r="H1694">
        <v>2381</v>
      </c>
      <c r="I1694" t="s">
        <v>2607</v>
      </c>
    </row>
    <row r="1695" spans="1:9" x14ac:dyDescent="0.25">
      <c r="A1695" s="91">
        <v>46124</v>
      </c>
      <c r="B1695">
        <v>7002</v>
      </c>
      <c r="C1695" t="s">
        <v>4055</v>
      </c>
      <c r="D1695">
        <v>961517</v>
      </c>
      <c r="E1695" t="s">
        <v>2960</v>
      </c>
      <c r="F1695">
        <v>173</v>
      </c>
      <c r="G1695" t="s">
        <v>619</v>
      </c>
      <c r="H1695">
        <v>173</v>
      </c>
      <c r="I1695" t="s">
        <v>2607</v>
      </c>
    </row>
    <row r="1696" spans="1:9" x14ac:dyDescent="0.25">
      <c r="A1696" s="91">
        <v>46124</v>
      </c>
      <c r="B1696" t="s">
        <v>2624</v>
      </c>
      <c r="C1696" t="s">
        <v>4056</v>
      </c>
      <c r="D1696" t="s">
        <v>3194</v>
      </c>
      <c r="E1696" t="s">
        <v>3195</v>
      </c>
      <c r="F1696">
        <v>3526</v>
      </c>
      <c r="G1696" t="s">
        <v>619</v>
      </c>
      <c r="H1696">
        <v>3526</v>
      </c>
      <c r="I1696" t="s">
        <v>2939</v>
      </c>
    </row>
    <row r="1697" spans="1:9" x14ac:dyDescent="0.25">
      <c r="A1697" s="91">
        <v>46124</v>
      </c>
      <c r="B1697" t="s">
        <v>2621</v>
      </c>
      <c r="C1697" t="s">
        <v>4057</v>
      </c>
      <c r="D1697" t="s">
        <v>2756</v>
      </c>
      <c r="E1697" t="s">
        <v>2757</v>
      </c>
      <c r="F1697">
        <v>4762</v>
      </c>
      <c r="G1697" t="s">
        <v>619</v>
      </c>
      <c r="H1697">
        <v>4762</v>
      </c>
      <c r="I1697" t="s">
        <v>2607</v>
      </c>
    </row>
    <row r="1698" spans="1:9" x14ac:dyDescent="0.25">
      <c r="A1698" s="91">
        <v>46124</v>
      </c>
      <c r="B1698" t="s">
        <v>2617</v>
      </c>
      <c r="C1698" t="s">
        <v>4058</v>
      </c>
      <c r="D1698">
        <v>5150010450</v>
      </c>
      <c r="E1698" t="s">
        <v>2619</v>
      </c>
      <c r="F1698">
        <v>2256</v>
      </c>
      <c r="G1698" t="s">
        <v>619</v>
      </c>
      <c r="H1698">
        <v>2256</v>
      </c>
      <c r="I1698" t="s">
        <v>2607</v>
      </c>
    </row>
    <row r="1699" spans="1:9" x14ac:dyDescent="0.25">
      <c r="A1699" s="91">
        <v>46125</v>
      </c>
      <c r="B1699" t="s">
        <v>2652</v>
      </c>
      <c r="C1699" t="s">
        <v>4059</v>
      </c>
      <c r="D1699" t="s">
        <v>988</v>
      </c>
      <c r="E1699" t="s">
        <v>989</v>
      </c>
      <c r="F1699">
        <v>22</v>
      </c>
      <c r="G1699" t="s">
        <v>622</v>
      </c>
      <c r="H1699">
        <v>22</v>
      </c>
      <c r="I1699" t="s">
        <v>2607</v>
      </c>
    </row>
    <row r="1700" spans="1:9" x14ac:dyDescent="0.25">
      <c r="A1700" s="91">
        <v>46125</v>
      </c>
      <c r="B1700" t="s">
        <v>2652</v>
      </c>
      <c r="C1700" t="s">
        <v>4060</v>
      </c>
      <c r="D1700" t="s">
        <v>980</v>
      </c>
      <c r="E1700" t="s">
        <v>981</v>
      </c>
      <c r="F1700">
        <v>22</v>
      </c>
      <c r="G1700" t="s">
        <v>622</v>
      </c>
      <c r="H1700">
        <v>22</v>
      </c>
      <c r="I1700" t="s">
        <v>2607</v>
      </c>
    </row>
    <row r="1701" spans="1:9" x14ac:dyDescent="0.25">
      <c r="A1701" s="91">
        <v>46125</v>
      </c>
      <c r="B1701" t="s">
        <v>2652</v>
      </c>
      <c r="C1701" t="s">
        <v>4061</v>
      </c>
      <c r="D1701" t="s">
        <v>954</v>
      </c>
      <c r="E1701" t="s">
        <v>955</v>
      </c>
      <c r="F1701">
        <v>44</v>
      </c>
      <c r="G1701" t="s">
        <v>622</v>
      </c>
      <c r="H1701">
        <v>44</v>
      </c>
      <c r="I1701" t="s">
        <v>2607</v>
      </c>
    </row>
    <row r="1702" spans="1:9" x14ac:dyDescent="0.25">
      <c r="A1702" s="91">
        <v>46125</v>
      </c>
      <c r="B1702" t="s">
        <v>2652</v>
      </c>
      <c r="C1702" t="s">
        <v>4062</v>
      </c>
      <c r="D1702" t="s">
        <v>990</v>
      </c>
      <c r="E1702" t="s">
        <v>991</v>
      </c>
      <c r="F1702">
        <v>22</v>
      </c>
      <c r="G1702" t="s">
        <v>622</v>
      </c>
      <c r="H1702">
        <v>22</v>
      </c>
      <c r="I1702" t="s">
        <v>2607</v>
      </c>
    </row>
    <row r="1703" spans="1:9" x14ac:dyDescent="0.25">
      <c r="A1703" s="91">
        <v>46125</v>
      </c>
      <c r="B1703" t="s">
        <v>2652</v>
      </c>
      <c r="C1703" t="s">
        <v>4063</v>
      </c>
      <c r="D1703" t="s">
        <v>968</v>
      </c>
      <c r="E1703" t="s">
        <v>969</v>
      </c>
      <c r="F1703">
        <v>22</v>
      </c>
      <c r="G1703" t="s">
        <v>622</v>
      </c>
      <c r="H1703">
        <v>22</v>
      </c>
      <c r="I1703" t="s">
        <v>2607</v>
      </c>
    </row>
    <row r="1704" spans="1:9" x14ac:dyDescent="0.25">
      <c r="A1704" s="91">
        <v>46125</v>
      </c>
      <c r="B1704" t="s">
        <v>2652</v>
      </c>
      <c r="C1704" t="s">
        <v>4064</v>
      </c>
      <c r="D1704" t="s">
        <v>966</v>
      </c>
      <c r="E1704" t="s">
        <v>967</v>
      </c>
      <c r="F1704">
        <v>22</v>
      </c>
      <c r="G1704" t="s">
        <v>622</v>
      </c>
      <c r="H1704">
        <v>22</v>
      </c>
      <c r="I1704" t="s">
        <v>2607</v>
      </c>
    </row>
    <row r="1705" spans="1:9" x14ac:dyDescent="0.25">
      <c r="A1705" s="91">
        <v>46125</v>
      </c>
      <c r="B1705" t="s">
        <v>2652</v>
      </c>
      <c r="C1705" t="s">
        <v>4065</v>
      </c>
      <c r="D1705" t="s">
        <v>956</v>
      </c>
      <c r="E1705" t="s">
        <v>957</v>
      </c>
      <c r="F1705">
        <v>44</v>
      </c>
      <c r="G1705" t="s">
        <v>622</v>
      </c>
      <c r="H1705">
        <v>44</v>
      </c>
      <c r="I1705" t="s">
        <v>2607</v>
      </c>
    </row>
    <row r="1706" spans="1:9" x14ac:dyDescent="0.25">
      <c r="A1706" s="91">
        <v>46125</v>
      </c>
      <c r="B1706" t="s">
        <v>81</v>
      </c>
      <c r="C1706" t="s">
        <v>4066</v>
      </c>
      <c r="D1706" t="s">
        <v>1066</v>
      </c>
      <c r="E1706" t="s">
        <v>1067</v>
      </c>
      <c r="F1706">
        <v>22</v>
      </c>
      <c r="G1706" t="s">
        <v>622</v>
      </c>
      <c r="H1706">
        <v>22</v>
      </c>
      <c r="I1706" t="s">
        <v>2607</v>
      </c>
    </row>
    <row r="1707" spans="1:9" x14ac:dyDescent="0.25">
      <c r="A1707" s="91">
        <v>46125</v>
      </c>
      <c r="B1707" t="s">
        <v>2652</v>
      </c>
      <c r="C1707" t="s">
        <v>4067</v>
      </c>
      <c r="D1707" t="s">
        <v>986</v>
      </c>
      <c r="E1707" t="s">
        <v>987</v>
      </c>
      <c r="F1707">
        <v>22</v>
      </c>
      <c r="G1707" t="s">
        <v>622</v>
      </c>
      <c r="H1707">
        <v>22</v>
      </c>
      <c r="I1707" t="s">
        <v>2607</v>
      </c>
    </row>
    <row r="1708" spans="1:9" x14ac:dyDescent="0.25">
      <c r="A1708" s="91">
        <v>46125</v>
      </c>
      <c r="B1708" t="s">
        <v>81</v>
      </c>
      <c r="C1708" t="s">
        <v>4068</v>
      </c>
      <c r="D1708" t="s">
        <v>1038</v>
      </c>
      <c r="E1708" t="s">
        <v>1039</v>
      </c>
      <c r="F1708">
        <v>44</v>
      </c>
      <c r="G1708" t="s">
        <v>622</v>
      </c>
      <c r="H1708">
        <v>44</v>
      </c>
      <c r="I1708" t="s">
        <v>2607</v>
      </c>
    </row>
    <row r="1709" spans="1:9" x14ac:dyDescent="0.25">
      <c r="A1709" s="91">
        <v>46125</v>
      </c>
      <c r="B1709" t="s">
        <v>81</v>
      </c>
      <c r="C1709" t="s">
        <v>4069</v>
      </c>
      <c r="D1709" t="s">
        <v>1048</v>
      </c>
      <c r="E1709" t="s">
        <v>1049</v>
      </c>
      <c r="F1709">
        <v>22</v>
      </c>
      <c r="G1709" t="s">
        <v>622</v>
      </c>
      <c r="H1709">
        <v>22</v>
      </c>
      <c r="I1709" t="s">
        <v>2607</v>
      </c>
    </row>
    <row r="1710" spans="1:9" x14ac:dyDescent="0.25">
      <c r="A1710" s="91">
        <v>46125</v>
      </c>
      <c r="B1710" t="s">
        <v>81</v>
      </c>
      <c r="C1710" t="s">
        <v>4070</v>
      </c>
      <c r="D1710" t="s">
        <v>1209</v>
      </c>
      <c r="E1710" t="s">
        <v>1210</v>
      </c>
      <c r="F1710">
        <v>4</v>
      </c>
      <c r="G1710" t="s">
        <v>622</v>
      </c>
      <c r="H1710">
        <v>4</v>
      </c>
      <c r="I1710" t="s">
        <v>2607</v>
      </c>
    </row>
    <row r="1711" spans="1:9" x14ac:dyDescent="0.25">
      <c r="A1711" s="91">
        <v>46125</v>
      </c>
      <c r="B1711" t="s">
        <v>81</v>
      </c>
      <c r="C1711" t="s">
        <v>4071</v>
      </c>
      <c r="D1711" t="s">
        <v>2850</v>
      </c>
      <c r="E1711" t="s">
        <v>2851</v>
      </c>
      <c r="F1711">
        <v>22</v>
      </c>
      <c r="G1711" t="s">
        <v>622</v>
      </c>
      <c r="H1711">
        <v>22</v>
      </c>
      <c r="I1711" t="s">
        <v>2607</v>
      </c>
    </row>
    <row r="1712" spans="1:9" x14ac:dyDescent="0.25">
      <c r="A1712" s="91">
        <v>46125</v>
      </c>
      <c r="B1712" t="s">
        <v>2652</v>
      </c>
      <c r="C1712" t="s">
        <v>4072</v>
      </c>
      <c r="D1712" t="s">
        <v>992</v>
      </c>
      <c r="E1712" t="s">
        <v>993</v>
      </c>
      <c r="F1712">
        <v>22</v>
      </c>
      <c r="G1712" t="s">
        <v>622</v>
      </c>
      <c r="H1712">
        <v>22</v>
      </c>
      <c r="I1712" t="s">
        <v>2607</v>
      </c>
    </row>
    <row r="1713" spans="1:9" x14ac:dyDescent="0.25">
      <c r="A1713" s="91">
        <v>46125</v>
      </c>
      <c r="B1713" t="s">
        <v>2652</v>
      </c>
      <c r="C1713" t="s">
        <v>4073</v>
      </c>
      <c r="D1713" t="s">
        <v>1095</v>
      </c>
      <c r="E1713" t="s">
        <v>1096</v>
      </c>
      <c r="F1713">
        <v>4</v>
      </c>
      <c r="G1713" t="s">
        <v>622</v>
      </c>
      <c r="H1713">
        <v>4</v>
      </c>
      <c r="I1713" t="s">
        <v>2607</v>
      </c>
    </row>
    <row r="1714" spans="1:9" x14ac:dyDescent="0.25">
      <c r="A1714" s="91">
        <v>46125</v>
      </c>
      <c r="B1714" t="s">
        <v>2652</v>
      </c>
      <c r="C1714" t="s">
        <v>4074</v>
      </c>
      <c r="D1714" t="s">
        <v>982</v>
      </c>
      <c r="E1714" t="s">
        <v>983</v>
      </c>
      <c r="F1714">
        <v>22</v>
      </c>
      <c r="G1714" t="s">
        <v>622</v>
      </c>
      <c r="H1714">
        <v>22</v>
      </c>
      <c r="I1714" t="s">
        <v>2607</v>
      </c>
    </row>
    <row r="1715" spans="1:9" x14ac:dyDescent="0.25">
      <c r="A1715" s="91">
        <v>46125</v>
      </c>
      <c r="B1715" t="s">
        <v>2652</v>
      </c>
      <c r="C1715" t="s">
        <v>4075</v>
      </c>
      <c r="D1715" t="s">
        <v>972</v>
      </c>
      <c r="E1715" t="s">
        <v>973</v>
      </c>
      <c r="F1715">
        <v>22</v>
      </c>
      <c r="G1715" t="s">
        <v>622</v>
      </c>
      <c r="H1715">
        <v>22</v>
      </c>
      <c r="I1715" t="s">
        <v>2607</v>
      </c>
    </row>
    <row r="1716" spans="1:9" x14ac:dyDescent="0.25">
      <c r="A1716" s="91">
        <v>46125</v>
      </c>
      <c r="B1716" t="s">
        <v>2614</v>
      </c>
      <c r="C1716" t="s">
        <v>4076</v>
      </c>
      <c r="D1716">
        <v>623739</v>
      </c>
      <c r="E1716" t="s">
        <v>4077</v>
      </c>
      <c r="F1716">
        <v>360</v>
      </c>
      <c r="G1716" t="s">
        <v>619</v>
      </c>
      <c r="H1716">
        <v>360</v>
      </c>
      <c r="I1716" t="s">
        <v>2607</v>
      </c>
    </row>
    <row r="1717" spans="1:9" x14ac:dyDescent="0.25">
      <c r="A1717" s="91">
        <v>46125</v>
      </c>
      <c r="B1717" t="s">
        <v>2617</v>
      </c>
      <c r="C1717" t="s">
        <v>4078</v>
      </c>
      <c r="D1717">
        <v>5150010450</v>
      </c>
      <c r="E1717" t="s">
        <v>2619</v>
      </c>
      <c r="F1717">
        <v>2256</v>
      </c>
      <c r="G1717" t="s">
        <v>619</v>
      </c>
      <c r="H1717">
        <v>2256</v>
      </c>
      <c r="I1717" t="s">
        <v>2607</v>
      </c>
    </row>
    <row r="1718" spans="1:9" x14ac:dyDescent="0.25">
      <c r="A1718" s="91">
        <v>46125</v>
      </c>
      <c r="B1718" t="s">
        <v>81</v>
      </c>
      <c r="C1718" t="s">
        <v>4079</v>
      </c>
      <c r="D1718" t="s">
        <v>1052</v>
      </c>
      <c r="E1718" t="s">
        <v>1053</v>
      </c>
      <c r="F1718">
        <v>22</v>
      </c>
      <c r="G1718" t="s">
        <v>622</v>
      </c>
      <c r="H1718">
        <v>22</v>
      </c>
      <c r="I1718" t="s">
        <v>2607</v>
      </c>
    </row>
    <row r="1719" spans="1:9" x14ac:dyDescent="0.25">
      <c r="A1719" s="91">
        <v>46125</v>
      </c>
      <c r="B1719" t="s">
        <v>2652</v>
      </c>
      <c r="C1719" t="s">
        <v>4080</v>
      </c>
      <c r="D1719" t="s">
        <v>978</v>
      </c>
      <c r="E1719" t="s">
        <v>979</v>
      </c>
      <c r="F1719">
        <v>46</v>
      </c>
      <c r="G1719" t="s">
        <v>622</v>
      </c>
      <c r="H1719">
        <v>46</v>
      </c>
      <c r="I1719" t="s">
        <v>2607</v>
      </c>
    </row>
    <row r="1720" spans="1:9" x14ac:dyDescent="0.25">
      <c r="A1720" s="91">
        <v>46125</v>
      </c>
      <c r="B1720" t="s">
        <v>2652</v>
      </c>
      <c r="C1720" t="s">
        <v>4081</v>
      </c>
      <c r="D1720" t="s">
        <v>964</v>
      </c>
      <c r="E1720" t="s">
        <v>965</v>
      </c>
      <c r="F1720">
        <v>44</v>
      </c>
      <c r="G1720" t="s">
        <v>622</v>
      </c>
      <c r="H1720">
        <v>44</v>
      </c>
      <c r="I1720" t="s">
        <v>2607</v>
      </c>
    </row>
    <row r="1721" spans="1:9" x14ac:dyDescent="0.25">
      <c r="A1721" s="91">
        <v>46125</v>
      </c>
      <c r="B1721" t="s">
        <v>2652</v>
      </c>
      <c r="C1721" t="s">
        <v>4082</v>
      </c>
      <c r="D1721" t="s">
        <v>960</v>
      </c>
      <c r="E1721" t="s">
        <v>961</v>
      </c>
      <c r="F1721">
        <v>44</v>
      </c>
      <c r="G1721" t="s">
        <v>622</v>
      </c>
      <c r="H1721">
        <v>44</v>
      </c>
      <c r="I1721" t="s">
        <v>2607</v>
      </c>
    </row>
    <row r="1722" spans="1:9" x14ac:dyDescent="0.25">
      <c r="A1722" s="91">
        <v>46125</v>
      </c>
      <c r="B1722" t="s">
        <v>2652</v>
      </c>
      <c r="C1722" t="s">
        <v>4083</v>
      </c>
      <c r="D1722" t="s">
        <v>970</v>
      </c>
      <c r="E1722" t="s">
        <v>971</v>
      </c>
      <c r="F1722">
        <v>22</v>
      </c>
      <c r="G1722" t="s">
        <v>622</v>
      </c>
      <c r="H1722">
        <v>22</v>
      </c>
      <c r="I1722" t="s">
        <v>2607</v>
      </c>
    </row>
    <row r="1723" spans="1:9" x14ac:dyDescent="0.25">
      <c r="A1723" s="91">
        <v>46125</v>
      </c>
      <c r="B1723" t="s">
        <v>2652</v>
      </c>
      <c r="C1723" t="s">
        <v>4084</v>
      </c>
      <c r="D1723" t="s">
        <v>1097</v>
      </c>
      <c r="E1723" t="s">
        <v>1098</v>
      </c>
      <c r="F1723">
        <v>4</v>
      </c>
      <c r="G1723" t="s">
        <v>622</v>
      </c>
      <c r="H1723">
        <v>4</v>
      </c>
      <c r="I1723" t="s">
        <v>2607</v>
      </c>
    </row>
    <row r="1724" spans="1:9" x14ac:dyDescent="0.25">
      <c r="A1724" s="91">
        <v>46125</v>
      </c>
      <c r="B1724" t="s">
        <v>2652</v>
      </c>
      <c r="C1724" t="s">
        <v>4085</v>
      </c>
      <c r="D1724" t="s">
        <v>962</v>
      </c>
      <c r="E1724" t="s">
        <v>963</v>
      </c>
      <c r="F1724">
        <v>44</v>
      </c>
      <c r="G1724" t="s">
        <v>622</v>
      </c>
      <c r="H1724">
        <v>44</v>
      </c>
      <c r="I1724" t="s">
        <v>2607</v>
      </c>
    </row>
    <row r="1725" spans="1:9" x14ac:dyDescent="0.25">
      <c r="A1725" s="91">
        <v>46125</v>
      </c>
      <c r="B1725" t="s">
        <v>2652</v>
      </c>
      <c r="C1725" t="s">
        <v>4086</v>
      </c>
      <c r="D1725" t="s">
        <v>958</v>
      </c>
      <c r="E1725" t="s">
        <v>959</v>
      </c>
      <c r="F1725">
        <v>44</v>
      </c>
      <c r="G1725" t="s">
        <v>622</v>
      </c>
      <c r="H1725">
        <v>44</v>
      </c>
      <c r="I1725" t="s">
        <v>2607</v>
      </c>
    </row>
    <row r="1726" spans="1:9" x14ac:dyDescent="0.25">
      <c r="A1726" s="91">
        <v>46125</v>
      </c>
      <c r="B1726" t="s">
        <v>2652</v>
      </c>
      <c r="C1726" t="s">
        <v>4087</v>
      </c>
      <c r="D1726" t="s">
        <v>984</v>
      </c>
      <c r="E1726" t="s">
        <v>985</v>
      </c>
      <c r="F1726">
        <v>22</v>
      </c>
      <c r="G1726" t="s">
        <v>622</v>
      </c>
      <c r="H1726">
        <v>22</v>
      </c>
      <c r="I1726" t="s">
        <v>2607</v>
      </c>
    </row>
    <row r="1727" spans="1:9" x14ac:dyDescent="0.25">
      <c r="A1727" s="91">
        <v>46125</v>
      </c>
      <c r="B1727" t="s">
        <v>2652</v>
      </c>
      <c r="C1727" t="s">
        <v>4088</v>
      </c>
      <c r="D1727" t="s">
        <v>1101</v>
      </c>
      <c r="E1727" t="s">
        <v>1102</v>
      </c>
      <c r="F1727">
        <v>4</v>
      </c>
      <c r="G1727" t="s">
        <v>622</v>
      </c>
      <c r="H1727">
        <v>4</v>
      </c>
      <c r="I1727" t="s">
        <v>2607</v>
      </c>
    </row>
    <row r="1728" spans="1:9" x14ac:dyDescent="0.25">
      <c r="A1728" s="91">
        <v>46125</v>
      </c>
      <c r="B1728" t="s">
        <v>2652</v>
      </c>
      <c r="C1728" t="s">
        <v>4089</v>
      </c>
      <c r="D1728" t="s">
        <v>1078</v>
      </c>
      <c r="E1728" t="s">
        <v>1079</v>
      </c>
      <c r="F1728">
        <v>44</v>
      </c>
      <c r="G1728" t="s">
        <v>622</v>
      </c>
      <c r="H1728">
        <v>44</v>
      </c>
      <c r="I1728" t="s">
        <v>2607</v>
      </c>
    </row>
    <row r="1729" spans="1:9" x14ac:dyDescent="0.25">
      <c r="A1729" s="91">
        <v>46125</v>
      </c>
      <c r="B1729" t="s">
        <v>2652</v>
      </c>
      <c r="C1729" t="s">
        <v>4090</v>
      </c>
      <c r="D1729" t="s">
        <v>1099</v>
      </c>
      <c r="E1729" t="s">
        <v>1100</v>
      </c>
      <c r="F1729">
        <v>4</v>
      </c>
      <c r="G1729" t="s">
        <v>622</v>
      </c>
      <c r="H1729">
        <v>4</v>
      </c>
      <c r="I1729" t="s">
        <v>2607</v>
      </c>
    </row>
    <row r="1730" spans="1:9" x14ac:dyDescent="0.25">
      <c r="A1730" s="91">
        <v>46125</v>
      </c>
      <c r="B1730" t="s">
        <v>2652</v>
      </c>
      <c r="C1730" t="s">
        <v>4091</v>
      </c>
      <c r="D1730" t="s">
        <v>974</v>
      </c>
      <c r="E1730" t="s">
        <v>975</v>
      </c>
      <c r="F1730">
        <v>22</v>
      </c>
      <c r="G1730" t="s">
        <v>622</v>
      </c>
      <c r="H1730">
        <v>22</v>
      </c>
      <c r="I1730" t="s">
        <v>2607</v>
      </c>
    </row>
    <row r="1731" spans="1:9" x14ac:dyDescent="0.25">
      <c r="A1731" s="91">
        <v>46125</v>
      </c>
      <c r="B1731" t="s">
        <v>81</v>
      </c>
      <c r="C1731" t="s">
        <v>4092</v>
      </c>
      <c r="D1731" t="s">
        <v>1042</v>
      </c>
      <c r="E1731" t="s">
        <v>1043</v>
      </c>
      <c r="F1731">
        <v>44</v>
      </c>
      <c r="G1731" t="s">
        <v>622</v>
      </c>
      <c r="H1731">
        <v>44</v>
      </c>
      <c r="I1731" t="s">
        <v>2607</v>
      </c>
    </row>
    <row r="1732" spans="1:9" x14ac:dyDescent="0.25">
      <c r="A1732" s="91">
        <v>46125</v>
      </c>
      <c r="B1732" t="s">
        <v>2652</v>
      </c>
      <c r="C1732" t="s">
        <v>4093</v>
      </c>
      <c r="D1732" t="s">
        <v>976</v>
      </c>
      <c r="E1732" t="s">
        <v>977</v>
      </c>
      <c r="F1732">
        <v>22</v>
      </c>
      <c r="G1732" t="s">
        <v>622</v>
      </c>
      <c r="H1732">
        <v>22</v>
      </c>
      <c r="I1732" t="s">
        <v>2607</v>
      </c>
    </row>
    <row r="1733" spans="1:9" x14ac:dyDescent="0.25">
      <c r="A1733" s="91">
        <v>46125</v>
      </c>
      <c r="B1733" t="s">
        <v>81</v>
      </c>
      <c r="C1733" t="s">
        <v>4094</v>
      </c>
      <c r="D1733" t="s">
        <v>2830</v>
      </c>
      <c r="E1733" t="s">
        <v>2831</v>
      </c>
      <c r="F1733">
        <v>22</v>
      </c>
      <c r="G1733" t="s">
        <v>622</v>
      </c>
      <c r="H1733">
        <v>22</v>
      </c>
      <c r="I1733" t="s">
        <v>2607</v>
      </c>
    </row>
    <row r="1734" spans="1:9" x14ac:dyDescent="0.25">
      <c r="A1734" s="91">
        <v>46125</v>
      </c>
      <c r="B1734">
        <v>7002</v>
      </c>
      <c r="C1734" t="s">
        <v>4095</v>
      </c>
      <c r="D1734">
        <v>907013</v>
      </c>
      <c r="E1734" t="s">
        <v>3041</v>
      </c>
      <c r="F1734">
        <v>174</v>
      </c>
      <c r="G1734" t="s">
        <v>619</v>
      </c>
      <c r="H1734">
        <v>174</v>
      </c>
      <c r="I1734" t="s">
        <v>2607</v>
      </c>
    </row>
    <row r="1735" spans="1:9" x14ac:dyDescent="0.25">
      <c r="A1735" s="91">
        <v>46125</v>
      </c>
      <c r="B1735" t="s">
        <v>688</v>
      </c>
      <c r="C1735" t="s">
        <v>4096</v>
      </c>
      <c r="D1735">
        <v>7746</v>
      </c>
      <c r="E1735" t="s">
        <v>692</v>
      </c>
      <c r="F1735">
        <v>68000</v>
      </c>
      <c r="G1735" t="s">
        <v>622</v>
      </c>
      <c r="H1735">
        <v>68000</v>
      </c>
      <c r="I1735" t="s">
        <v>2633</v>
      </c>
    </row>
    <row r="1736" spans="1:9" x14ac:dyDescent="0.25">
      <c r="A1736" s="91">
        <v>46125</v>
      </c>
      <c r="B1736" t="s">
        <v>682</v>
      </c>
      <c r="C1736" t="s">
        <v>4097</v>
      </c>
      <c r="D1736" t="s">
        <v>806</v>
      </c>
      <c r="E1736" t="s">
        <v>807</v>
      </c>
      <c r="F1736">
        <v>28000</v>
      </c>
      <c r="G1736" t="s">
        <v>622</v>
      </c>
      <c r="H1736">
        <v>28000</v>
      </c>
      <c r="I1736" t="s">
        <v>2633</v>
      </c>
    </row>
    <row r="1737" spans="1:9" x14ac:dyDescent="0.25">
      <c r="A1737" s="91">
        <v>46125</v>
      </c>
      <c r="B1737" t="s">
        <v>712</v>
      </c>
      <c r="C1737" t="s">
        <v>4098</v>
      </c>
      <c r="D1737">
        <v>8031</v>
      </c>
      <c r="E1737" t="s">
        <v>816</v>
      </c>
      <c r="F1737">
        <v>50000</v>
      </c>
      <c r="G1737" t="s">
        <v>622</v>
      </c>
      <c r="H1737">
        <v>50000</v>
      </c>
      <c r="I1737" t="s">
        <v>2607</v>
      </c>
    </row>
    <row r="1738" spans="1:9" x14ac:dyDescent="0.25">
      <c r="A1738" s="91">
        <v>46125</v>
      </c>
      <c r="B1738" t="s">
        <v>81</v>
      </c>
      <c r="C1738" t="s">
        <v>4099</v>
      </c>
      <c r="D1738" t="s">
        <v>1032</v>
      </c>
      <c r="E1738" t="s">
        <v>1033</v>
      </c>
      <c r="F1738">
        <v>44</v>
      </c>
      <c r="G1738" t="s">
        <v>622</v>
      </c>
      <c r="H1738">
        <v>44</v>
      </c>
      <c r="I1738" t="s">
        <v>2607</v>
      </c>
    </row>
    <row r="1739" spans="1:9" x14ac:dyDescent="0.25">
      <c r="A1739" s="91">
        <v>46125</v>
      </c>
      <c r="B1739" t="s">
        <v>2621</v>
      </c>
      <c r="C1739" t="s">
        <v>4100</v>
      </c>
      <c r="D1739" t="s">
        <v>2639</v>
      </c>
      <c r="E1739" t="s">
        <v>2640</v>
      </c>
      <c r="F1739">
        <v>4762</v>
      </c>
      <c r="G1739" t="s">
        <v>619</v>
      </c>
      <c r="H1739">
        <v>4762</v>
      </c>
      <c r="I1739" t="s">
        <v>2607</v>
      </c>
    </row>
    <row r="1740" spans="1:9" x14ac:dyDescent="0.25">
      <c r="A1740" s="91">
        <v>46125</v>
      </c>
      <c r="B1740" t="s">
        <v>693</v>
      </c>
      <c r="C1740" t="s">
        <v>4101</v>
      </c>
      <c r="D1740" t="s">
        <v>3811</v>
      </c>
      <c r="E1740" t="s">
        <v>3812</v>
      </c>
      <c r="F1740">
        <v>9120</v>
      </c>
      <c r="G1740" t="s">
        <v>619</v>
      </c>
      <c r="H1740">
        <v>9120</v>
      </c>
      <c r="I1740" t="s">
        <v>2607</v>
      </c>
    </row>
    <row r="1741" spans="1:9" x14ac:dyDescent="0.25">
      <c r="A1741" s="91">
        <v>46125</v>
      </c>
      <c r="B1741" t="s">
        <v>693</v>
      </c>
      <c r="C1741" t="s">
        <v>4102</v>
      </c>
      <c r="D1741" t="s">
        <v>3803</v>
      </c>
      <c r="E1741" t="s">
        <v>3804</v>
      </c>
      <c r="F1741">
        <v>9120</v>
      </c>
      <c r="G1741" t="s">
        <v>619</v>
      </c>
      <c r="H1741">
        <v>9120</v>
      </c>
      <c r="I1741" t="s">
        <v>2607</v>
      </c>
    </row>
    <row r="1742" spans="1:9" x14ac:dyDescent="0.25">
      <c r="A1742" s="91">
        <v>46125</v>
      </c>
      <c r="B1742" t="s">
        <v>2736</v>
      </c>
      <c r="C1742" t="s">
        <v>4103</v>
      </c>
      <c r="D1742" t="s">
        <v>2140</v>
      </c>
      <c r="E1742" t="s">
        <v>2141</v>
      </c>
      <c r="F1742">
        <v>2000</v>
      </c>
      <c r="G1742" t="s">
        <v>622</v>
      </c>
      <c r="H1742">
        <v>2000</v>
      </c>
      <c r="I1742" t="s">
        <v>2607</v>
      </c>
    </row>
    <row r="1743" spans="1:9" x14ac:dyDescent="0.25">
      <c r="A1743" s="91">
        <v>46125</v>
      </c>
      <c r="B1743" t="s">
        <v>2665</v>
      </c>
      <c r="C1743" t="s">
        <v>4104</v>
      </c>
      <c r="D1743" t="s">
        <v>2536</v>
      </c>
      <c r="E1743" t="s">
        <v>3332</v>
      </c>
      <c r="F1743">
        <v>400</v>
      </c>
      <c r="G1743" t="s">
        <v>619</v>
      </c>
      <c r="H1743">
        <v>400</v>
      </c>
      <c r="I1743" t="s">
        <v>2607</v>
      </c>
    </row>
    <row r="1744" spans="1:9" x14ac:dyDescent="0.25">
      <c r="A1744" s="91">
        <v>46125</v>
      </c>
      <c r="B1744" t="s">
        <v>2665</v>
      </c>
      <c r="C1744" t="s">
        <v>4105</v>
      </c>
      <c r="D1744" t="s">
        <v>994</v>
      </c>
      <c r="E1744" t="s">
        <v>2916</v>
      </c>
      <c r="F1744">
        <v>4500</v>
      </c>
      <c r="G1744" t="s">
        <v>619</v>
      </c>
      <c r="H1744">
        <v>4500</v>
      </c>
      <c r="I1744" t="s">
        <v>2607</v>
      </c>
    </row>
    <row r="1745" spans="1:9" x14ac:dyDescent="0.25">
      <c r="A1745" s="91">
        <v>46125</v>
      </c>
      <c r="B1745" t="s">
        <v>685</v>
      </c>
      <c r="C1745" t="s">
        <v>4106</v>
      </c>
      <c r="D1745">
        <v>7373</v>
      </c>
      <c r="E1745" t="s">
        <v>783</v>
      </c>
      <c r="F1745">
        <v>25000</v>
      </c>
      <c r="G1745" t="s">
        <v>622</v>
      </c>
      <c r="H1745">
        <v>25000</v>
      </c>
      <c r="I1745" t="s">
        <v>2633</v>
      </c>
    </row>
    <row r="1746" spans="1:9" x14ac:dyDescent="0.25">
      <c r="A1746" s="91">
        <v>46125</v>
      </c>
      <c r="B1746" t="s">
        <v>2606</v>
      </c>
      <c r="C1746" t="s">
        <v>4107</v>
      </c>
      <c r="D1746" t="s">
        <v>1401</v>
      </c>
      <c r="E1746" t="s">
        <v>2061</v>
      </c>
      <c r="F1746">
        <v>7300</v>
      </c>
      <c r="G1746" t="s">
        <v>619</v>
      </c>
      <c r="H1746">
        <v>7300</v>
      </c>
      <c r="I1746" t="s">
        <v>2607</v>
      </c>
    </row>
    <row r="1747" spans="1:9" x14ac:dyDescent="0.25">
      <c r="A1747" s="91">
        <v>46125</v>
      </c>
      <c r="B1747" t="s">
        <v>2608</v>
      </c>
      <c r="C1747" t="s">
        <v>4108</v>
      </c>
      <c r="D1747">
        <v>7046</v>
      </c>
      <c r="E1747" t="s">
        <v>1110</v>
      </c>
      <c r="F1747">
        <v>105000</v>
      </c>
      <c r="G1747" t="s">
        <v>622</v>
      </c>
      <c r="H1747">
        <v>105000</v>
      </c>
      <c r="I1747" t="s">
        <v>2609</v>
      </c>
    </row>
    <row r="1748" spans="1:9" x14ac:dyDescent="0.25">
      <c r="A1748" s="91">
        <v>46125</v>
      </c>
      <c r="B1748" t="s">
        <v>2610</v>
      </c>
      <c r="C1748" t="s">
        <v>4109</v>
      </c>
      <c r="D1748">
        <v>517660</v>
      </c>
      <c r="E1748" t="s">
        <v>2215</v>
      </c>
      <c r="F1748">
        <v>14585</v>
      </c>
      <c r="G1748" t="s">
        <v>619</v>
      </c>
      <c r="H1748">
        <v>14585</v>
      </c>
      <c r="I1748" t="s">
        <v>2607</v>
      </c>
    </row>
    <row r="1749" spans="1:9" x14ac:dyDescent="0.25">
      <c r="A1749" s="91">
        <v>46125</v>
      </c>
      <c r="B1749" t="s">
        <v>2624</v>
      </c>
      <c r="C1749" t="s">
        <v>4110</v>
      </c>
      <c r="D1749" t="s">
        <v>3194</v>
      </c>
      <c r="E1749" t="s">
        <v>3195</v>
      </c>
      <c r="F1749">
        <v>3284</v>
      </c>
      <c r="G1749" t="s">
        <v>619</v>
      </c>
      <c r="H1749">
        <v>3284</v>
      </c>
      <c r="I1749" t="s">
        <v>2939</v>
      </c>
    </row>
    <row r="1750" spans="1:9" x14ac:dyDescent="0.25">
      <c r="A1750" s="91">
        <v>46125</v>
      </c>
      <c r="B1750" t="s">
        <v>81</v>
      </c>
      <c r="C1750" t="s">
        <v>4111</v>
      </c>
      <c r="D1750" t="s">
        <v>2822</v>
      </c>
      <c r="E1750" t="s">
        <v>2823</v>
      </c>
      <c r="F1750">
        <v>22</v>
      </c>
      <c r="G1750" t="s">
        <v>622</v>
      </c>
      <c r="H1750">
        <v>22</v>
      </c>
      <c r="I1750" t="s">
        <v>2607</v>
      </c>
    </row>
    <row r="1751" spans="1:9" x14ac:dyDescent="0.25">
      <c r="A1751" s="91">
        <v>46125</v>
      </c>
      <c r="B1751" t="s">
        <v>81</v>
      </c>
      <c r="C1751" t="s">
        <v>4112</v>
      </c>
      <c r="D1751" t="s">
        <v>1034</v>
      </c>
      <c r="E1751" t="s">
        <v>1035</v>
      </c>
      <c r="F1751">
        <v>44</v>
      </c>
      <c r="G1751" t="s">
        <v>622</v>
      </c>
      <c r="H1751">
        <v>44</v>
      </c>
      <c r="I1751" t="s">
        <v>2607</v>
      </c>
    </row>
    <row r="1752" spans="1:9" x14ac:dyDescent="0.25">
      <c r="A1752" s="91">
        <v>46125</v>
      </c>
      <c r="B1752" t="s">
        <v>81</v>
      </c>
      <c r="C1752" t="s">
        <v>4113</v>
      </c>
      <c r="D1752" t="s">
        <v>1030</v>
      </c>
      <c r="E1752" t="s">
        <v>1031</v>
      </c>
      <c r="F1752">
        <v>44</v>
      </c>
      <c r="G1752" t="s">
        <v>622</v>
      </c>
      <c r="H1752">
        <v>44</v>
      </c>
      <c r="I1752" t="s">
        <v>2607</v>
      </c>
    </row>
    <row r="1753" spans="1:9" x14ac:dyDescent="0.25">
      <c r="A1753" s="91">
        <v>46125</v>
      </c>
      <c r="B1753" t="s">
        <v>81</v>
      </c>
      <c r="C1753" t="s">
        <v>4114</v>
      </c>
      <c r="D1753" t="s">
        <v>1058</v>
      </c>
      <c r="E1753" t="s">
        <v>1059</v>
      </c>
      <c r="F1753">
        <v>22</v>
      </c>
      <c r="G1753" t="s">
        <v>622</v>
      </c>
      <c r="H1753">
        <v>22</v>
      </c>
      <c r="I1753" t="s">
        <v>2607</v>
      </c>
    </row>
    <row r="1754" spans="1:9" x14ac:dyDescent="0.25">
      <c r="A1754" s="91">
        <v>46125</v>
      </c>
      <c r="B1754" t="s">
        <v>81</v>
      </c>
      <c r="C1754" t="s">
        <v>4115</v>
      </c>
      <c r="D1754" t="s">
        <v>1046</v>
      </c>
      <c r="E1754" t="s">
        <v>1047</v>
      </c>
      <c r="F1754">
        <v>22</v>
      </c>
      <c r="G1754" t="s">
        <v>622</v>
      </c>
      <c r="H1754">
        <v>22</v>
      </c>
      <c r="I1754" t="s">
        <v>2607</v>
      </c>
    </row>
    <row r="1755" spans="1:9" x14ac:dyDescent="0.25">
      <c r="A1755" s="91">
        <v>46125</v>
      </c>
      <c r="B1755" t="s">
        <v>81</v>
      </c>
      <c r="C1755" t="s">
        <v>4116</v>
      </c>
      <c r="D1755" t="s">
        <v>1054</v>
      </c>
      <c r="E1755" t="s">
        <v>1055</v>
      </c>
      <c r="F1755">
        <v>22</v>
      </c>
      <c r="G1755" t="s">
        <v>622</v>
      </c>
      <c r="H1755">
        <v>22</v>
      </c>
      <c r="I1755" t="s">
        <v>2607</v>
      </c>
    </row>
    <row r="1756" spans="1:9" x14ac:dyDescent="0.25">
      <c r="A1756" s="91">
        <v>46125</v>
      </c>
      <c r="B1756" t="s">
        <v>81</v>
      </c>
      <c r="C1756" t="s">
        <v>4117</v>
      </c>
      <c r="D1756" t="s">
        <v>1056</v>
      </c>
      <c r="E1756" t="s">
        <v>1057</v>
      </c>
      <c r="F1756">
        <v>46</v>
      </c>
      <c r="G1756" t="s">
        <v>622</v>
      </c>
      <c r="H1756">
        <v>46</v>
      </c>
      <c r="I1756" t="s">
        <v>2607</v>
      </c>
    </row>
    <row r="1757" spans="1:9" x14ac:dyDescent="0.25">
      <c r="A1757" s="91">
        <v>46125</v>
      </c>
      <c r="B1757" t="s">
        <v>81</v>
      </c>
      <c r="C1757" t="s">
        <v>4118</v>
      </c>
      <c r="D1757" t="s">
        <v>1062</v>
      </c>
      <c r="E1757" t="s">
        <v>1063</v>
      </c>
      <c r="F1757">
        <v>22</v>
      </c>
      <c r="G1757" t="s">
        <v>622</v>
      </c>
      <c r="H1757">
        <v>22</v>
      </c>
      <c r="I1757" t="s">
        <v>2607</v>
      </c>
    </row>
    <row r="1758" spans="1:9" x14ac:dyDescent="0.25">
      <c r="A1758" s="91">
        <v>46125</v>
      </c>
      <c r="B1758" t="s">
        <v>81</v>
      </c>
      <c r="C1758" t="s">
        <v>4119</v>
      </c>
      <c r="D1758" t="s">
        <v>1212</v>
      </c>
      <c r="E1758" t="s">
        <v>1213</v>
      </c>
      <c r="F1758">
        <v>4</v>
      </c>
      <c r="G1758" t="s">
        <v>622</v>
      </c>
      <c r="H1758">
        <v>4</v>
      </c>
      <c r="I1758" t="s">
        <v>2607</v>
      </c>
    </row>
    <row r="1759" spans="1:9" x14ac:dyDescent="0.25">
      <c r="A1759" s="91">
        <v>46125</v>
      </c>
      <c r="B1759" t="s">
        <v>81</v>
      </c>
      <c r="C1759" t="s">
        <v>4120</v>
      </c>
      <c r="D1759" t="s">
        <v>1050</v>
      </c>
      <c r="E1759" t="s">
        <v>1051</v>
      </c>
      <c r="F1759">
        <v>22</v>
      </c>
      <c r="G1759" t="s">
        <v>622</v>
      </c>
      <c r="H1759">
        <v>22</v>
      </c>
      <c r="I1759" t="s">
        <v>2607</v>
      </c>
    </row>
    <row r="1760" spans="1:9" x14ac:dyDescent="0.25">
      <c r="A1760" s="91">
        <v>46125</v>
      </c>
      <c r="B1760" t="s">
        <v>81</v>
      </c>
      <c r="C1760" t="s">
        <v>4121</v>
      </c>
      <c r="D1760" t="s">
        <v>1036</v>
      </c>
      <c r="E1760" t="s">
        <v>1037</v>
      </c>
      <c r="F1760">
        <v>44</v>
      </c>
      <c r="G1760" t="s">
        <v>622</v>
      </c>
      <c r="H1760">
        <v>44</v>
      </c>
      <c r="I1760" t="s">
        <v>2607</v>
      </c>
    </row>
    <row r="1761" spans="1:9" x14ac:dyDescent="0.25">
      <c r="A1761" s="91">
        <v>46125</v>
      </c>
      <c r="B1761" t="s">
        <v>81</v>
      </c>
      <c r="C1761" t="s">
        <v>4122</v>
      </c>
      <c r="D1761" t="s">
        <v>1218</v>
      </c>
      <c r="E1761" t="s">
        <v>1219</v>
      </c>
      <c r="F1761">
        <v>4</v>
      </c>
      <c r="G1761" t="s">
        <v>622</v>
      </c>
      <c r="H1761">
        <v>4</v>
      </c>
      <c r="I1761" t="s">
        <v>2607</v>
      </c>
    </row>
    <row r="1762" spans="1:9" x14ac:dyDescent="0.25">
      <c r="A1762" s="91">
        <v>46125</v>
      </c>
      <c r="B1762" t="s">
        <v>81</v>
      </c>
      <c r="C1762" t="s">
        <v>4123</v>
      </c>
      <c r="D1762" t="s">
        <v>1064</v>
      </c>
      <c r="E1762" t="s">
        <v>1065</v>
      </c>
      <c r="F1762">
        <v>22</v>
      </c>
      <c r="G1762" t="s">
        <v>622</v>
      </c>
      <c r="H1762">
        <v>22</v>
      </c>
      <c r="I1762" t="s">
        <v>2607</v>
      </c>
    </row>
    <row r="1763" spans="1:9" x14ac:dyDescent="0.25">
      <c r="A1763" s="91">
        <v>46125</v>
      </c>
      <c r="B1763" t="s">
        <v>81</v>
      </c>
      <c r="C1763" t="s">
        <v>4124</v>
      </c>
      <c r="D1763" t="s">
        <v>1215</v>
      </c>
      <c r="E1763" t="s">
        <v>1216</v>
      </c>
      <c r="F1763">
        <v>4</v>
      </c>
      <c r="G1763" t="s">
        <v>622</v>
      </c>
      <c r="H1763">
        <v>4</v>
      </c>
      <c r="I1763" t="s">
        <v>2607</v>
      </c>
    </row>
    <row r="1764" spans="1:9" x14ac:dyDescent="0.25">
      <c r="A1764" s="91">
        <v>46125</v>
      </c>
      <c r="B1764" t="s">
        <v>81</v>
      </c>
      <c r="C1764" t="s">
        <v>4125</v>
      </c>
      <c r="D1764" t="s">
        <v>1060</v>
      </c>
      <c r="E1764" t="s">
        <v>1061</v>
      </c>
      <c r="F1764">
        <v>22</v>
      </c>
      <c r="G1764" t="s">
        <v>622</v>
      </c>
      <c r="H1764">
        <v>22</v>
      </c>
      <c r="I1764" t="s">
        <v>2607</v>
      </c>
    </row>
    <row r="1765" spans="1:9" x14ac:dyDescent="0.25">
      <c r="A1765" s="91">
        <v>46125</v>
      </c>
      <c r="B1765" t="s">
        <v>81</v>
      </c>
      <c r="C1765" t="s">
        <v>4126</v>
      </c>
      <c r="D1765" t="s">
        <v>1040</v>
      </c>
      <c r="E1765" t="s">
        <v>1041</v>
      </c>
      <c r="F1765">
        <v>44</v>
      </c>
      <c r="G1765" t="s">
        <v>622</v>
      </c>
      <c r="H1765">
        <v>44</v>
      </c>
      <c r="I1765" t="s">
        <v>2607</v>
      </c>
    </row>
    <row r="1766" spans="1:9" x14ac:dyDescent="0.25">
      <c r="A1766" s="91">
        <v>46126</v>
      </c>
      <c r="B1766" t="s">
        <v>2614</v>
      </c>
      <c r="C1766" t="s">
        <v>4127</v>
      </c>
      <c r="D1766">
        <v>623739</v>
      </c>
      <c r="E1766" t="s">
        <v>4077</v>
      </c>
      <c r="F1766">
        <v>360</v>
      </c>
      <c r="G1766" t="s">
        <v>619</v>
      </c>
      <c r="H1766">
        <v>360</v>
      </c>
      <c r="I1766" t="s">
        <v>2607</v>
      </c>
    </row>
    <row r="1767" spans="1:9" x14ac:dyDescent="0.25">
      <c r="A1767" s="91">
        <v>46126</v>
      </c>
      <c r="B1767" t="s">
        <v>2665</v>
      </c>
      <c r="C1767" t="s">
        <v>4128</v>
      </c>
      <c r="D1767" t="s">
        <v>1105</v>
      </c>
      <c r="E1767" t="s">
        <v>2934</v>
      </c>
      <c r="F1767">
        <v>400</v>
      </c>
      <c r="G1767" t="s">
        <v>619</v>
      </c>
      <c r="H1767">
        <v>400</v>
      </c>
      <c r="I1767" t="s">
        <v>2607</v>
      </c>
    </row>
    <row r="1768" spans="1:9" x14ac:dyDescent="0.25">
      <c r="A1768" s="91">
        <v>46126</v>
      </c>
      <c r="B1768" t="s">
        <v>2617</v>
      </c>
      <c r="C1768" t="s">
        <v>4129</v>
      </c>
      <c r="D1768">
        <v>5150010450</v>
      </c>
      <c r="E1768" t="s">
        <v>2619</v>
      </c>
      <c r="F1768">
        <v>2256</v>
      </c>
      <c r="G1768" t="s">
        <v>619</v>
      </c>
      <c r="H1768">
        <v>2256</v>
      </c>
      <c r="I1768" t="s">
        <v>2607</v>
      </c>
    </row>
    <row r="1769" spans="1:9" x14ac:dyDescent="0.25">
      <c r="A1769" s="91">
        <v>46126</v>
      </c>
      <c r="B1769" t="s">
        <v>2610</v>
      </c>
      <c r="C1769" t="s">
        <v>4130</v>
      </c>
      <c r="D1769">
        <v>517660</v>
      </c>
      <c r="E1769" t="s">
        <v>2215</v>
      </c>
      <c r="F1769">
        <v>14585</v>
      </c>
      <c r="G1769" t="s">
        <v>619</v>
      </c>
      <c r="H1769">
        <v>14585</v>
      </c>
      <c r="I1769" t="s">
        <v>2607</v>
      </c>
    </row>
    <row r="1770" spans="1:9" x14ac:dyDescent="0.25">
      <c r="A1770" s="91">
        <v>46126</v>
      </c>
      <c r="B1770" t="s">
        <v>2606</v>
      </c>
      <c r="C1770" t="s">
        <v>4131</v>
      </c>
      <c r="D1770" t="s">
        <v>1401</v>
      </c>
      <c r="E1770" t="s">
        <v>2061</v>
      </c>
      <c r="F1770">
        <v>7300</v>
      </c>
      <c r="G1770" t="s">
        <v>619</v>
      </c>
      <c r="H1770">
        <v>7300</v>
      </c>
      <c r="I1770" t="s">
        <v>2607</v>
      </c>
    </row>
    <row r="1771" spans="1:9" x14ac:dyDescent="0.25">
      <c r="A1771" s="91">
        <v>46126</v>
      </c>
      <c r="B1771" t="s">
        <v>2606</v>
      </c>
      <c r="C1771" t="s">
        <v>4132</v>
      </c>
      <c r="D1771">
        <v>7037</v>
      </c>
      <c r="E1771" t="s">
        <v>632</v>
      </c>
      <c r="F1771">
        <v>105000</v>
      </c>
      <c r="G1771" t="s">
        <v>622</v>
      </c>
      <c r="H1771">
        <v>105000</v>
      </c>
      <c r="I1771" t="s">
        <v>2609</v>
      </c>
    </row>
    <row r="1772" spans="1:9" x14ac:dyDescent="0.25">
      <c r="A1772" s="91">
        <v>46126</v>
      </c>
      <c r="B1772" t="s">
        <v>685</v>
      </c>
      <c r="C1772" t="s">
        <v>4133</v>
      </c>
      <c r="D1772">
        <v>7373</v>
      </c>
      <c r="E1772" t="s">
        <v>783</v>
      </c>
      <c r="F1772">
        <v>25000</v>
      </c>
      <c r="G1772" t="s">
        <v>622</v>
      </c>
      <c r="H1772">
        <v>25000</v>
      </c>
      <c r="I1772" t="s">
        <v>2633</v>
      </c>
    </row>
    <row r="1773" spans="1:9" x14ac:dyDescent="0.25">
      <c r="A1773" s="91">
        <v>46126</v>
      </c>
      <c r="B1773" t="s">
        <v>2665</v>
      </c>
      <c r="C1773" t="s">
        <v>4134</v>
      </c>
      <c r="D1773" t="s">
        <v>1104</v>
      </c>
      <c r="E1773" t="s">
        <v>2952</v>
      </c>
      <c r="F1773">
        <v>4500</v>
      </c>
      <c r="G1773" t="s">
        <v>619</v>
      </c>
      <c r="H1773">
        <v>4500</v>
      </c>
      <c r="I1773" t="s">
        <v>2607</v>
      </c>
    </row>
    <row r="1774" spans="1:9" x14ac:dyDescent="0.25">
      <c r="A1774" s="91">
        <v>46126</v>
      </c>
      <c r="B1774" t="s">
        <v>2736</v>
      </c>
      <c r="C1774" t="s">
        <v>4135</v>
      </c>
      <c r="D1774" t="s">
        <v>1114</v>
      </c>
      <c r="E1774" t="s">
        <v>1115</v>
      </c>
      <c r="F1774">
        <v>5400</v>
      </c>
      <c r="G1774" t="s">
        <v>622</v>
      </c>
      <c r="H1774">
        <v>5400</v>
      </c>
      <c r="I1774" t="s">
        <v>2607</v>
      </c>
    </row>
    <row r="1775" spans="1:9" x14ac:dyDescent="0.25">
      <c r="A1775" s="91">
        <v>46126</v>
      </c>
      <c r="B1775" t="s">
        <v>712</v>
      </c>
      <c r="C1775" t="s">
        <v>4136</v>
      </c>
      <c r="D1775">
        <v>8031</v>
      </c>
      <c r="E1775" t="s">
        <v>816</v>
      </c>
      <c r="F1775">
        <v>50000</v>
      </c>
      <c r="G1775" t="s">
        <v>622</v>
      </c>
      <c r="H1775">
        <v>50000</v>
      </c>
      <c r="I1775" t="s">
        <v>2607</v>
      </c>
    </row>
    <row r="1776" spans="1:9" x14ac:dyDescent="0.25">
      <c r="A1776" s="91">
        <v>46126</v>
      </c>
      <c r="B1776" t="s">
        <v>2621</v>
      </c>
      <c r="C1776" t="s">
        <v>4137</v>
      </c>
      <c r="D1776" t="s">
        <v>2650</v>
      </c>
      <c r="E1776" t="s">
        <v>2651</v>
      </c>
      <c r="F1776">
        <v>800</v>
      </c>
      <c r="G1776" t="s">
        <v>619</v>
      </c>
      <c r="H1776">
        <v>800</v>
      </c>
      <c r="I1776" t="s">
        <v>2607</v>
      </c>
    </row>
    <row r="1777" spans="1:9" x14ac:dyDescent="0.25">
      <c r="A1777" s="91">
        <v>46126</v>
      </c>
      <c r="B1777" t="s">
        <v>2621</v>
      </c>
      <c r="C1777" t="s">
        <v>4138</v>
      </c>
      <c r="D1777" t="s">
        <v>2643</v>
      </c>
      <c r="E1777" t="s">
        <v>2644</v>
      </c>
      <c r="F1777">
        <v>800</v>
      </c>
      <c r="G1777" t="s">
        <v>619</v>
      </c>
      <c r="H1777">
        <v>800</v>
      </c>
      <c r="I1777" t="s">
        <v>2607</v>
      </c>
    </row>
    <row r="1778" spans="1:9" x14ac:dyDescent="0.25">
      <c r="A1778" s="91">
        <v>46126</v>
      </c>
      <c r="B1778" t="s">
        <v>2624</v>
      </c>
      <c r="C1778" t="s">
        <v>4139</v>
      </c>
      <c r="D1778" t="s">
        <v>3194</v>
      </c>
      <c r="E1778" t="s">
        <v>3195</v>
      </c>
      <c r="F1778">
        <v>3225</v>
      </c>
      <c r="G1778" t="s">
        <v>619</v>
      </c>
      <c r="H1778">
        <v>3225</v>
      </c>
      <c r="I1778" t="s">
        <v>2939</v>
      </c>
    </row>
    <row r="1779" spans="1:9" x14ac:dyDescent="0.25">
      <c r="A1779" s="91">
        <v>46126</v>
      </c>
      <c r="B1779" t="s">
        <v>679</v>
      </c>
      <c r="C1779" t="s">
        <v>4140</v>
      </c>
      <c r="D1779">
        <v>7212</v>
      </c>
      <c r="E1779" t="s">
        <v>681</v>
      </c>
      <c r="F1779">
        <v>85000</v>
      </c>
      <c r="G1779" t="s">
        <v>622</v>
      </c>
      <c r="H1779">
        <v>85000</v>
      </c>
      <c r="I1779" t="s">
        <v>2633</v>
      </c>
    </row>
    <row r="1780" spans="1:9" x14ac:dyDescent="0.25">
      <c r="A1780" s="91">
        <v>46126</v>
      </c>
      <c r="B1780" t="s">
        <v>682</v>
      </c>
      <c r="C1780" t="s">
        <v>4141</v>
      </c>
      <c r="D1780">
        <v>7302</v>
      </c>
      <c r="E1780" t="s">
        <v>768</v>
      </c>
      <c r="F1780">
        <v>27000</v>
      </c>
      <c r="G1780" t="s">
        <v>622</v>
      </c>
      <c r="H1780">
        <v>27000</v>
      </c>
      <c r="I1780" t="s">
        <v>2633</v>
      </c>
    </row>
    <row r="1781" spans="1:9" x14ac:dyDescent="0.25">
      <c r="A1781" s="91">
        <v>46126</v>
      </c>
      <c r="B1781" t="s">
        <v>688</v>
      </c>
      <c r="C1781" t="s">
        <v>4142</v>
      </c>
      <c r="D1781">
        <v>7746</v>
      </c>
      <c r="E1781" t="s">
        <v>692</v>
      </c>
      <c r="F1781">
        <v>68000</v>
      </c>
      <c r="G1781" t="s">
        <v>622</v>
      </c>
      <c r="H1781">
        <v>68000</v>
      </c>
      <c r="I1781" t="s">
        <v>2633</v>
      </c>
    </row>
    <row r="1782" spans="1:9" x14ac:dyDescent="0.25">
      <c r="A1782" s="91">
        <v>46126</v>
      </c>
      <c r="B1782">
        <v>7002</v>
      </c>
      <c r="C1782" t="s">
        <v>4143</v>
      </c>
      <c r="D1782">
        <v>907013</v>
      </c>
      <c r="E1782" t="s">
        <v>3041</v>
      </c>
      <c r="F1782">
        <v>174</v>
      </c>
      <c r="G1782" t="s">
        <v>619</v>
      </c>
      <c r="H1782">
        <v>174</v>
      </c>
      <c r="I1782" t="s">
        <v>2607</v>
      </c>
    </row>
    <row r="1783" spans="1:9" x14ac:dyDescent="0.25">
      <c r="A1783" s="91">
        <v>46126</v>
      </c>
      <c r="B1783" t="s">
        <v>715</v>
      </c>
      <c r="C1783" t="s">
        <v>4144</v>
      </c>
      <c r="D1783">
        <v>7185</v>
      </c>
      <c r="E1783" t="s">
        <v>717</v>
      </c>
      <c r="F1783">
        <v>55000</v>
      </c>
      <c r="G1783" t="s">
        <v>622</v>
      </c>
      <c r="H1783">
        <v>55000</v>
      </c>
      <c r="I1783" t="s">
        <v>2633</v>
      </c>
    </row>
    <row r="1784" spans="1:9" x14ac:dyDescent="0.25">
      <c r="A1784" s="91">
        <v>46127</v>
      </c>
      <c r="B1784" t="s">
        <v>2614</v>
      </c>
      <c r="C1784" t="s">
        <v>4145</v>
      </c>
      <c r="D1784">
        <v>623739</v>
      </c>
      <c r="E1784" t="s">
        <v>4077</v>
      </c>
      <c r="F1784">
        <v>360</v>
      </c>
      <c r="G1784" t="s">
        <v>619</v>
      </c>
      <c r="H1784">
        <v>360</v>
      </c>
      <c r="I1784" t="s">
        <v>2607</v>
      </c>
    </row>
    <row r="1785" spans="1:9" x14ac:dyDescent="0.25">
      <c r="A1785" s="91">
        <v>46127</v>
      </c>
      <c r="B1785" t="s">
        <v>2617</v>
      </c>
      <c r="C1785" t="s">
        <v>4146</v>
      </c>
      <c r="D1785">
        <v>5150010450</v>
      </c>
      <c r="E1785" t="s">
        <v>2619</v>
      </c>
      <c r="F1785">
        <v>2256</v>
      </c>
      <c r="G1785" t="s">
        <v>619</v>
      </c>
      <c r="H1785">
        <v>2256</v>
      </c>
      <c r="I1785" t="s">
        <v>2607</v>
      </c>
    </row>
    <row r="1786" spans="1:9" x14ac:dyDescent="0.25">
      <c r="A1786" s="91">
        <v>46127</v>
      </c>
      <c r="B1786" t="s">
        <v>2610</v>
      </c>
      <c r="C1786" t="s">
        <v>4147</v>
      </c>
      <c r="D1786">
        <v>517660</v>
      </c>
      <c r="E1786" t="s">
        <v>2215</v>
      </c>
      <c r="F1786">
        <v>14585</v>
      </c>
      <c r="G1786" t="s">
        <v>619</v>
      </c>
      <c r="H1786">
        <v>14585</v>
      </c>
      <c r="I1786" t="s">
        <v>2607</v>
      </c>
    </row>
    <row r="1787" spans="1:9" x14ac:dyDescent="0.25">
      <c r="A1787" s="91">
        <v>46127</v>
      </c>
      <c r="B1787" t="s">
        <v>2608</v>
      </c>
      <c r="C1787" t="s">
        <v>4148</v>
      </c>
      <c r="D1787">
        <v>7154</v>
      </c>
      <c r="E1787" t="s">
        <v>631</v>
      </c>
      <c r="F1787">
        <v>95000</v>
      </c>
      <c r="G1787" t="s">
        <v>622</v>
      </c>
      <c r="H1787">
        <v>95000</v>
      </c>
      <c r="I1787" t="s">
        <v>2609</v>
      </c>
    </row>
    <row r="1788" spans="1:9" x14ac:dyDescent="0.25">
      <c r="A1788" s="91">
        <v>46127</v>
      </c>
      <c r="B1788" t="s">
        <v>2606</v>
      </c>
      <c r="C1788" t="s">
        <v>4149</v>
      </c>
      <c r="D1788" t="s">
        <v>1401</v>
      </c>
      <c r="E1788" t="s">
        <v>2061</v>
      </c>
      <c r="F1788">
        <v>7300</v>
      </c>
      <c r="G1788" t="s">
        <v>619</v>
      </c>
      <c r="H1788">
        <v>7300</v>
      </c>
      <c r="I1788" t="s">
        <v>2607</v>
      </c>
    </row>
    <row r="1789" spans="1:9" x14ac:dyDescent="0.25">
      <c r="A1789" s="91">
        <v>46127</v>
      </c>
      <c r="B1789" t="s">
        <v>685</v>
      </c>
      <c r="C1789" t="s">
        <v>4150</v>
      </c>
      <c r="D1789">
        <v>7373</v>
      </c>
      <c r="E1789" t="s">
        <v>783</v>
      </c>
      <c r="F1789">
        <v>25000</v>
      </c>
      <c r="G1789" t="s">
        <v>622</v>
      </c>
      <c r="H1789">
        <v>25000</v>
      </c>
      <c r="I1789" t="s">
        <v>2633</v>
      </c>
    </row>
    <row r="1790" spans="1:9" x14ac:dyDescent="0.25">
      <c r="A1790" s="91">
        <v>46127</v>
      </c>
      <c r="B1790" t="s">
        <v>2665</v>
      </c>
      <c r="C1790" t="s">
        <v>4151</v>
      </c>
      <c r="D1790" t="s">
        <v>4152</v>
      </c>
      <c r="E1790" t="s">
        <v>4153</v>
      </c>
      <c r="F1790">
        <v>116</v>
      </c>
      <c r="G1790" t="s">
        <v>619</v>
      </c>
      <c r="H1790">
        <v>116</v>
      </c>
      <c r="I1790" t="s">
        <v>2607</v>
      </c>
    </row>
    <row r="1791" spans="1:9" x14ac:dyDescent="0.25">
      <c r="A1791" s="91">
        <v>46127</v>
      </c>
      <c r="B1791" t="s">
        <v>2624</v>
      </c>
      <c r="C1791" t="s">
        <v>4154</v>
      </c>
      <c r="D1791" t="s">
        <v>3194</v>
      </c>
      <c r="E1791" t="s">
        <v>3195</v>
      </c>
      <c r="F1791">
        <v>3225</v>
      </c>
      <c r="G1791" t="s">
        <v>619</v>
      </c>
      <c r="H1791">
        <v>3225</v>
      </c>
      <c r="I1791" t="s">
        <v>2939</v>
      </c>
    </row>
    <row r="1792" spans="1:9" x14ac:dyDescent="0.25">
      <c r="A1792" s="91">
        <v>46127</v>
      </c>
      <c r="B1792" t="s">
        <v>2736</v>
      </c>
      <c r="C1792" t="s">
        <v>4155</v>
      </c>
      <c r="D1792" t="s">
        <v>1114</v>
      </c>
      <c r="E1792" t="s">
        <v>1115</v>
      </c>
      <c r="F1792">
        <v>5400</v>
      </c>
      <c r="G1792" t="s">
        <v>622</v>
      </c>
      <c r="H1792">
        <v>5400</v>
      </c>
      <c r="I1792" t="s">
        <v>2607</v>
      </c>
    </row>
    <row r="1793" spans="1:9" x14ac:dyDescent="0.25">
      <c r="A1793" s="91">
        <v>46127</v>
      </c>
      <c r="B1793" t="s">
        <v>712</v>
      </c>
      <c r="C1793" t="s">
        <v>4156</v>
      </c>
      <c r="D1793">
        <v>8031</v>
      </c>
      <c r="E1793" t="s">
        <v>816</v>
      </c>
      <c r="F1793">
        <v>50000</v>
      </c>
      <c r="G1793" t="s">
        <v>622</v>
      </c>
      <c r="H1793">
        <v>50000</v>
      </c>
      <c r="I1793" t="s">
        <v>2607</v>
      </c>
    </row>
    <row r="1794" spans="1:9" x14ac:dyDescent="0.25">
      <c r="A1794" s="91">
        <v>46127</v>
      </c>
      <c r="B1794" t="s">
        <v>679</v>
      </c>
      <c r="C1794" t="s">
        <v>4157</v>
      </c>
      <c r="D1794">
        <v>7212</v>
      </c>
      <c r="E1794" t="s">
        <v>681</v>
      </c>
      <c r="F1794">
        <v>85000</v>
      </c>
      <c r="G1794" t="s">
        <v>622</v>
      </c>
      <c r="H1794">
        <v>85000</v>
      </c>
      <c r="I1794" t="s">
        <v>2633</v>
      </c>
    </row>
    <row r="1795" spans="1:9" x14ac:dyDescent="0.25">
      <c r="A1795" s="91">
        <v>46127</v>
      </c>
      <c r="B1795" t="s">
        <v>682</v>
      </c>
      <c r="C1795" t="s">
        <v>4158</v>
      </c>
      <c r="D1795" t="s">
        <v>806</v>
      </c>
      <c r="E1795" t="s">
        <v>807</v>
      </c>
      <c r="F1795">
        <v>28000</v>
      </c>
      <c r="G1795" t="s">
        <v>622</v>
      </c>
      <c r="H1795">
        <v>28000</v>
      </c>
      <c r="I1795" t="s">
        <v>2633</v>
      </c>
    </row>
    <row r="1796" spans="1:9" x14ac:dyDescent="0.25">
      <c r="A1796" s="91">
        <v>46127</v>
      </c>
      <c r="B1796" t="s">
        <v>688</v>
      </c>
      <c r="C1796" t="s">
        <v>4159</v>
      </c>
      <c r="D1796">
        <v>7746</v>
      </c>
      <c r="E1796" t="s">
        <v>692</v>
      </c>
      <c r="F1796">
        <v>68000</v>
      </c>
      <c r="G1796" t="s">
        <v>622</v>
      </c>
      <c r="H1796">
        <v>68000</v>
      </c>
      <c r="I1796" t="s">
        <v>2633</v>
      </c>
    </row>
    <row r="1797" spans="1:9" x14ac:dyDescent="0.25">
      <c r="A1797" s="91">
        <v>46127</v>
      </c>
      <c r="B1797">
        <v>7002</v>
      </c>
      <c r="C1797" t="s">
        <v>4160</v>
      </c>
      <c r="D1797">
        <v>907013</v>
      </c>
      <c r="E1797" t="s">
        <v>3041</v>
      </c>
      <c r="F1797">
        <v>174</v>
      </c>
      <c r="G1797" t="s">
        <v>619</v>
      </c>
      <c r="H1797">
        <v>174</v>
      </c>
      <c r="I1797" t="s">
        <v>2607</v>
      </c>
    </row>
    <row r="1798" spans="1:9" x14ac:dyDescent="0.25">
      <c r="A1798" s="91">
        <v>46127</v>
      </c>
      <c r="B1798" t="s">
        <v>2665</v>
      </c>
      <c r="C1798" t="s">
        <v>4161</v>
      </c>
      <c r="D1798" t="s">
        <v>916</v>
      </c>
      <c r="E1798" t="s">
        <v>2666</v>
      </c>
      <c r="F1798">
        <v>6500</v>
      </c>
      <c r="G1798" t="s">
        <v>619</v>
      </c>
      <c r="H1798">
        <v>6500</v>
      </c>
      <c r="I1798" t="s">
        <v>2607</v>
      </c>
    </row>
    <row r="1799" spans="1:9" x14ac:dyDescent="0.25">
      <c r="A1799" s="91">
        <v>46128</v>
      </c>
      <c r="B1799" t="s">
        <v>2610</v>
      </c>
      <c r="C1799" t="s">
        <v>4162</v>
      </c>
      <c r="D1799">
        <v>517700</v>
      </c>
      <c r="E1799" t="s">
        <v>1397</v>
      </c>
      <c r="F1799">
        <v>14585</v>
      </c>
      <c r="G1799" t="s">
        <v>619</v>
      </c>
      <c r="H1799">
        <v>14585</v>
      </c>
      <c r="I1799" t="s">
        <v>2607</v>
      </c>
    </row>
    <row r="1800" spans="1:9" x14ac:dyDescent="0.25">
      <c r="A1800" s="91">
        <v>46128</v>
      </c>
      <c r="B1800" t="s">
        <v>2606</v>
      </c>
      <c r="C1800" t="s">
        <v>4163</v>
      </c>
      <c r="D1800">
        <v>7019</v>
      </c>
      <c r="E1800" t="s">
        <v>1108</v>
      </c>
      <c r="F1800">
        <v>95000</v>
      </c>
      <c r="G1800" t="s">
        <v>622</v>
      </c>
      <c r="H1800">
        <v>95000</v>
      </c>
      <c r="I1800" t="s">
        <v>2609</v>
      </c>
    </row>
    <row r="1801" spans="1:9" x14ac:dyDescent="0.25">
      <c r="A1801" s="91">
        <v>46128</v>
      </c>
      <c r="B1801" t="s">
        <v>2606</v>
      </c>
      <c r="C1801" t="s">
        <v>4164</v>
      </c>
      <c r="D1801" t="s">
        <v>1401</v>
      </c>
      <c r="E1801" t="s">
        <v>2061</v>
      </c>
      <c r="F1801">
        <v>7300</v>
      </c>
      <c r="G1801" t="s">
        <v>619</v>
      </c>
      <c r="H1801">
        <v>7300</v>
      </c>
      <c r="I1801" t="s">
        <v>2607</v>
      </c>
    </row>
    <row r="1802" spans="1:9" x14ac:dyDescent="0.25">
      <c r="A1802" s="91">
        <v>46128</v>
      </c>
      <c r="B1802" t="s">
        <v>685</v>
      </c>
      <c r="C1802" t="s">
        <v>4165</v>
      </c>
      <c r="D1802">
        <v>7373</v>
      </c>
      <c r="E1802" t="s">
        <v>783</v>
      </c>
      <c r="F1802">
        <v>25000</v>
      </c>
      <c r="G1802" t="s">
        <v>622</v>
      </c>
      <c r="H1802">
        <v>25000</v>
      </c>
      <c r="I1802" t="s">
        <v>2633</v>
      </c>
    </row>
    <row r="1803" spans="1:9" x14ac:dyDescent="0.25">
      <c r="A1803" s="91">
        <v>46128</v>
      </c>
      <c r="B1803" t="s">
        <v>2665</v>
      </c>
      <c r="C1803" t="s">
        <v>4166</v>
      </c>
      <c r="D1803" t="s">
        <v>4167</v>
      </c>
      <c r="E1803" t="s">
        <v>4168</v>
      </c>
      <c r="F1803">
        <v>116</v>
      </c>
      <c r="G1803" t="s">
        <v>619</v>
      </c>
      <c r="H1803">
        <v>116</v>
      </c>
      <c r="I1803" t="s">
        <v>2607</v>
      </c>
    </row>
    <row r="1804" spans="1:9" x14ac:dyDescent="0.25">
      <c r="A1804" s="91">
        <v>46128</v>
      </c>
      <c r="B1804" t="s">
        <v>2665</v>
      </c>
      <c r="C1804" t="s">
        <v>4169</v>
      </c>
      <c r="D1804" t="s">
        <v>1405</v>
      </c>
      <c r="E1804" t="s">
        <v>2709</v>
      </c>
      <c r="F1804">
        <v>6500</v>
      </c>
      <c r="G1804" t="s">
        <v>619</v>
      </c>
      <c r="H1804">
        <v>6500</v>
      </c>
      <c r="I1804" t="s">
        <v>2607</v>
      </c>
    </row>
    <row r="1805" spans="1:9" x14ac:dyDescent="0.25">
      <c r="A1805" s="91">
        <v>46128</v>
      </c>
      <c r="B1805" t="s">
        <v>2736</v>
      </c>
      <c r="C1805" t="s">
        <v>4170</v>
      </c>
      <c r="D1805" t="s">
        <v>1114</v>
      </c>
      <c r="E1805" t="s">
        <v>1115</v>
      </c>
      <c r="F1805">
        <v>5400</v>
      </c>
      <c r="G1805" t="s">
        <v>622</v>
      </c>
      <c r="H1805">
        <v>5400</v>
      </c>
      <c r="I1805" t="s">
        <v>2607</v>
      </c>
    </row>
    <row r="1806" spans="1:9" x14ac:dyDescent="0.25">
      <c r="A1806" s="91">
        <v>46128</v>
      </c>
      <c r="B1806" t="s">
        <v>2624</v>
      </c>
      <c r="C1806" t="s">
        <v>4171</v>
      </c>
      <c r="D1806">
        <v>936002</v>
      </c>
      <c r="E1806" t="s">
        <v>4172</v>
      </c>
      <c r="F1806">
        <v>1506</v>
      </c>
      <c r="G1806" t="s">
        <v>619</v>
      </c>
      <c r="H1806">
        <v>1506</v>
      </c>
      <c r="I1806" t="s">
        <v>2607</v>
      </c>
    </row>
    <row r="1807" spans="1:9" x14ac:dyDescent="0.25">
      <c r="A1807" s="91">
        <v>46128</v>
      </c>
      <c r="B1807" t="s">
        <v>712</v>
      </c>
      <c r="C1807" t="s">
        <v>4173</v>
      </c>
      <c r="D1807">
        <v>8031</v>
      </c>
      <c r="E1807" t="s">
        <v>816</v>
      </c>
      <c r="F1807">
        <v>50000</v>
      </c>
      <c r="G1807" t="s">
        <v>622</v>
      </c>
      <c r="H1807">
        <v>50000</v>
      </c>
      <c r="I1807" t="s">
        <v>2607</v>
      </c>
    </row>
    <row r="1808" spans="1:9" x14ac:dyDescent="0.25">
      <c r="A1808" s="91">
        <v>46128</v>
      </c>
      <c r="B1808" t="s">
        <v>688</v>
      </c>
      <c r="C1808" t="s">
        <v>4174</v>
      </c>
      <c r="D1808">
        <v>7746</v>
      </c>
      <c r="E1808" t="s">
        <v>692</v>
      </c>
      <c r="F1808">
        <v>68000</v>
      </c>
      <c r="G1808" t="s">
        <v>622</v>
      </c>
      <c r="H1808">
        <v>68000</v>
      </c>
      <c r="I1808" t="s">
        <v>2633</v>
      </c>
    </row>
    <row r="1809" spans="1:9" x14ac:dyDescent="0.25">
      <c r="A1809" s="91">
        <v>46128</v>
      </c>
      <c r="B1809">
        <v>7002</v>
      </c>
      <c r="C1809" t="s">
        <v>4175</v>
      </c>
      <c r="D1809">
        <v>907013</v>
      </c>
      <c r="E1809" t="s">
        <v>3041</v>
      </c>
      <c r="F1809">
        <v>174</v>
      </c>
      <c r="G1809" t="s">
        <v>619</v>
      </c>
      <c r="H1809">
        <v>174</v>
      </c>
      <c r="I1809" t="s">
        <v>2607</v>
      </c>
    </row>
    <row r="1810" spans="1:9" x14ac:dyDescent="0.25">
      <c r="A1810" s="91">
        <v>46129</v>
      </c>
      <c r="B1810">
        <v>7002</v>
      </c>
      <c r="C1810" t="s">
        <v>4176</v>
      </c>
      <c r="D1810">
        <v>907013</v>
      </c>
      <c r="E1810" t="s">
        <v>3041</v>
      </c>
      <c r="F1810">
        <v>174</v>
      </c>
      <c r="G1810" t="s">
        <v>619</v>
      </c>
      <c r="H1810">
        <v>174</v>
      </c>
      <c r="I1810" t="s">
        <v>2607</v>
      </c>
    </row>
    <row r="1811" spans="1:9" x14ac:dyDescent="0.25">
      <c r="A1811" s="91">
        <v>46129</v>
      </c>
      <c r="B1811" t="s">
        <v>2624</v>
      </c>
      <c r="C1811" t="s">
        <v>4177</v>
      </c>
      <c r="D1811">
        <v>936002</v>
      </c>
      <c r="E1811" t="s">
        <v>4172</v>
      </c>
      <c r="F1811">
        <v>1506</v>
      </c>
      <c r="G1811" t="s">
        <v>619</v>
      </c>
      <c r="H1811">
        <v>1506</v>
      </c>
      <c r="I1811" t="s">
        <v>2607</v>
      </c>
    </row>
    <row r="1812" spans="1:9" x14ac:dyDescent="0.25">
      <c r="A1812" s="91">
        <v>46129</v>
      </c>
      <c r="B1812" t="s">
        <v>2736</v>
      </c>
      <c r="C1812" t="s">
        <v>4178</v>
      </c>
      <c r="D1812" t="s">
        <v>1114</v>
      </c>
      <c r="E1812" t="s">
        <v>1115</v>
      </c>
      <c r="F1812">
        <v>4500</v>
      </c>
      <c r="G1812" t="s">
        <v>622</v>
      </c>
      <c r="H1812">
        <v>4500</v>
      </c>
      <c r="I1812" t="s">
        <v>2607</v>
      </c>
    </row>
    <row r="1813" spans="1:9" x14ac:dyDescent="0.25">
      <c r="A1813" s="91">
        <v>46129</v>
      </c>
      <c r="B1813" t="s">
        <v>2665</v>
      </c>
      <c r="C1813" t="s">
        <v>4179</v>
      </c>
      <c r="D1813" t="s">
        <v>626</v>
      </c>
      <c r="E1813" t="s">
        <v>2845</v>
      </c>
      <c r="F1813">
        <v>4500</v>
      </c>
      <c r="G1813" t="s">
        <v>619</v>
      </c>
      <c r="H1813">
        <v>4500</v>
      </c>
      <c r="I1813" t="s">
        <v>2607</v>
      </c>
    </row>
    <row r="1814" spans="1:9" x14ac:dyDescent="0.25">
      <c r="A1814" s="91">
        <v>46129</v>
      </c>
      <c r="B1814" t="s">
        <v>2665</v>
      </c>
      <c r="C1814" t="s">
        <v>4180</v>
      </c>
      <c r="D1814" t="s">
        <v>627</v>
      </c>
      <c r="E1814" t="s">
        <v>2846</v>
      </c>
      <c r="F1814">
        <v>400</v>
      </c>
      <c r="G1814" t="s">
        <v>619</v>
      </c>
      <c r="H1814">
        <v>400</v>
      </c>
      <c r="I1814" t="s">
        <v>2607</v>
      </c>
    </row>
    <row r="1815" spans="1:9" x14ac:dyDescent="0.25">
      <c r="A1815" s="91">
        <v>46129</v>
      </c>
      <c r="B1815" t="s">
        <v>2606</v>
      </c>
      <c r="C1815" t="s">
        <v>4181</v>
      </c>
      <c r="D1815" t="s">
        <v>918</v>
      </c>
      <c r="E1815" t="s">
        <v>4182</v>
      </c>
      <c r="F1815">
        <v>7300</v>
      </c>
      <c r="G1815" t="s">
        <v>619</v>
      </c>
      <c r="H1815">
        <v>7300</v>
      </c>
      <c r="I1815" t="s">
        <v>2607</v>
      </c>
    </row>
    <row r="1816" spans="1:9" x14ac:dyDescent="0.25">
      <c r="A1816" s="91">
        <v>46129</v>
      </c>
      <c r="B1816" t="s">
        <v>2608</v>
      </c>
      <c r="C1816" t="s">
        <v>4183</v>
      </c>
      <c r="D1816">
        <v>79502</v>
      </c>
      <c r="E1816" t="s">
        <v>885</v>
      </c>
      <c r="F1816">
        <v>105000</v>
      </c>
      <c r="G1816" t="s">
        <v>622</v>
      </c>
      <c r="H1816">
        <v>105000</v>
      </c>
      <c r="I1816" t="s">
        <v>2609</v>
      </c>
    </row>
    <row r="1817" spans="1:9" x14ac:dyDescent="0.25">
      <c r="A1817" s="91">
        <v>46129</v>
      </c>
      <c r="B1817" t="s">
        <v>2610</v>
      </c>
      <c r="C1817" t="s">
        <v>4184</v>
      </c>
      <c r="D1817">
        <v>517700</v>
      </c>
      <c r="E1817" t="s">
        <v>1397</v>
      </c>
      <c r="F1817">
        <v>14585</v>
      </c>
      <c r="G1817" t="s">
        <v>619</v>
      </c>
      <c r="H1817">
        <v>14585</v>
      </c>
      <c r="I1817" t="s">
        <v>2607</v>
      </c>
    </row>
    <row r="1818" spans="1:9" x14ac:dyDescent="0.25">
      <c r="A1818" s="91">
        <v>46130</v>
      </c>
      <c r="B1818" t="s">
        <v>2610</v>
      </c>
      <c r="C1818" t="s">
        <v>4185</v>
      </c>
      <c r="D1818">
        <v>519220</v>
      </c>
      <c r="E1818" t="s">
        <v>4186</v>
      </c>
      <c r="F1818">
        <v>14585</v>
      </c>
      <c r="G1818" t="s">
        <v>619</v>
      </c>
      <c r="H1818">
        <v>14585</v>
      </c>
      <c r="I1818" t="s">
        <v>2607</v>
      </c>
    </row>
    <row r="1819" spans="1:9" x14ac:dyDescent="0.25">
      <c r="A1819" s="91">
        <v>46130</v>
      </c>
      <c r="B1819" t="s">
        <v>2606</v>
      </c>
      <c r="C1819" t="s">
        <v>4187</v>
      </c>
      <c r="D1819" t="s">
        <v>4188</v>
      </c>
      <c r="E1819" t="s">
        <v>4189</v>
      </c>
      <c r="F1819">
        <v>7300</v>
      </c>
      <c r="G1819" t="s">
        <v>619</v>
      </c>
      <c r="H1819">
        <v>7300</v>
      </c>
      <c r="I1819" t="s">
        <v>2607</v>
      </c>
    </row>
    <row r="1820" spans="1:9" x14ac:dyDescent="0.25">
      <c r="A1820" s="91">
        <v>46132</v>
      </c>
      <c r="B1820" t="s">
        <v>685</v>
      </c>
      <c r="C1820" t="s">
        <v>4190</v>
      </c>
      <c r="D1820">
        <v>7373</v>
      </c>
      <c r="E1820" t="s">
        <v>783</v>
      </c>
      <c r="F1820">
        <v>25000</v>
      </c>
      <c r="G1820" t="s">
        <v>622</v>
      </c>
      <c r="H1820">
        <v>25000</v>
      </c>
      <c r="I1820" t="s">
        <v>2633</v>
      </c>
    </row>
    <row r="1821" spans="1:9" x14ac:dyDescent="0.25">
      <c r="A1821" s="91">
        <v>46132</v>
      </c>
      <c r="B1821" t="s">
        <v>2614</v>
      </c>
      <c r="C1821" t="s">
        <v>4191</v>
      </c>
      <c r="D1821">
        <v>623281</v>
      </c>
      <c r="E1821" t="s">
        <v>2635</v>
      </c>
      <c r="F1821">
        <v>788</v>
      </c>
      <c r="G1821" t="s">
        <v>619</v>
      </c>
      <c r="H1821">
        <v>788</v>
      </c>
      <c r="I1821" t="s">
        <v>2607</v>
      </c>
    </row>
    <row r="1822" spans="1:9" x14ac:dyDescent="0.25">
      <c r="A1822" s="91">
        <v>46132</v>
      </c>
      <c r="B1822" t="s">
        <v>2610</v>
      </c>
      <c r="C1822" t="s">
        <v>4192</v>
      </c>
      <c r="D1822">
        <v>523080</v>
      </c>
      <c r="E1822" t="s">
        <v>4193</v>
      </c>
      <c r="F1822">
        <v>14585</v>
      </c>
      <c r="G1822" t="s">
        <v>619</v>
      </c>
      <c r="H1822">
        <v>14585</v>
      </c>
      <c r="I1822" t="s">
        <v>2607</v>
      </c>
    </row>
    <row r="1823" spans="1:9" x14ac:dyDescent="0.25">
      <c r="A1823" s="91">
        <v>46132</v>
      </c>
      <c r="B1823" t="s">
        <v>2608</v>
      </c>
      <c r="C1823" t="s">
        <v>4194</v>
      </c>
      <c r="D1823">
        <v>79500</v>
      </c>
      <c r="E1823" t="s">
        <v>625</v>
      </c>
      <c r="F1823">
        <v>105000</v>
      </c>
      <c r="G1823" t="s">
        <v>622</v>
      </c>
      <c r="H1823">
        <v>105000</v>
      </c>
      <c r="I1823" t="s">
        <v>2609</v>
      </c>
    </row>
    <row r="1824" spans="1:9" x14ac:dyDescent="0.25">
      <c r="A1824" s="91">
        <v>46132</v>
      </c>
      <c r="B1824" t="s">
        <v>2606</v>
      </c>
      <c r="C1824" t="s">
        <v>4195</v>
      </c>
      <c r="D1824">
        <v>85204</v>
      </c>
      <c r="E1824" t="s">
        <v>1398</v>
      </c>
      <c r="F1824">
        <v>4166</v>
      </c>
      <c r="G1824" t="s">
        <v>619</v>
      </c>
      <c r="H1824">
        <v>4166</v>
      </c>
      <c r="I1824" t="s">
        <v>2607</v>
      </c>
    </row>
    <row r="1825" spans="1:9" x14ac:dyDescent="0.25">
      <c r="A1825" s="91">
        <v>46132</v>
      </c>
      <c r="B1825" t="s">
        <v>2665</v>
      </c>
      <c r="C1825" t="s">
        <v>4196</v>
      </c>
      <c r="D1825" t="s">
        <v>1106</v>
      </c>
      <c r="E1825" t="s">
        <v>1107</v>
      </c>
      <c r="F1825">
        <v>6667</v>
      </c>
      <c r="G1825" t="s">
        <v>619</v>
      </c>
      <c r="H1825">
        <v>6667</v>
      </c>
      <c r="I1825" t="s">
        <v>2607</v>
      </c>
    </row>
    <row r="1826" spans="1:9" x14ac:dyDescent="0.25">
      <c r="A1826" s="91">
        <v>46132</v>
      </c>
      <c r="B1826" t="s">
        <v>2665</v>
      </c>
      <c r="C1826" t="s">
        <v>4197</v>
      </c>
      <c r="D1826" t="s">
        <v>623</v>
      </c>
      <c r="E1826" t="s">
        <v>2703</v>
      </c>
      <c r="F1826">
        <v>6500</v>
      </c>
      <c r="G1826" t="s">
        <v>619</v>
      </c>
      <c r="H1826">
        <v>6500</v>
      </c>
      <c r="I1826" t="s">
        <v>2607</v>
      </c>
    </row>
    <row r="1827" spans="1:9" x14ac:dyDescent="0.25">
      <c r="A1827" s="91">
        <v>46132</v>
      </c>
      <c r="B1827" t="s">
        <v>715</v>
      </c>
      <c r="C1827" t="s">
        <v>4198</v>
      </c>
      <c r="D1827">
        <v>7193</v>
      </c>
      <c r="E1827" t="s">
        <v>811</v>
      </c>
      <c r="F1827">
        <v>55000</v>
      </c>
      <c r="G1827" t="s">
        <v>622</v>
      </c>
      <c r="H1827">
        <v>55000</v>
      </c>
      <c r="I1827" t="s">
        <v>2633</v>
      </c>
    </row>
    <row r="1828" spans="1:9" x14ac:dyDescent="0.25">
      <c r="A1828" s="91">
        <v>46132</v>
      </c>
      <c r="B1828" t="s">
        <v>2736</v>
      </c>
      <c r="C1828" t="s">
        <v>4199</v>
      </c>
      <c r="D1828" t="s">
        <v>3985</v>
      </c>
      <c r="E1828" t="s">
        <v>3986</v>
      </c>
      <c r="F1828">
        <v>5200</v>
      </c>
      <c r="G1828" t="s">
        <v>622</v>
      </c>
      <c r="H1828">
        <v>5200</v>
      </c>
      <c r="I1828" t="s">
        <v>2607</v>
      </c>
    </row>
    <row r="1829" spans="1:9" x14ac:dyDescent="0.25">
      <c r="A1829" s="91">
        <v>46132</v>
      </c>
      <c r="B1829" t="s">
        <v>693</v>
      </c>
      <c r="C1829" t="s">
        <v>4200</v>
      </c>
      <c r="D1829" t="s">
        <v>3811</v>
      </c>
      <c r="E1829" t="s">
        <v>3812</v>
      </c>
      <c r="F1829">
        <v>8928</v>
      </c>
      <c r="G1829" t="s">
        <v>619</v>
      </c>
      <c r="H1829">
        <v>8928</v>
      </c>
      <c r="I1829" t="s">
        <v>2607</v>
      </c>
    </row>
    <row r="1830" spans="1:9" x14ac:dyDescent="0.25">
      <c r="A1830" s="91">
        <v>46132</v>
      </c>
      <c r="B1830" t="s">
        <v>2621</v>
      </c>
      <c r="C1830" t="s">
        <v>4201</v>
      </c>
      <c r="D1830">
        <v>529300</v>
      </c>
      <c r="E1830" t="s">
        <v>2623</v>
      </c>
      <c r="F1830">
        <v>6667</v>
      </c>
      <c r="G1830" t="s">
        <v>619</v>
      </c>
      <c r="H1830">
        <v>6667</v>
      </c>
      <c r="I1830" t="s">
        <v>2607</v>
      </c>
    </row>
    <row r="1831" spans="1:9" x14ac:dyDescent="0.25">
      <c r="A1831" s="91">
        <v>46132</v>
      </c>
      <c r="B1831" t="s">
        <v>2624</v>
      </c>
      <c r="C1831" t="s">
        <v>4202</v>
      </c>
      <c r="D1831" t="s">
        <v>2937</v>
      </c>
      <c r="E1831" t="s">
        <v>2938</v>
      </c>
      <c r="F1831">
        <v>3614</v>
      </c>
      <c r="G1831" t="s">
        <v>619</v>
      </c>
      <c r="H1831">
        <v>3614</v>
      </c>
      <c r="I1831" t="s">
        <v>2939</v>
      </c>
    </row>
    <row r="1832" spans="1:9" x14ac:dyDescent="0.25">
      <c r="A1832" s="91">
        <v>46132</v>
      </c>
      <c r="B1832" t="s">
        <v>712</v>
      </c>
      <c r="C1832" t="s">
        <v>4203</v>
      </c>
      <c r="D1832">
        <v>8031</v>
      </c>
      <c r="E1832" t="s">
        <v>816</v>
      </c>
      <c r="F1832">
        <v>50000</v>
      </c>
      <c r="G1832" t="s">
        <v>622</v>
      </c>
      <c r="H1832">
        <v>50000</v>
      </c>
      <c r="I1832" t="s">
        <v>2607</v>
      </c>
    </row>
    <row r="1833" spans="1:9" x14ac:dyDescent="0.25">
      <c r="A1833" s="91">
        <v>46132</v>
      </c>
      <c r="B1833" t="s">
        <v>682</v>
      </c>
      <c r="C1833" t="s">
        <v>4204</v>
      </c>
      <c r="D1833">
        <v>7297</v>
      </c>
      <c r="E1833" t="s">
        <v>684</v>
      </c>
      <c r="F1833">
        <v>30000</v>
      </c>
      <c r="G1833" t="s">
        <v>622</v>
      </c>
      <c r="H1833">
        <v>30000</v>
      </c>
      <c r="I1833" t="s">
        <v>2633</v>
      </c>
    </row>
    <row r="1834" spans="1:9" x14ac:dyDescent="0.25">
      <c r="A1834" s="91">
        <v>46132</v>
      </c>
      <c r="B1834" t="s">
        <v>688</v>
      </c>
      <c r="C1834" t="s">
        <v>4205</v>
      </c>
      <c r="D1834">
        <v>7741</v>
      </c>
      <c r="E1834" t="s">
        <v>690</v>
      </c>
      <c r="F1834">
        <v>68000</v>
      </c>
      <c r="G1834" t="s">
        <v>622</v>
      </c>
      <c r="H1834">
        <v>68000</v>
      </c>
      <c r="I1834" t="s">
        <v>2633</v>
      </c>
    </row>
    <row r="1835" spans="1:9" x14ac:dyDescent="0.25">
      <c r="A1835" s="91">
        <v>46132</v>
      </c>
      <c r="B1835">
        <v>7002</v>
      </c>
      <c r="C1835" t="s">
        <v>4206</v>
      </c>
      <c r="D1835">
        <v>907013</v>
      </c>
      <c r="E1835" t="s">
        <v>3041</v>
      </c>
      <c r="F1835">
        <v>174</v>
      </c>
      <c r="G1835" t="s">
        <v>619</v>
      </c>
      <c r="H1835">
        <v>174</v>
      </c>
      <c r="I1835" t="s">
        <v>2607</v>
      </c>
    </row>
    <row r="1836" spans="1:9" x14ac:dyDescent="0.25">
      <c r="A1836" s="91">
        <v>46132</v>
      </c>
      <c r="B1836" t="s">
        <v>693</v>
      </c>
      <c r="C1836" t="s">
        <v>4207</v>
      </c>
      <c r="D1836" t="s">
        <v>3803</v>
      </c>
      <c r="E1836" t="s">
        <v>3804</v>
      </c>
      <c r="F1836">
        <v>8928</v>
      </c>
      <c r="G1836" t="s">
        <v>619</v>
      </c>
      <c r="H1836">
        <v>8928</v>
      </c>
      <c r="I1836" t="s">
        <v>2607</v>
      </c>
    </row>
    <row r="1837" spans="1:9" x14ac:dyDescent="0.25">
      <c r="A1837" s="91">
        <v>46133</v>
      </c>
      <c r="B1837" t="s">
        <v>2652</v>
      </c>
      <c r="C1837" t="s">
        <v>4208</v>
      </c>
      <c r="D1837">
        <v>2209</v>
      </c>
      <c r="E1837" t="s">
        <v>888</v>
      </c>
      <c r="F1837">
        <v>50</v>
      </c>
      <c r="G1837" t="s">
        <v>622</v>
      </c>
      <c r="H1837">
        <v>50</v>
      </c>
      <c r="I1837" t="s">
        <v>2607</v>
      </c>
    </row>
    <row r="1838" spans="1:9" x14ac:dyDescent="0.25">
      <c r="A1838" s="91">
        <v>46133</v>
      </c>
      <c r="B1838" t="s">
        <v>2614</v>
      </c>
      <c r="C1838" t="s">
        <v>4209</v>
      </c>
      <c r="D1838">
        <v>623281</v>
      </c>
      <c r="E1838" t="s">
        <v>2635</v>
      </c>
      <c r="F1838">
        <v>788</v>
      </c>
      <c r="G1838" t="s">
        <v>619</v>
      </c>
      <c r="H1838">
        <v>788</v>
      </c>
      <c r="I1838" t="s">
        <v>2607</v>
      </c>
    </row>
    <row r="1839" spans="1:9" x14ac:dyDescent="0.25">
      <c r="A1839" s="91">
        <v>46133</v>
      </c>
      <c r="B1839" t="s">
        <v>2652</v>
      </c>
      <c r="C1839" t="s">
        <v>4210</v>
      </c>
      <c r="D1839">
        <v>2205</v>
      </c>
      <c r="E1839" t="s">
        <v>880</v>
      </c>
      <c r="F1839">
        <v>91</v>
      </c>
      <c r="G1839" t="s">
        <v>622</v>
      </c>
      <c r="H1839">
        <v>91</v>
      </c>
      <c r="I1839" t="s">
        <v>2607</v>
      </c>
    </row>
    <row r="1840" spans="1:9" x14ac:dyDescent="0.25">
      <c r="A1840" s="91">
        <v>46133</v>
      </c>
      <c r="B1840" t="s">
        <v>2652</v>
      </c>
      <c r="C1840" t="s">
        <v>4211</v>
      </c>
      <c r="D1840">
        <v>2211</v>
      </c>
      <c r="E1840" t="s">
        <v>881</v>
      </c>
      <c r="F1840">
        <v>76</v>
      </c>
      <c r="G1840" t="s">
        <v>622</v>
      </c>
      <c r="H1840">
        <v>76</v>
      </c>
      <c r="I1840" t="s">
        <v>2607</v>
      </c>
    </row>
    <row r="1841" spans="1:9" x14ac:dyDescent="0.25">
      <c r="A1841" s="91">
        <v>46133</v>
      </c>
      <c r="B1841" t="s">
        <v>2610</v>
      </c>
      <c r="C1841" t="s">
        <v>4212</v>
      </c>
      <c r="D1841">
        <v>520880</v>
      </c>
      <c r="E1841" t="s">
        <v>1399</v>
      </c>
      <c r="F1841">
        <v>12500</v>
      </c>
      <c r="G1841" t="s">
        <v>619</v>
      </c>
      <c r="H1841">
        <v>12500</v>
      </c>
      <c r="I1841" t="s">
        <v>2607</v>
      </c>
    </row>
    <row r="1842" spans="1:9" x14ac:dyDescent="0.25">
      <c r="A1842" s="91">
        <v>46133</v>
      </c>
      <c r="B1842" t="s">
        <v>2652</v>
      </c>
      <c r="C1842" t="s">
        <v>4213</v>
      </c>
      <c r="D1842">
        <v>2203</v>
      </c>
      <c r="E1842" t="s">
        <v>886</v>
      </c>
      <c r="F1842">
        <v>325</v>
      </c>
      <c r="G1842" t="s">
        <v>622</v>
      </c>
      <c r="H1842">
        <v>325</v>
      </c>
      <c r="I1842" t="s">
        <v>2607</v>
      </c>
    </row>
    <row r="1843" spans="1:9" x14ac:dyDescent="0.25">
      <c r="A1843" s="91">
        <v>46133</v>
      </c>
      <c r="B1843" t="s">
        <v>2652</v>
      </c>
      <c r="C1843" t="s">
        <v>4214</v>
      </c>
      <c r="D1843">
        <v>2201</v>
      </c>
      <c r="E1843" t="s">
        <v>879</v>
      </c>
      <c r="F1843">
        <v>122</v>
      </c>
      <c r="G1843" t="s">
        <v>622</v>
      </c>
      <c r="H1843">
        <v>122</v>
      </c>
      <c r="I1843" t="s">
        <v>2607</v>
      </c>
    </row>
    <row r="1844" spans="1:9" x14ac:dyDescent="0.25">
      <c r="A1844" s="91">
        <v>46133</v>
      </c>
      <c r="B1844" t="s">
        <v>2652</v>
      </c>
      <c r="C1844" t="s">
        <v>4215</v>
      </c>
      <c r="D1844">
        <v>2213</v>
      </c>
      <c r="E1844" t="s">
        <v>889</v>
      </c>
      <c r="F1844">
        <v>47</v>
      </c>
      <c r="G1844" t="s">
        <v>622</v>
      </c>
      <c r="H1844">
        <v>47</v>
      </c>
      <c r="I1844" t="s">
        <v>2607</v>
      </c>
    </row>
    <row r="1845" spans="1:9" x14ac:dyDescent="0.25">
      <c r="A1845" s="91">
        <v>46133</v>
      </c>
      <c r="B1845" t="s">
        <v>2652</v>
      </c>
      <c r="C1845" t="s">
        <v>4216</v>
      </c>
      <c r="D1845">
        <v>2207</v>
      </c>
      <c r="E1845" t="s">
        <v>887</v>
      </c>
      <c r="F1845">
        <v>124</v>
      </c>
      <c r="G1845" t="s">
        <v>622</v>
      </c>
      <c r="H1845">
        <v>124</v>
      </c>
      <c r="I1845" t="s">
        <v>2607</v>
      </c>
    </row>
    <row r="1846" spans="1:9" x14ac:dyDescent="0.25">
      <c r="A1846" s="91">
        <v>46133</v>
      </c>
      <c r="B1846" t="s">
        <v>2608</v>
      </c>
      <c r="C1846" t="s">
        <v>2583</v>
      </c>
      <c r="D1846">
        <v>79502</v>
      </c>
      <c r="E1846" t="s">
        <v>885</v>
      </c>
      <c r="F1846">
        <v>105000</v>
      </c>
      <c r="G1846" t="s">
        <v>622</v>
      </c>
      <c r="H1846">
        <v>105000</v>
      </c>
      <c r="I1846" t="s">
        <v>2609</v>
      </c>
    </row>
    <row r="1847" spans="1:9" x14ac:dyDescent="0.25">
      <c r="A1847" s="91">
        <v>46133</v>
      </c>
      <c r="B1847" t="s">
        <v>2665</v>
      </c>
      <c r="C1847" t="s">
        <v>4217</v>
      </c>
      <c r="D1847" t="s">
        <v>1405</v>
      </c>
      <c r="E1847" t="s">
        <v>2709</v>
      </c>
      <c r="F1847">
        <v>6500</v>
      </c>
      <c r="G1847" t="s">
        <v>619</v>
      </c>
      <c r="H1847">
        <v>6500</v>
      </c>
      <c r="I1847" t="s">
        <v>2607</v>
      </c>
    </row>
    <row r="1848" spans="1:9" x14ac:dyDescent="0.25">
      <c r="A1848" s="91">
        <v>46133</v>
      </c>
      <c r="B1848" t="s">
        <v>685</v>
      </c>
      <c r="C1848" t="s">
        <v>4218</v>
      </c>
      <c r="D1848">
        <v>7374</v>
      </c>
      <c r="E1848" t="s">
        <v>785</v>
      </c>
      <c r="F1848">
        <v>25000</v>
      </c>
      <c r="G1848" t="s">
        <v>622</v>
      </c>
      <c r="H1848">
        <v>25000</v>
      </c>
      <c r="I1848" t="s">
        <v>2633</v>
      </c>
    </row>
    <row r="1849" spans="1:9" x14ac:dyDescent="0.25">
      <c r="A1849" s="91">
        <v>46133</v>
      </c>
      <c r="B1849" t="s">
        <v>2665</v>
      </c>
      <c r="C1849" t="s">
        <v>4219</v>
      </c>
      <c r="D1849" t="s">
        <v>1106</v>
      </c>
      <c r="E1849" t="s">
        <v>1107</v>
      </c>
      <c r="F1849">
        <v>6667</v>
      </c>
      <c r="G1849" t="s">
        <v>619</v>
      </c>
      <c r="H1849">
        <v>6667</v>
      </c>
      <c r="I1849" t="s">
        <v>2607</v>
      </c>
    </row>
    <row r="1850" spans="1:9" x14ac:dyDescent="0.25">
      <c r="A1850" s="91">
        <v>46133</v>
      </c>
      <c r="B1850" t="s">
        <v>2736</v>
      </c>
      <c r="C1850" t="s">
        <v>4220</v>
      </c>
      <c r="D1850" t="s">
        <v>3985</v>
      </c>
      <c r="E1850" t="s">
        <v>3986</v>
      </c>
      <c r="F1850">
        <v>5200</v>
      </c>
      <c r="G1850" t="s">
        <v>622</v>
      </c>
      <c r="H1850">
        <v>5200</v>
      </c>
      <c r="I1850" t="s">
        <v>2607</v>
      </c>
    </row>
    <row r="1851" spans="1:9" x14ac:dyDescent="0.25">
      <c r="A1851" s="91">
        <v>46133</v>
      </c>
      <c r="B1851" t="s">
        <v>715</v>
      </c>
      <c r="C1851" t="s">
        <v>4221</v>
      </c>
      <c r="D1851">
        <v>7185</v>
      </c>
      <c r="E1851" t="s">
        <v>717</v>
      </c>
      <c r="F1851">
        <v>55000</v>
      </c>
      <c r="G1851" t="s">
        <v>622</v>
      </c>
      <c r="H1851">
        <v>55000</v>
      </c>
      <c r="I1851" t="s">
        <v>2633</v>
      </c>
    </row>
    <row r="1852" spans="1:9" x14ac:dyDescent="0.25">
      <c r="A1852" s="91">
        <v>46133</v>
      </c>
      <c r="B1852" t="s">
        <v>2624</v>
      </c>
      <c r="C1852" t="s">
        <v>4222</v>
      </c>
      <c r="D1852" t="s">
        <v>2937</v>
      </c>
      <c r="E1852" t="s">
        <v>2938</v>
      </c>
      <c r="F1852">
        <v>3614</v>
      </c>
      <c r="G1852" t="s">
        <v>619</v>
      </c>
      <c r="H1852">
        <v>3614</v>
      </c>
      <c r="I1852" t="s">
        <v>2939</v>
      </c>
    </row>
    <row r="1853" spans="1:9" x14ac:dyDescent="0.25">
      <c r="A1853" s="91">
        <v>46133</v>
      </c>
      <c r="B1853" t="s">
        <v>712</v>
      </c>
      <c r="C1853" t="s">
        <v>4223</v>
      </c>
      <c r="D1853">
        <v>8031</v>
      </c>
      <c r="E1853" t="s">
        <v>816</v>
      </c>
      <c r="F1853">
        <v>50000</v>
      </c>
      <c r="G1853" t="s">
        <v>622</v>
      </c>
      <c r="H1853">
        <v>50000</v>
      </c>
      <c r="I1853" t="s">
        <v>2607</v>
      </c>
    </row>
    <row r="1854" spans="1:9" x14ac:dyDescent="0.25">
      <c r="A1854" s="91">
        <v>46133</v>
      </c>
      <c r="B1854" t="s">
        <v>682</v>
      </c>
      <c r="C1854" t="s">
        <v>4224</v>
      </c>
      <c r="D1854" t="s">
        <v>806</v>
      </c>
      <c r="E1854" t="s">
        <v>807</v>
      </c>
      <c r="F1854">
        <v>28000</v>
      </c>
      <c r="G1854" t="s">
        <v>622</v>
      </c>
      <c r="H1854">
        <v>28000</v>
      </c>
      <c r="I1854" t="s">
        <v>2633</v>
      </c>
    </row>
    <row r="1855" spans="1:9" x14ac:dyDescent="0.25">
      <c r="A1855" s="91">
        <v>46133</v>
      </c>
      <c r="B1855" t="s">
        <v>688</v>
      </c>
      <c r="C1855" t="s">
        <v>4225</v>
      </c>
      <c r="D1855">
        <v>7741</v>
      </c>
      <c r="E1855" t="s">
        <v>690</v>
      </c>
      <c r="F1855">
        <v>68000</v>
      </c>
      <c r="G1855" t="s">
        <v>622</v>
      </c>
      <c r="H1855">
        <v>68000</v>
      </c>
      <c r="I1855" t="s">
        <v>2633</v>
      </c>
    </row>
    <row r="1856" spans="1:9" x14ac:dyDescent="0.25">
      <c r="A1856" s="91">
        <v>46133</v>
      </c>
      <c r="B1856">
        <v>7002</v>
      </c>
      <c r="C1856" t="s">
        <v>4226</v>
      </c>
      <c r="D1856">
        <v>907013</v>
      </c>
      <c r="E1856" t="s">
        <v>3041</v>
      </c>
      <c r="F1856">
        <v>174</v>
      </c>
      <c r="G1856" t="s">
        <v>619</v>
      </c>
      <c r="H1856">
        <v>174</v>
      </c>
      <c r="I1856" t="s">
        <v>2607</v>
      </c>
    </row>
    <row r="1857" spans="1:9" x14ac:dyDescent="0.25">
      <c r="A1857" s="91">
        <v>46133</v>
      </c>
      <c r="B1857" t="s">
        <v>2606</v>
      </c>
      <c r="C1857" t="s">
        <v>4227</v>
      </c>
      <c r="D1857">
        <v>85204</v>
      </c>
      <c r="E1857" t="s">
        <v>1398</v>
      </c>
      <c r="F1857">
        <v>4166</v>
      </c>
      <c r="G1857" t="s">
        <v>619</v>
      </c>
      <c r="H1857">
        <v>4166</v>
      </c>
      <c r="I1857" t="s">
        <v>2607</v>
      </c>
    </row>
    <row r="1858" spans="1:9" x14ac:dyDescent="0.25">
      <c r="A1858" s="91">
        <v>46134</v>
      </c>
      <c r="B1858" t="s">
        <v>2652</v>
      </c>
      <c r="C1858" t="s">
        <v>4228</v>
      </c>
      <c r="D1858">
        <v>2249</v>
      </c>
      <c r="E1858" t="s">
        <v>1015</v>
      </c>
      <c r="F1858">
        <v>24</v>
      </c>
      <c r="G1858" t="s">
        <v>622</v>
      </c>
      <c r="H1858">
        <v>24</v>
      </c>
      <c r="I1858" t="s">
        <v>2607</v>
      </c>
    </row>
    <row r="1859" spans="1:9" x14ac:dyDescent="0.25">
      <c r="A1859" s="91">
        <v>46134</v>
      </c>
      <c r="B1859" t="s">
        <v>2652</v>
      </c>
      <c r="C1859" t="s">
        <v>4229</v>
      </c>
      <c r="D1859">
        <v>2245</v>
      </c>
      <c r="E1859" t="s">
        <v>884</v>
      </c>
      <c r="F1859">
        <v>91</v>
      </c>
      <c r="G1859" t="s">
        <v>622</v>
      </c>
      <c r="H1859">
        <v>91</v>
      </c>
      <c r="I1859" t="s">
        <v>2607</v>
      </c>
    </row>
    <row r="1860" spans="1:9" x14ac:dyDescent="0.25">
      <c r="A1860" s="91">
        <v>46134</v>
      </c>
      <c r="B1860" t="s">
        <v>2652</v>
      </c>
      <c r="C1860" t="s">
        <v>4230</v>
      </c>
      <c r="D1860">
        <v>2337</v>
      </c>
      <c r="E1860" t="s">
        <v>1093</v>
      </c>
      <c r="F1860">
        <v>50</v>
      </c>
      <c r="G1860" t="s">
        <v>622</v>
      </c>
      <c r="H1860">
        <v>50</v>
      </c>
      <c r="I1860" t="s">
        <v>2607</v>
      </c>
    </row>
    <row r="1861" spans="1:9" x14ac:dyDescent="0.25">
      <c r="A1861" s="91">
        <v>46134</v>
      </c>
      <c r="B1861" t="s">
        <v>2652</v>
      </c>
      <c r="C1861" t="s">
        <v>4231</v>
      </c>
      <c r="D1861">
        <v>2255</v>
      </c>
      <c r="E1861" t="s">
        <v>2291</v>
      </c>
      <c r="F1861">
        <v>32</v>
      </c>
      <c r="G1861" t="s">
        <v>622</v>
      </c>
      <c r="H1861">
        <v>32</v>
      </c>
      <c r="I1861" t="s">
        <v>2607</v>
      </c>
    </row>
    <row r="1862" spans="1:9" x14ac:dyDescent="0.25">
      <c r="A1862" s="91">
        <v>46134</v>
      </c>
      <c r="B1862" t="s">
        <v>2652</v>
      </c>
      <c r="C1862" t="s">
        <v>4232</v>
      </c>
      <c r="D1862">
        <v>2231</v>
      </c>
      <c r="E1862" t="s">
        <v>882</v>
      </c>
      <c r="F1862">
        <v>56</v>
      </c>
      <c r="G1862" t="s">
        <v>622</v>
      </c>
      <c r="H1862">
        <v>56</v>
      </c>
      <c r="I1862" t="s">
        <v>2607</v>
      </c>
    </row>
    <row r="1863" spans="1:9" x14ac:dyDescent="0.25">
      <c r="A1863" s="91">
        <v>46134</v>
      </c>
      <c r="B1863" t="s">
        <v>2652</v>
      </c>
      <c r="C1863" t="s">
        <v>4233</v>
      </c>
      <c r="D1863">
        <v>2331</v>
      </c>
      <c r="E1863" t="s">
        <v>4234</v>
      </c>
      <c r="F1863">
        <v>50</v>
      </c>
      <c r="G1863" t="s">
        <v>622</v>
      </c>
      <c r="H1863">
        <v>50</v>
      </c>
      <c r="I1863" t="s">
        <v>2607</v>
      </c>
    </row>
    <row r="1864" spans="1:9" x14ac:dyDescent="0.25">
      <c r="A1864" s="91">
        <v>46134</v>
      </c>
      <c r="B1864" t="s">
        <v>2652</v>
      </c>
      <c r="C1864" t="s">
        <v>2587</v>
      </c>
      <c r="D1864">
        <v>2339</v>
      </c>
      <c r="E1864" t="s">
        <v>2305</v>
      </c>
      <c r="F1864">
        <v>50</v>
      </c>
      <c r="G1864" t="s">
        <v>622</v>
      </c>
      <c r="H1864">
        <v>50</v>
      </c>
      <c r="I1864" t="s">
        <v>2607</v>
      </c>
    </row>
    <row r="1865" spans="1:9" x14ac:dyDescent="0.25">
      <c r="A1865" s="91">
        <v>46134</v>
      </c>
      <c r="B1865" t="s">
        <v>2652</v>
      </c>
      <c r="C1865" t="s">
        <v>4235</v>
      </c>
      <c r="D1865">
        <v>2233</v>
      </c>
      <c r="E1865" t="s">
        <v>890</v>
      </c>
      <c r="F1865">
        <v>97</v>
      </c>
      <c r="G1865" t="s">
        <v>622</v>
      </c>
      <c r="H1865">
        <v>97</v>
      </c>
      <c r="I1865" t="s">
        <v>2607</v>
      </c>
    </row>
    <row r="1866" spans="1:9" x14ac:dyDescent="0.25">
      <c r="A1866" s="91">
        <v>46134</v>
      </c>
      <c r="B1866" t="s">
        <v>2652</v>
      </c>
      <c r="C1866" t="s">
        <v>4236</v>
      </c>
      <c r="D1866">
        <v>2247</v>
      </c>
      <c r="E1866" t="s">
        <v>1014</v>
      </c>
      <c r="F1866">
        <v>12</v>
      </c>
      <c r="G1866" t="s">
        <v>622</v>
      </c>
      <c r="H1866">
        <v>12</v>
      </c>
      <c r="I1866" t="s">
        <v>2607</v>
      </c>
    </row>
    <row r="1867" spans="1:9" x14ac:dyDescent="0.25">
      <c r="A1867" s="91">
        <v>46134</v>
      </c>
      <c r="B1867" t="s">
        <v>2652</v>
      </c>
      <c r="C1867" t="s">
        <v>4237</v>
      </c>
      <c r="D1867">
        <v>2257</v>
      </c>
      <c r="E1867" t="s">
        <v>2296</v>
      </c>
      <c r="F1867">
        <v>17</v>
      </c>
      <c r="G1867" t="s">
        <v>622</v>
      </c>
      <c r="H1867">
        <v>17</v>
      </c>
      <c r="I1867" t="s">
        <v>2607</v>
      </c>
    </row>
    <row r="1868" spans="1:9" x14ac:dyDescent="0.25">
      <c r="A1868" s="91">
        <v>46134</v>
      </c>
      <c r="B1868" t="s">
        <v>2614</v>
      </c>
      <c r="C1868" t="s">
        <v>4238</v>
      </c>
      <c r="D1868">
        <v>623282</v>
      </c>
      <c r="E1868" t="s">
        <v>4239</v>
      </c>
      <c r="F1868">
        <v>788</v>
      </c>
      <c r="G1868" t="s">
        <v>619</v>
      </c>
      <c r="H1868">
        <v>788</v>
      </c>
      <c r="I1868" t="s">
        <v>2607</v>
      </c>
    </row>
    <row r="1869" spans="1:9" x14ac:dyDescent="0.25">
      <c r="A1869" s="91">
        <v>46134</v>
      </c>
      <c r="B1869" t="s">
        <v>2652</v>
      </c>
      <c r="C1869" t="s">
        <v>4240</v>
      </c>
      <c r="D1869">
        <v>2235</v>
      </c>
      <c r="E1869" t="s">
        <v>1013</v>
      </c>
      <c r="F1869">
        <v>29</v>
      </c>
      <c r="G1869" t="s">
        <v>622</v>
      </c>
      <c r="H1869">
        <v>29</v>
      </c>
      <c r="I1869" t="s">
        <v>2607</v>
      </c>
    </row>
    <row r="1870" spans="1:9" x14ac:dyDescent="0.25">
      <c r="A1870" s="91">
        <v>46134</v>
      </c>
      <c r="B1870" t="s">
        <v>2652</v>
      </c>
      <c r="C1870" t="s">
        <v>4241</v>
      </c>
      <c r="D1870">
        <v>2253</v>
      </c>
      <c r="E1870" t="s">
        <v>1016</v>
      </c>
      <c r="F1870">
        <v>60</v>
      </c>
      <c r="G1870" t="s">
        <v>622</v>
      </c>
      <c r="H1870">
        <v>60</v>
      </c>
      <c r="I1870" t="s">
        <v>2607</v>
      </c>
    </row>
    <row r="1871" spans="1:9" x14ac:dyDescent="0.25">
      <c r="A1871" s="91">
        <v>46134</v>
      </c>
      <c r="B1871" t="s">
        <v>2608</v>
      </c>
      <c r="C1871" t="s">
        <v>4242</v>
      </c>
      <c r="D1871">
        <v>8013255</v>
      </c>
      <c r="E1871" t="s">
        <v>3727</v>
      </c>
      <c r="F1871">
        <v>3750</v>
      </c>
      <c r="G1871" t="s">
        <v>619</v>
      </c>
      <c r="H1871">
        <v>3750</v>
      </c>
      <c r="I1871" t="s">
        <v>2607</v>
      </c>
    </row>
    <row r="1872" spans="1:9" x14ac:dyDescent="0.25">
      <c r="A1872" s="91">
        <v>46134</v>
      </c>
      <c r="B1872" t="s">
        <v>2610</v>
      </c>
      <c r="C1872" t="s">
        <v>4243</v>
      </c>
      <c r="D1872">
        <v>520880</v>
      </c>
      <c r="E1872" t="s">
        <v>1399</v>
      </c>
      <c r="F1872">
        <v>12500</v>
      </c>
      <c r="G1872" t="s">
        <v>619</v>
      </c>
      <c r="H1872">
        <v>12500</v>
      </c>
      <c r="I1872" t="s">
        <v>2607</v>
      </c>
    </row>
    <row r="1873" spans="1:9" x14ac:dyDescent="0.25">
      <c r="A1873" s="91">
        <v>46134</v>
      </c>
      <c r="B1873">
        <v>7002</v>
      </c>
      <c r="C1873" t="s">
        <v>4244</v>
      </c>
      <c r="D1873">
        <v>907017</v>
      </c>
      <c r="E1873" t="s">
        <v>3134</v>
      </c>
      <c r="F1873">
        <v>204</v>
      </c>
      <c r="G1873" t="s">
        <v>619</v>
      </c>
      <c r="H1873">
        <v>204</v>
      </c>
      <c r="I1873" t="s">
        <v>2607</v>
      </c>
    </row>
    <row r="1874" spans="1:9" x14ac:dyDescent="0.25">
      <c r="A1874" s="91">
        <v>46134</v>
      </c>
      <c r="B1874" t="s">
        <v>688</v>
      </c>
      <c r="C1874" t="s">
        <v>4245</v>
      </c>
      <c r="D1874">
        <v>7741</v>
      </c>
      <c r="E1874" t="s">
        <v>690</v>
      </c>
      <c r="F1874">
        <v>68000</v>
      </c>
      <c r="G1874" t="s">
        <v>622</v>
      </c>
      <c r="H1874">
        <v>68000</v>
      </c>
      <c r="I1874" t="s">
        <v>2633</v>
      </c>
    </row>
    <row r="1875" spans="1:9" x14ac:dyDescent="0.25">
      <c r="A1875" s="91">
        <v>46134</v>
      </c>
      <c r="B1875" t="s">
        <v>682</v>
      </c>
      <c r="C1875" t="s">
        <v>4246</v>
      </c>
      <c r="D1875" t="s">
        <v>806</v>
      </c>
      <c r="E1875" t="s">
        <v>807</v>
      </c>
      <c r="F1875">
        <v>28000</v>
      </c>
      <c r="G1875" t="s">
        <v>622</v>
      </c>
      <c r="H1875">
        <v>28000</v>
      </c>
      <c r="I1875" t="s">
        <v>2633</v>
      </c>
    </row>
    <row r="1876" spans="1:9" x14ac:dyDescent="0.25">
      <c r="A1876" s="91">
        <v>46134</v>
      </c>
      <c r="B1876" t="s">
        <v>2652</v>
      </c>
      <c r="C1876" t="s">
        <v>4247</v>
      </c>
      <c r="D1876">
        <v>2243</v>
      </c>
      <c r="E1876" t="s">
        <v>883</v>
      </c>
      <c r="F1876">
        <v>153</v>
      </c>
      <c r="G1876" t="s">
        <v>622</v>
      </c>
      <c r="H1876">
        <v>153</v>
      </c>
      <c r="I1876" t="s">
        <v>2607</v>
      </c>
    </row>
    <row r="1877" spans="1:9" x14ac:dyDescent="0.25">
      <c r="A1877" s="91">
        <v>46134</v>
      </c>
      <c r="B1877" t="s">
        <v>2624</v>
      </c>
      <c r="C1877" t="s">
        <v>4248</v>
      </c>
      <c r="D1877" t="s">
        <v>2937</v>
      </c>
      <c r="E1877" t="s">
        <v>2938</v>
      </c>
      <c r="F1877">
        <v>3614</v>
      </c>
      <c r="G1877" t="s">
        <v>619</v>
      </c>
      <c r="H1877">
        <v>3614</v>
      </c>
      <c r="I1877" t="s">
        <v>2939</v>
      </c>
    </row>
    <row r="1878" spans="1:9" x14ac:dyDescent="0.25">
      <c r="A1878" s="91">
        <v>46134</v>
      </c>
      <c r="B1878" t="s">
        <v>712</v>
      </c>
      <c r="C1878" t="s">
        <v>4249</v>
      </c>
      <c r="D1878">
        <v>8031</v>
      </c>
      <c r="E1878" t="s">
        <v>816</v>
      </c>
      <c r="F1878">
        <v>18400</v>
      </c>
      <c r="G1878" t="s">
        <v>622</v>
      </c>
      <c r="H1878">
        <v>18400</v>
      </c>
      <c r="I1878" t="s">
        <v>2607</v>
      </c>
    </row>
    <row r="1879" spans="1:9" x14ac:dyDescent="0.25">
      <c r="A1879" s="91">
        <v>46134</v>
      </c>
      <c r="B1879" t="s">
        <v>2665</v>
      </c>
      <c r="C1879" t="s">
        <v>4250</v>
      </c>
      <c r="D1879" t="s">
        <v>1106</v>
      </c>
      <c r="E1879" t="s">
        <v>1107</v>
      </c>
      <c r="F1879">
        <v>6667</v>
      </c>
      <c r="G1879" t="s">
        <v>619</v>
      </c>
      <c r="H1879">
        <v>6667</v>
      </c>
      <c r="I1879" t="s">
        <v>2607</v>
      </c>
    </row>
    <row r="1880" spans="1:9" x14ac:dyDescent="0.25">
      <c r="A1880" s="91">
        <v>46134</v>
      </c>
      <c r="B1880" t="s">
        <v>2665</v>
      </c>
      <c r="C1880" t="s">
        <v>4251</v>
      </c>
      <c r="D1880" t="s">
        <v>3907</v>
      </c>
      <c r="E1880" t="s">
        <v>3908</v>
      </c>
      <c r="F1880">
        <v>6500</v>
      </c>
      <c r="G1880" t="s">
        <v>619</v>
      </c>
      <c r="H1880">
        <v>6500</v>
      </c>
      <c r="I1880" t="s">
        <v>2607</v>
      </c>
    </row>
    <row r="1881" spans="1:9" x14ac:dyDescent="0.25">
      <c r="A1881" s="91">
        <v>46134</v>
      </c>
      <c r="B1881" t="s">
        <v>685</v>
      </c>
      <c r="C1881" t="s">
        <v>4252</v>
      </c>
      <c r="D1881">
        <v>7374</v>
      </c>
      <c r="E1881" t="s">
        <v>785</v>
      </c>
      <c r="F1881">
        <v>25000</v>
      </c>
      <c r="G1881" t="s">
        <v>622</v>
      </c>
      <c r="H1881">
        <v>25000</v>
      </c>
      <c r="I1881" t="s">
        <v>2633</v>
      </c>
    </row>
    <row r="1882" spans="1:9" x14ac:dyDescent="0.25">
      <c r="A1882" s="91">
        <v>46134</v>
      </c>
      <c r="B1882" t="s">
        <v>2606</v>
      </c>
      <c r="C1882" t="s">
        <v>4253</v>
      </c>
      <c r="D1882">
        <v>85204</v>
      </c>
      <c r="E1882" t="s">
        <v>1398</v>
      </c>
      <c r="F1882">
        <v>4166</v>
      </c>
      <c r="G1882" t="s">
        <v>619</v>
      </c>
      <c r="H1882">
        <v>4166</v>
      </c>
      <c r="I1882" t="s">
        <v>2607</v>
      </c>
    </row>
    <row r="1883" spans="1:9" x14ac:dyDescent="0.25">
      <c r="A1883" s="91">
        <v>46134</v>
      </c>
      <c r="B1883" t="s">
        <v>2736</v>
      </c>
      <c r="C1883" t="s">
        <v>4254</v>
      </c>
      <c r="D1883" t="s">
        <v>3985</v>
      </c>
      <c r="E1883" t="s">
        <v>3986</v>
      </c>
      <c r="F1883">
        <v>5000</v>
      </c>
      <c r="G1883" t="s">
        <v>622</v>
      </c>
      <c r="H1883">
        <v>5000</v>
      </c>
      <c r="I1883" t="s">
        <v>2607</v>
      </c>
    </row>
    <row r="1884" spans="1:9" x14ac:dyDescent="0.25">
      <c r="A1884" s="91">
        <v>46135</v>
      </c>
      <c r="B1884" t="s">
        <v>685</v>
      </c>
      <c r="C1884" t="s">
        <v>4255</v>
      </c>
      <c r="D1884">
        <v>7373</v>
      </c>
      <c r="E1884" t="s">
        <v>783</v>
      </c>
      <c r="F1884">
        <v>25000</v>
      </c>
      <c r="G1884" t="s">
        <v>622</v>
      </c>
      <c r="H1884">
        <v>25000</v>
      </c>
      <c r="I1884" t="s">
        <v>2633</v>
      </c>
    </row>
    <row r="1885" spans="1:9" x14ac:dyDescent="0.25">
      <c r="A1885" s="91">
        <v>46135</v>
      </c>
      <c r="B1885" t="s">
        <v>2614</v>
      </c>
      <c r="C1885" t="s">
        <v>4256</v>
      </c>
      <c r="D1885">
        <v>623282</v>
      </c>
      <c r="E1885" t="s">
        <v>4239</v>
      </c>
      <c r="F1885">
        <v>788</v>
      </c>
      <c r="G1885" t="s">
        <v>619</v>
      </c>
      <c r="H1885">
        <v>788</v>
      </c>
      <c r="I1885" t="s">
        <v>2607</v>
      </c>
    </row>
    <row r="1886" spans="1:9" x14ac:dyDescent="0.25">
      <c r="A1886" s="91">
        <v>46135</v>
      </c>
      <c r="B1886" t="s">
        <v>2610</v>
      </c>
      <c r="C1886" t="s">
        <v>4257</v>
      </c>
      <c r="D1886">
        <v>520880</v>
      </c>
      <c r="E1886" t="s">
        <v>1399</v>
      </c>
      <c r="F1886">
        <v>12500</v>
      </c>
      <c r="G1886" t="s">
        <v>619</v>
      </c>
      <c r="H1886">
        <v>12500</v>
      </c>
      <c r="I1886" t="s">
        <v>2607</v>
      </c>
    </row>
    <row r="1887" spans="1:9" x14ac:dyDescent="0.25">
      <c r="A1887" s="91">
        <v>46135</v>
      </c>
      <c r="B1887" t="s">
        <v>2608</v>
      </c>
      <c r="C1887" t="s">
        <v>4258</v>
      </c>
      <c r="D1887">
        <v>8013255</v>
      </c>
      <c r="E1887" t="s">
        <v>3727</v>
      </c>
      <c r="F1887">
        <v>3750</v>
      </c>
      <c r="G1887" t="s">
        <v>619</v>
      </c>
      <c r="H1887">
        <v>3750</v>
      </c>
      <c r="I1887" t="s">
        <v>2607</v>
      </c>
    </row>
    <row r="1888" spans="1:9" x14ac:dyDescent="0.25">
      <c r="A1888" s="91">
        <v>46135</v>
      </c>
      <c r="B1888" t="s">
        <v>2606</v>
      </c>
      <c r="C1888" t="s">
        <v>4259</v>
      </c>
      <c r="D1888">
        <v>85204</v>
      </c>
      <c r="E1888" t="s">
        <v>1398</v>
      </c>
      <c r="F1888">
        <v>4166</v>
      </c>
      <c r="G1888" t="s">
        <v>619</v>
      </c>
      <c r="H1888">
        <v>4166</v>
      </c>
      <c r="I1888" t="s">
        <v>2607</v>
      </c>
    </row>
    <row r="1889" spans="1:9" x14ac:dyDescent="0.25">
      <c r="A1889" s="91">
        <v>46135</v>
      </c>
      <c r="B1889" t="s">
        <v>2665</v>
      </c>
      <c r="C1889" t="s">
        <v>4260</v>
      </c>
      <c r="D1889" t="s">
        <v>2540</v>
      </c>
      <c r="E1889" t="s">
        <v>3353</v>
      </c>
      <c r="F1889">
        <v>4000</v>
      </c>
      <c r="G1889" t="s">
        <v>619</v>
      </c>
      <c r="H1889">
        <v>4000</v>
      </c>
      <c r="I1889" t="s">
        <v>2607</v>
      </c>
    </row>
    <row r="1890" spans="1:9" x14ac:dyDescent="0.25">
      <c r="A1890" s="91">
        <v>46135</v>
      </c>
      <c r="B1890" t="s">
        <v>679</v>
      </c>
      <c r="C1890" t="s">
        <v>4261</v>
      </c>
      <c r="D1890">
        <v>7212</v>
      </c>
      <c r="E1890" t="s">
        <v>681</v>
      </c>
      <c r="F1890">
        <v>85000</v>
      </c>
      <c r="G1890" t="s">
        <v>622</v>
      </c>
      <c r="H1890">
        <v>85000</v>
      </c>
      <c r="I1890" t="s">
        <v>2633</v>
      </c>
    </row>
    <row r="1891" spans="1:9" x14ac:dyDescent="0.25">
      <c r="A1891" s="91">
        <v>46135</v>
      </c>
      <c r="B1891" t="s">
        <v>2665</v>
      </c>
      <c r="C1891" t="s">
        <v>4262</v>
      </c>
      <c r="D1891" t="s">
        <v>2542</v>
      </c>
      <c r="E1891" t="s">
        <v>3354</v>
      </c>
      <c r="F1891">
        <v>600</v>
      </c>
      <c r="G1891" t="s">
        <v>619</v>
      </c>
      <c r="H1891">
        <v>600</v>
      </c>
      <c r="I1891" t="s">
        <v>2607</v>
      </c>
    </row>
    <row r="1892" spans="1:9" x14ac:dyDescent="0.25">
      <c r="A1892" s="91">
        <v>46135</v>
      </c>
      <c r="B1892" t="s">
        <v>2736</v>
      </c>
      <c r="C1892" t="s">
        <v>4263</v>
      </c>
      <c r="D1892" t="s">
        <v>3985</v>
      </c>
      <c r="E1892" t="s">
        <v>3986</v>
      </c>
      <c r="F1892">
        <v>5200</v>
      </c>
      <c r="G1892" t="s">
        <v>622</v>
      </c>
      <c r="H1892">
        <v>5200</v>
      </c>
      <c r="I1892" t="s">
        <v>2607</v>
      </c>
    </row>
    <row r="1893" spans="1:9" x14ac:dyDescent="0.25">
      <c r="A1893" s="91">
        <v>46135</v>
      </c>
      <c r="B1893" t="s">
        <v>2665</v>
      </c>
      <c r="C1893" t="s">
        <v>4264</v>
      </c>
      <c r="D1893" t="s">
        <v>3907</v>
      </c>
      <c r="E1893" t="s">
        <v>3908</v>
      </c>
      <c r="F1893">
        <v>6500</v>
      </c>
      <c r="G1893" t="s">
        <v>619</v>
      </c>
      <c r="H1893">
        <v>6500</v>
      </c>
      <c r="I1893" t="s">
        <v>2607</v>
      </c>
    </row>
    <row r="1894" spans="1:9" x14ac:dyDescent="0.25">
      <c r="A1894" s="91">
        <v>46135</v>
      </c>
      <c r="B1894" t="s">
        <v>688</v>
      </c>
      <c r="C1894" t="s">
        <v>4265</v>
      </c>
      <c r="D1894">
        <v>7741</v>
      </c>
      <c r="E1894" t="s">
        <v>690</v>
      </c>
      <c r="F1894">
        <v>68000</v>
      </c>
      <c r="G1894" t="s">
        <v>622</v>
      </c>
      <c r="H1894">
        <v>68000</v>
      </c>
      <c r="I1894" t="s">
        <v>2633</v>
      </c>
    </row>
    <row r="1895" spans="1:9" x14ac:dyDescent="0.25">
      <c r="A1895" s="91">
        <v>46135</v>
      </c>
      <c r="B1895">
        <v>7002</v>
      </c>
      <c r="C1895" t="s">
        <v>4266</v>
      </c>
      <c r="D1895">
        <v>907015</v>
      </c>
      <c r="E1895" t="s">
        <v>3128</v>
      </c>
      <c r="F1895">
        <v>120</v>
      </c>
      <c r="G1895" t="s">
        <v>619</v>
      </c>
      <c r="H1895">
        <v>120</v>
      </c>
      <c r="I1895" t="s">
        <v>2607</v>
      </c>
    </row>
    <row r="1896" spans="1:9" x14ac:dyDescent="0.25">
      <c r="A1896" s="91">
        <v>46136</v>
      </c>
      <c r="B1896" t="s">
        <v>2610</v>
      </c>
      <c r="C1896" t="s">
        <v>4267</v>
      </c>
      <c r="D1896">
        <v>520860</v>
      </c>
      <c r="E1896" t="s">
        <v>1388</v>
      </c>
      <c r="F1896">
        <v>12500</v>
      </c>
      <c r="G1896" t="s">
        <v>619</v>
      </c>
      <c r="H1896">
        <v>12500</v>
      </c>
      <c r="I1896" t="s">
        <v>2607</v>
      </c>
    </row>
    <row r="1897" spans="1:9" x14ac:dyDescent="0.25">
      <c r="A1897" s="91">
        <v>46136</v>
      </c>
      <c r="B1897" t="s">
        <v>2606</v>
      </c>
      <c r="C1897" t="s">
        <v>4268</v>
      </c>
      <c r="D1897">
        <v>85204</v>
      </c>
      <c r="E1897" t="s">
        <v>1398</v>
      </c>
      <c r="F1897">
        <v>4166</v>
      </c>
      <c r="G1897" t="s">
        <v>619</v>
      </c>
      <c r="H1897">
        <v>4166</v>
      </c>
      <c r="I1897" t="s">
        <v>2607</v>
      </c>
    </row>
    <row r="1898" spans="1:9" x14ac:dyDescent="0.25">
      <c r="A1898" s="91">
        <v>46136</v>
      </c>
      <c r="B1898" t="s">
        <v>2665</v>
      </c>
      <c r="C1898" t="s">
        <v>4269</v>
      </c>
      <c r="D1898" t="s">
        <v>3680</v>
      </c>
      <c r="E1898" t="s">
        <v>3681</v>
      </c>
      <c r="F1898">
        <v>6500</v>
      </c>
      <c r="G1898" t="s">
        <v>619</v>
      </c>
      <c r="H1898">
        <v>6500</v>
      </c>
      <c r="I1898" t="s">
        <v>2607</v>
      </c>
    </row>
    <row r="1899" spans="1:9" x14ac:dyDescent="0.25">
      <c r="A1899" s="91">
        <v>46136</v>
      </c>
      <c r="B1899" t="s">
        <v>2608</v>
      </c>
      <c r="C1899" t="s">
        <v>4270</v>
      </c>
      <c r="D1899">
        <v>8013250</v>
      </c>
      <c r="E1899" t="s">
        <v>4271</v>
      </c>
      <c r="F1899">
        <v>3750</v>
      </c>
      <c r="G1899" t="s">
        <v>619</v>
      </c>
      <c r="H1899">
        <v>3750</v>
      </c>
      <c r="I1899" t="s">
        <v>2607</v>
      </c>
    </row>
    <row r="1900" spans="1:9" x14ac:dyDescent="0.25">
      <c r="A1900" s="91">
        <v>46136</v>
      </c>
      <c r="B1900" t="s">
        <v>2736</v>
      </c>
      <c r="C1900" t="s">
        <v>4272</v>
      </c>
      <c r="D1900" t="s">
        <v>4273</v>
      </c>
      <c r="E1900" t="s">
        <v>4274</v>
      </c>
      <c r="F1900">
        <v>5200</v>
      </c>
      <c r="G1900" t="s">
        <v>622</v>
      </c>
      <c r="H1900">
        <v>5200</v>
      </c>
      <c r="I1900" t="s">
        <v>2607</v>
      </c>
    </row>
    <row r="1901" spans="1:9" x14ac:dyDescent="0.25">
      <c r="A1901" s="91">
        <v>46136</v>
      </c>
      <c r="B1901">
        <v>7002</v>
      </c>
      <c r="C1901" t="s">
        <v>4275</v>
      </c>
      <c r="D1901">
        <v>907015</v>
      </c>
      <c r="E1901" t="s">
        <v>3128</v>
      </c>
      <c r="F1901">
        <v>120</v>
      </c>
      <c r="G1901" t="s">
        <v>619</v>
      </c>
      <c r="H1901">
        <v>120</v>
      </c>
      <c r="I1901" t="s">
        <v>2607</v>
      </c>
    </row>
    <row r="1902" spans="1:9" x14ac:dyDescent="0.25">
      <c r="A1902" s="91">
        <v>46136</v>
      </c>
      <c r="B1902" t="s">
        <v>2665</v>
      </c>
      <c r="C1902" t="s">
        <v>4276</v>
      </c>
      <c r="D1902" t="s">
        <v>996</v>
      </c>
      <c r="E1902" t="s">
        <v>3207</v>
      </c>
      <c r="F1902">
        <v>6500</v>
      </c>
      <c r="G1902" t="s">
        <v>619</v>
      </c>
      <c r="H1902">
        <v>6500</v>
      </c>
      <c r="I1902" t="s">
        <v>2607</v>
      </c>
    </row>
    <row r="1903" spans="1:9" x14ac:dyDescent="0.25">
      <c r="A1903" s="91">
        <v>46137</v>
      </c>
      <c r="B1903" t="s">
        <v>2606</v>
      </c>
      <c r="C1903" t="s">
        <v>4277</v>
      </c>
      <c r="D1903">
        <v>85204</v>
      </c>
      <c r="E1903" t="s">
        <v>1398</v>
      </c>
      <c r="F1903">
        <v>4166</v>
      </c>
      <c r="G1903" t="s">
        <v>619</v>
      </c>
      <c r="H1903">
        <v>4166</v>
      </c>
      <c r="I1903" t="s">
        <v>2607</v>
      </c>
    </row>
    <row r="1904" spans="1:9" x14ac:dyDescent="0.25">
      <c r="A1904" s="91">
        <v>46137</v>
      </c>
      <c r="B1904" t="s">
        <v>2610</v>
      </c>
      <c r="C1904" t="s">
        <v>4278</v>
      </c>
      <c r="D1904">
        <v>520860</v>
      </c>
      <c r="E1904" t="s">
        <v>1388</v>
      </c>
      <c r="F1904">
        <v>12500</v>
      </c>
      <c r="G1904" t="s">
        <v>619</v>
      </c>
      <c r="H1904">
        <v>12500</v>
      </c>
      <c r="I1904" t="s">
        <v>2607</v>
      </c>
    </row>
    <row r="1905" spans="1:9" x14ac:dyDescent="0.25">
      <c r="A1905" s="91">
        <v>46139</v>
      </c>
      <c r="B1905" t="s">
        <v>2665</v>
      </c>
      <c r="C1905" t="s">
        <v>4279</v>
      </c>
      <c r="D1905" t="s">
        <v>3447</v>
      </c>
      <c r="E1905" t="s">
        <v>3448</v>
      </c>
      <c r="F1905">
        <v>6500</v>
      </c>
      <c r="G1905" t="s">
        <v>619</v>
      </c>
      <c r="H1905">
        <v>6500</v>
      </c>
      <c r="I1905" t="s">
        <v>2607</v>
      </c>
    </row>
    <row r="1906" spans="1:9" x14ac:dyDescent="0.25">
      <c r="A1906" s="91">
        <v>46139</v>
      </c>
      <c r="B1906" t="s">
        <v>2608</v>
      </c>
      <c r="C1906" t="s">
        <v>4280</v>
      </c>
      <c r="D1906">
        <v>7033</v>
      </c>
      <c r="E1906" t="s">
        <v>1109</v>
      </c>
      <c r="F1906">
        <v>95000</v>
      </c>
      <c r="G1906" t="s">
        <v>622</v>
      </c>
      <c r="H1906">
        <v>95000</v>
      </c>
      <c r="I1906" t="s">
        <v>2609</v>
      </c>
    </row>
    <row r="1907" spans="1:9" x14ac:dyDescent="0.25">
      <c r="A1907" s="91">
        <v>46139</v>
      </c>
      <c r="B1907" t="s">
        <v>2606</v>
      </c>
      <c r="C1907" t="s">
        <v>4281</v>
      </c>
      <c r="D1907">
        <v>85203</v>
      </c>
      <c r="E1907" t="s">
        <v>2998</v>
      </c>
      <c r="F1907">
        <v>6250</v>
      </c>
      <c r="G1907" t="s">
        <v>619</v>
      </c>
      <c r="H1907">
        <v>6250</v>
      </c>
      <c r="I1907" t="s">
        <v>2607</v>
      </c>
    </row>
    <row r="1908" spans="1:9" x14ac:dyDescent="0.25">
      <c r="A1908" s="91">
        <v>46139</v>
      </c>
      <c r="B1908" t="s">
        <v>685</v>
      </c>
      <c r="C1908" t="s">
        <v>4282</v>
      </c>
      <c r="D1908" t="s">
        <v>722</v>
      </c>
      <c r="E1908" t="s">
        <v>723</v>
      </c>
      <c r="F1908">
        <v>40000</v>
      </c>
      <c r="G1908" t="s">
        <v>622</v>
      </c>
      <c r="H1908">
        <v>40000</v>
      </c>
      <c r="I1908" t="s">
        <v>2633</v>
      </c>
    </row>
    <row r="1909" spans="1:9" x14ac:dyDescent="0.25">
      <c r="A1909" s="91">
        <v>46139</v>
      </c>
      <c r="B1909" t="s">
        <v>2610</v>
      </c>
      <c r="C1909" t="s">
        <v>4283</v>
      </c>
      <c r="D1909">
        <v>520860</v>
      </c>
      <c r="E1909" t="s">
        <v>1388</v>
      </c>
      <c r="F1909">
        <v>12500</v>
      </c>
      <c r="G1909" t="s">
        <v>619</v>
      </c>
      <c r="H1909">
        <v>12500</v>
      </c>
      <c r="I1909" t="s">
        <v>2607</v>
      </c>
    </row>
    <row r="1910" spans="1:9" x14ac:dyDescent="0.25">
      <c r="A1910" s="91">
        <v>46139</v>
      </c>
      <c r="B1910" t="s">
        <v>2665</v>
      </c>
      <c r="C1910" t="s">
        <v>4284</v>
      </c>
      <c r="D1910" t="s">
        <v>3680</v>
      </c>
      <c r="E1910" t="s">
        <v>3681</v>
      </c>
      <c r="F1910">
        <v>6500</v>
      </c>
      <c r="G1910" t="s">
        <v>619</v>
      </c>
      <c r="H1910">
        <v>6500</v>
      </c>
      <c r="I1910" t="s">
        <v>2607</v>
      </c>
    </row>
    <row r="1911" spans="1:9" x14ac:dyDescent="0.25">
      <c r="A1911" s="91">
        <v>46139</v>
      </c>
      <c r="B1911" t="s">
        <v>2736</v>
      </c>
      <c r="C1911" t="s">
        <v>4285</v>
      </c>
      <c r="D1911" t="s">
        <v>4273</v>
      </c>
      <c r="E1911" t="s">
        <v>4274</v>
      </c>
      <c r="F1911">
        <v>5200</v>
      </c>
      <c r="G1911" t="s">
        <v>622</v>
      </c>
      <c r="H1911">
        <v>5200</v>
      </c>
      <c r="I1911" t="s">
        <v>2607</v>
      </c>
    </row>
    <row r="1912" spans="1:9" x14ac:dyDescent="0.25">
      <c r="A1912" s="91">
        <v>46139</v>
      </c>
      <c r="B1912" t="s">
        <v>679</v>
      </c>
      <c r="C1912" t="s">
        <v>4286</v>
      </c>
      <c r="D1912">
        <v>7213</v>
      </c>
      <c r="E1912" t="s">
        <v>719</v>
      </c>
      <c r="F1912">
        <v>85000</v>
      </c>
      <c r="G1912" t="s">
        <v>622</v>
      </c>
      <c r="H1912">
        <v>85000</v>
      </c>
      <c r="I1912" t="s">
        <v>2633</v>
      </c>
    </row>
    <row r="1913" spans="1:9" x14ac:dyDescent="0.25">
      <c r="A1913" s="91">
        <v>46139</v>
      </c>
      <c r="B1913" t="s">
        <v>712</v>
      </c>
      <c r="C1913" t="s">
        <v>4287</v>
      </c>
      <c r="D1913" t="s">
        <v>1127</v>
      </c>
      <c r="E1913" t="s">
        <v>713</v>
      </c>
      <c r="F1913">
        <v>50000</v>
      </c>
      <c r="G1913" t="s">
        <v>622</v>
      </c>
      <c r="H1913">
        <v>50000</v>
      </c>
      <c r="I1913" t="s">
        <v>2607</v>
      </c>
    </row>
    <row r="1914" spans="1:9" x14ac:dyDescent="0.25">
      <c r="A1914" s="91">
        <v>46139</v>
      </c>
      <c r="B1914" t="s">
        <v>712</v>
      </c>
      <c r="C1914" t="s">
        <v>4288</v>
      </c>
      <c r="D1914" t="s">
        <v>1128</v>
      </c>
      <c r="E1914" t="s">
        <v>781</v>
      </c>
      <c r="F1914">
        <v>50000</v>
      </c>
      <c r="G1914" t="s">
        <v>622</v>
      </c>
      <c r="H1914">
        <v>50000</v>
      </c>
      <c r="I1914" t="s">
        <v>2607</v>
      </c>
    </row>
    <row r="1915" spans="1:9" x14ac:dyDescent="0.25">
      <c r="A1915" s="91">
        <v>46139</v>
      </c>
      <c r="B1915" t="s">
        <v>682</v>
      </c>
      <c r="C1915" t="s">
        <v>4289</v>
      </c>
      <c r="D1915">
        <v>7297</v>
      </c>
      <c r="E1915" t="s">
        <v>684</v>
      </c>
      <c r="F1915">
        <v>30000</v>
      </c>
      <c r="G1915" t="s">
        <v>622</v>
      </c>
      <c r="H1915">
        <v>30000</v>
      </c>
      <c r="I1915" t="s">
        <v>2633</v>
      </c>
    </row>
    <row r="1916" spans="1:9" x14ac:dyDescent="0.25">
      <c r="A1916" s="91">
        <v>46139</v>
      </c>
      <c r="B1916" t="s">
        <v>688</v>
      </c>
      <c r="C1916" t="s">
        <v>4290</v>
      </c>
      <c r="D1916">
        <v>7746</v>
      </c>
      <c r="E1916" t="s">
        <v>692</v>
      </c>
      <c r="F1916">
        <v>68000</v>
      </c>
      <c r="G1916" t="s">
        <v>622</v>
      </c>
      <c r="H1916">
        <v>68000</v>
      </c>
      <c r="I1916" t="s">
        <v>2633</v>
      </c>
    </row>
    <row r="1917" spans="1:9" x14ac:dyDescent="0.25">
      <c r="A1917" s="91">
        <v>46139</v>
      </c>
      <c r="B1917">
        <v>7002</v>
      </c>
      <c r="C1917" t="s">
        <v>4291</v>
      </c>
      <c r="D1917">
        <v>907019</v>
      </c>
      <c r="E1917" t="s">
        <v>3154</v>
      </c>
      <c r="F1917">
        <v>156</v>
      </c>
      <c r="G1917" t="s">
        <v>619</v>
      </c>
      <c r="H1917">
        <v>156</v>
      </c>
      <c r="I1917" t="s">
        <v>2607</v>
      </c>
    </row>
    <row r="1918" spans="1:9" x14ac:dyDescent="0.25">
      <c r="A1918" s="91">
        <v>46139</v>
      </c>
      <c r="B1918" t="s">
        <v>2621</v>
      </c>
      <c r="C1918" t="s">
        <v>4292</v>
      </c>
      <c r="D1918">
        <v>529300</v>
      </c>
      <c r="E1918" t="s">
        <v>2623</v>
      </c>
      <c r="F1918">
        <v>6667</v>
      </c>
      <c r="G1918" t="s">
        <v>619</v>
      </c>
      <c r="H1918">
        <v>6667</v>
      </c>
      <c r="I1918" t="s">
        <v>2607</v>
      </c>
    </row>
    <row r="1919" spans="1:9" x14ac:dyDescent="0.25">
      <c r="A1919" s="91">
        <v>46140</v>
      </c>
      <c r="B1919" t="s">
        <v>2736</v>
      </c>
      <c r="C1919" t="s">
        <v>4293</v>
      </c>
      <c r="D1919" t="s">
        <v>4273</v>
      </c>
      <c r="E1919" t="s">
        <v>4274</v>
      </c>
      <c r="F1919">
        <v>5200</v>
      </c>
      <c r="G1919" t="s">
        <v>622</v>
      </c>
      <c r="H1919">
        <v>5200</v>
      </c>
      <c r="I1919" t="s">
        <v>2607</v>
      </c>
    </row>
    <row r="1920" spans="1:9" x14ac:dyDescent="0.25">
      <c r="A1920" s="91">
        <v>46140</v>
      </c>
      <c r="B1920" t="s">
        <v>2610</v>
      </c>
      <c r="C1920" t="s">
        <v>4294</v>
      </c>
      <c r="D1920">
        <v>520860</v>
      </c>
      <c r="E1920" t="s">
        <v>1388</v>
      </c>
      <c r="F1920">
        <v>12500</v>
      </c>
      <c r="G1920" t="s">
        <v>619</v>
      </c>
      <c r="H1920">
        <v>12500</v>
      </c>
      <c r="I1920" t="s">
        <v>2607</v>
      </c>
    </row>
    <row r="1921" spans="1:9" x14ac:dyDescent="0.25">
      <c r="A1921" s="91">
        <v>46140</v>
      </c>
      <c r="B1921" t="s">
        <v>2606</v>
      </c>
      <c r="C1921" t="s">
        <v>4295</v>
      </c>
      <c r="D1921">
        <v>85203</v>
      </c>
      <c r="E1921" t="s">
        <v>2998</v>
      </c>
      <c r="F1921">
        <v>6250</v>
      </c>
      <c r="G1921" t="s">
        <v>619</v>
      </c>
      <c r="H1921">
        <v>6250</v>
      </c>
      <c r="I1921" t="s">
        <v>2607</v>
      </c>
    </row>
    <row r="1922" spans="1:9" x14ac:dyDescent="0.25">
      <c r="A1922" s="91">
        <v>46140</v>
      </c>
      <c r="B1922" t="s">
        <v>685</v>
      </c>
      <c r="C1922" t="s">
        <v>4296</v>
      </c>
      <c r="D1922" t="s">
        <v>686</v>
      </c>
      <c r="E1922" t="s">
        <v>687</v>
      </c>
      <c r="F1922">
        <v>40000</v>
      </c>
      <c r="G1922" t="s">
        <v>622</v>
      </c>
      <c r="H1922">
        <v>40000</v>
      </c>
      <c r="I1922" t="s">
        <v>2633</v>
      </c>
    </row>
    <row r="1923" spans="1:9" x14ac:dyDescent="0.25">
      <c r="A1923" s="91">
        <v>46140</v>
      </c>
      <c r="B1923" t="s">
        <v>2665</v>
      </c>
      <c r="C1923" t="s">
        <v>4297</v>
      </c>
      <c r="D1923" t="s">
        <v>3680</v>
      </c>
      <c r="E1923" t="s">
        <v>3681</v>
      </c>
      <c r="F1923">
        <v>4500</v>
      </c>
      <c r="G1923" t="s">
        <v>619</v>
      </c>
      <c r="H1923">
        <v>4500</v>
      </c>
      <c r="I1923" t="s">
        <v>2607</v>
      </c>
    </row>
    <row r="1924" spans="1:9" x14ac:dyDescent="0.25">
      <c r="A1924" s="91">
        <v>46140</v>
      </c>
      <c r="B1924" t="s">
        <v>2665</v>
      </c>
      <c r="C1924" t="s">
        <v>4298</v>
      </c>
      <c r="D1924" t="s">
        <v>4299</v>
      </c>
      <c r="E1924" t="s">
        <v>4300</v>
      </c>
      <c r="F1924">
        <v>400</v>
      </c>
      <c r="G1924" t="s">
        <v>619</v>
      </c>
      <c r="H1924">
        <v>400</v>
      </c>
      <c r="I1924" t="s">
        <v>2607</v>
      </c>
    </row>
    <row r="1925" spans="1:9" x14ac:dyDescent="0.25">
      <c r="A1925" s="91">
        <v>46140</v>
      </c>
      <c r="B1925" t="s">
        <v>715</v>
      </c>
      <c r="C1925" t="s">
        <v>4301</v>
      </c>
      <c r="D1925">
        <v>7185</v>
      </c>
      <c r="E1925" t="s">
        <v>717</v>
      </c>
      <c r="F1925">
        <v>55000</v>
      </c>
      <c r="G1925" t="s">
        <v>622</v>
      </c>
      <c r="H1925">
        <v>55000</v>
      </c>
      <c r="I1925" t="s">
        <v>2633</v>
      </c>
    </row>
    <row r="1926" spans="1:9" x14ac:dyDescent="0.25">
      <c r="A1926" s="91">
        <v>46140</v>
      </c>
      <c r="B1926" t="s">
        <v>2608</v>
      </c>
      <c r="C1926" t="s">
        <v>4302</v>
      </c>
      <c r="D1926">
        <v>7018</v>
      </c>
      <c r="E1926" t="s">
        <v>1077</v>
      </c>
      <c r="F1926">
        <v>105000</v>
      </c>
      <c r="G1926" t="s">
        <v>622</v>
      </c>
      <c r="H1926">
        <v>105000</v>
      </c>
      <c r="I1926" t="s">
        <v>2609</v>
      </c>
    </row>
    <row r="1927" spans="1:9" x14ac:dyDescent="0.25">
      <c r="A1927" s="91">
        <v>46140</v>
      </c>
      <c r="B1927" t="s">
        <v>693</v>
      </c>
      <c r="C1927" t="s">
        <v>4303</v>
      </c>
      <c r="D1927">
        <v>910326</v>
      </c>
      <c r="E1927" t="s">
        <v>1583</v>
      </c>
      <c r="F1927">
        <v>9672</v>
      </c>
      <c r="G1927" t="s">
        <v>619</v>
      </c>
      <c r="H1927">
        <v>9672</v>
      </c>
      <c r="I1927" t="s">
        <v>2607</v>
      </c>
    </row>
    <row r="1928" spans="1:9" x14ac:dyDescent="0.25">
      <c r="A1928" s="91">
        <v>46140</v>
      </c>
      <c r="B1928" t="s">
        <v>2621</v>
      </c>
      <c r="C1928" t="s">
        <v>4304</v>
      </c>
      <c r="D1928">
        <v>529300</v>
      </c>
      <c r="E1928" t="s">
        <v>2623</v>
      </c>
      <c r="F1928">
        <v>6667</v>
      </c>
      <c r="G1928" t="s">
        <v>619</v>
      </c>
      <c r="H1928">
        <v>6667</v>
      </c>
      <c r="I1928" t="s">
        <v>2607</v>
      </c>
    </row>
    <row r="1929" spans="1:9" x14ac:dyDescent="0.25">
      <c r="A1929" s="91">
        <v>46140</v>
      </c>
      <c r="B1929" t="s">
        <v>712</v>
      </c>
      <c r="C1929" t="s">
        <v>4305</v>
      </c>
      <c r="D1929" t="s">
        <v>1127</v>
      </c>
      <c r="E1929" t="s">
        <v>713</v>
      </c>
      <c r="F1929">
        <v>50000</v>
      </c>
      <c r="G1929" t="s">
        <v>622</v>
      </c>
      <c r="H1929">
        <v>50000</v>
      </c>
      <c r="I1929" t="s">
        <v>2607</v>
      </c>
    </row>
    <row r="1930" spans="1:9" x14ac:dyDescent="0.25">
      <c r="A1930" s="91">
        <v>46140</v>
      </c>
      <c r="B1930" t="s">
        <v>682</v>
      </c>
      <c r="C1930" t="s">
        <v>4306</v>
      </c>
      <c r="D1930">
        <v>7304</v>
      </c>
      <c r="E1930" t="s">
        <v>770</v>
      </c>
      <c r="F1930">
        <v>27000</v>
      </c>
      <c r="G1930" t="s">
        <v>622</v>
      </c>
      <c r="H1930">
        <v>27000</v>
      </c>
      <c r="I1930" t="s">
        <v>2633</v>
      </c>
    </row>
    <row r="1931" spans="1:9" x14ac:dyDescent="0.25">
      <c r="A1931" s="91">
        <v>46140</v>
      </c>
      <c r="B1931" t="s">
        <v>688</v>
      </c>
      <c r="C1931" t="s">
        <v>4307</v>
      </c>
      <c r="D1931">
        <v>7746</v>
      </c>
      <c r="E1931" t="s">
        <v>692</v>
      </c>
      <c r="F1931">
        <v>68000</v>
      </c>
      <c r="G1931" t="s">
        <v>622</v>
      </c>
      <c r="H1931">
        <v>68000</v>
      </c>
      <c r="I1931" t="s">
        <v>2633</v>
      </c>
    </row>
    <row r="1932" spans="1:9" x14ac:dyDescent="0.25">
      <c r="A1932" s="91">
        <v>46140</v>
      </c>
      <c r="B1932">
        <v>7002</v>
      </c>
      <c r="C1932" t="s">
        <v>4308</v>
      </c>
      <c r="D1932">
        <v>907019</v>
      </c>
      <c r="E1932" t="s">
        <v>3154</v>
      </c>
      <c r="F1932">
        <v>156</v>
      </c>
      <c r="G1932" t="s">
        <v>619</v>
      </c>
      <c r="H1932">
        <v>156</v>
      </c>
      <c r="I1932" t="s">
        <v>2607</v>
      </c>
    </row>
    <row r="1933" spans="1:9" x14ac:dyDescent="0.25">
      <c r="A1933" s="91">
        <v>46140</v>
      </c>
      <c r="B1933" t="s">
        <v>693</v>
      </c>
      <c r="C1933" t="s">
        <v>4309</v>
      </c>
      <c r="D1933">
        <v>910526</v>
      </c>
      <c r="E1933" t="s">
        <v>1602</v>
      </c>
      <c r="F1933">
        <v>9672</v>
      </c>
      <c r="G1933" t="s">
        <v>619</v>
      </c>
      <c r="H1933">
        <v>9672</v>
      </c>
      <c r="I1933" t="s">
        <v>2607</v>
      </c>
    </row>
    <row r="1934" spans="1:9" x14ac:dyDescent="0.25">
      <c r="A1934" s="91">
        <v>46141</v>
      </c>
      <c r="B1934" t="s">
        <v>2608</v>
      </c>
      <c r="C1934" t="s">
        <v>4310</v>
      </c>
      <c r="D1934">
        <v>79502</v>
      </c>
      <c r="E1934" t="s">
        <v>885</v>
      </c>
      <c r="F1934">
        <v>105000</v>
      </c>
      <c r="G1934" t="s">
        <v>622</v>
      </c>
      <c r="H1934">
        <v>105000</v>
      </c>
      <c r="I1934" t="s">
        <v>2609</v>
      </c>
    </row>
    <row r="1935" spans="1:9" x14ac:dyDescent="0.25">
      <c r="A1935" s="91">
        <v>46141</v>
      </c>
      <c r="B1935" t="s">
        <v>2606</v>
      </c>
      <c r="C1935" t="s">
        <v>4311</v>
      </c>
      <c r="D1935">
        <v>85201</v>
      </c>
      <c r="E1935" t="s">
        <v>2068</v>
      </c>
      <c r="F1935">
        <v>6250</v>
      </c>
      <c r="G1935" t="s">
        <v>619</v>
      </c>
      <c r="H1935">
        <v>6250</v>
      </c>
      <c r="I1935" t="s">
        <v>2607</v>
      </c>
    </row>
    <row r="1936" spans="1:9" x14ac:dyDescent="0.25">
      <c r="A1936" s="91">
        <v>46141</v>
      </c>
      <c r="B1936" t="s">
        <v>685</v>
      </c>
      <c r="C1936" t="s">
        <v>4312</v>
      </c>
      <c r="D1936" t="s">
        <v>686</v>
      </c>
      <c r="E1936" t="s">
        <v>687</v>
      </c>
      <c r="F1936">
        <v>40000</v>
      </c>
      <c r="G1936" t="s">
        <v>622</v>
      </c>
      <c r="H1936">
        <v>40000</v>
      </c>
      <c r="I1936" t="s">
        <v>2633</v>
      </c>
    </row>
    <row r="1937" spans="1:9" x14ac:dyDescent="0.25">
      <c r="A1937" s="91">
        <v>46141</v>
      </c>
      <c r="B1937" t="s">
        <v>2665</v>
      </c>
      <c r="C1937" t="s">
        <v>4313</v>
      </c>
      <c r="D1937" t="s">
        <v>2452</v>
      </c>
      <c r="E1937" t="s">
        <v>3352</v>
      </c>
      <c r="F1937">
        <v>4500</v>
      </c>
      <c r="G1937" t="s">
        <v>619</v>
      </c>
      <c r="H1937">
        <v>4500</v>
      </c>
      <c r="I1937" t="s">
        <v>2607</v>
      </c>
    </row>
    <row r="1938" spans="1:9" x14ac:dyDescent="0.25">
      <c r="A1938" s="91">
        <v>46141</v>
      </c>
      <c r="B1938" t="s">
        <v>2665</v>
      </c>
      <c r="C1938" t="s">
        <v>4314</v>
      </c>
      <c r="D1938" t="s">
        <v>2454</v>
      </c>
      <c r="E1938" t="s">
        <v>3349</v>
      </c>
      <c r="F1938">
        <v>400</v>
      </c>
      <c r="G1938" t="s">
        <v>619</v>
      </c>
      <c r="H1938">
        <v>400</v>
      </c>
      <c r="I1938" t="s">
        <v>2607</v>
      </c>
    </row>
    <row r="1939" spans="1:9" x14ac:dyDescent="0.25">
      <c r="A1939" s="91">
        <v>46141</v>
      </c>
      <c r="B1939" t="s">
        <v>2610</v>
      </c>
      <c r="C1939" t="s">
        <v>4315</v>
      </c>
      <c r="D1939">
        <v>520860</v>
      </c>
      <c r="E1939" t="s">
        <v>1388</v>
      </c>
      <c r="F1939">
        <v>12500</v>
      </c>
      <c r="G1939" t="s">
        <v>619</v>
      </c>
      <c r="H1939">
        <v>12500</v>
      </c>
      <c r="I1939" t="s">
        <v>2607</v>
      </c>
    </row>
    <row r="1940" spans="1:9" x14ac:dyDescent="0.25">
      <c r="A1940" s="91">
        <v>46141</v>
      </c>
      <c r="B1940" t="s">
        <v>2621</v>
      </c>
      <c r="C1940" t="s">
        <v>4316</v>
      </c>
      <c r="D1940">
        <v>529300</v>
      </c>
      <c r="E1940" t="s">
        <v>2623</v>
      </c>
      <c r="F1940">
        <v>6667</v>
      </c>
      <c r="G1940" t="s">
        <v>619</v>
      </c>
      <c r="H1940">
        <v>6667</v>
      </c>
      <c r="I1940" t="s">
        <v>2607</v>
      </c>
    </row>
    <row r="1941" spans="1:9" x14ac:dyDescent="0.25">
      <c r="A1941" s="91">
        <v>46141</v>
      </c>
      <c r="B1941" t="s">
        <v>712</v>
      </c>
      <c r="C1941" t="s">
        <v>4317</v>
      </c>
      <c r="D1941" t="s">
        <v>1127</v>
      </c>
      <c r="E1941" t="s">
        <v>713</v>
      </c>
      <c r="F1941">
        <v>50000</v>
      </c>
      <c r="G1941" t="s">
        <v>622</v>
      </c>
      <c r="H1941">
        <v>50000</v>
      </c>
      <c r="I1941" t="s">
        <v>2607</v>
      </c>
    </row>
    <row r="1942" spans="1:9" x14ac:dyDescent="0.25">
      <c r="A1942" s="91">
        <v>46141</v>
      </c>
      <c r="B1942" t="s">
        <v>682</v>
      </c>
      <c r="C1942" t="s">
        <v>4318</v>
      </c>
      <c r="D1942" t="s">
        <v>806</v>
      </c>
      <c r="E1942" t="s">
        <v>807</v>
      </c>
      <c r="F1942">
        <v>28000</v>
      </c>
      <c r="G1942" t="s">
        <v>622</v>
      </c>
      <c r="H1942">
        <v>28000</v>
      </c>
      <c r="I1942" t="s">
        <v>2633</v>
      </c>
    </row>
    <row r="1943" spans="1:9" x14ac:dyDescent="0.25">
      <c r="A1943" s="91">
        <v>46141</v>
      </c>
      <c r="B1943" t="s">
        <v>688</v>
      </c>
      <c r="C1943" t="s">
        <v>4319</v>
      </c>
      <c r="D1943">
        <v>7746</v>
      </c>
      <c r="E1943" t="s">
        <v>692</v>
      </c>
      <c r="F1943">
        <v>68000</v>
      </c>
      <c r="G1943" t="s">
        <v>622</v>
      </c>
      <c r="H1943">
        <v>68000</v>
      </c>
      <c r="I1943" t="s">
        <v>2633</v>
      </c>
    </row>
    <row r="1944" spans="1:9" x14ac:dyDescent="0.25">
      <c r="A1944" s="91">
        <v>46141</v>
      </c>
      <c r="B1944">
        <v>7002</v>
      </c>
      <c r="C1944" t="s">
        <v>4320</v>
      </c>
      <c r="D1944">
        <v>907019</v>
      </c>
      <c r="E1944" t="s">
        <v>3154</v>
      </c>
      <c r="F1944">
        <v>156</v>
      </c>
      <c r="G1944" t="s">
        <v>619</v>
      </c>
      <c r="H1944">
        <v>156</v>
      </c>
      <c r="I1944" t="s">
        <v>2607</v>
      </c>
    </row>
    <row r="1945" spans="1:9" x14ac:dyDescent="0.25">
      <c r="A1945" s="91">
        <v>46141</v>
      </c>
      <c r="B1945" t="s">
        <v>2736</v>
      </c>
      <c r="C1945" t="s">
        <v>4321</v>
      </c>
      <c r="D1945" t="s">
        <v>4273</v>
      </c>
      <c r="E1945" t="s">
        <v>4274</v>
      </c>
      <c r="F1945">
        <v>5200</v>
      </c>
      <c r="G1945" t="s">
        <v>622</v>
      </c>
      <c r="H1945">
        <v>5200</v>
      </c>
      <c r="I1945" t="s">
        <v>2607</v>
      </c>
    </row>
    <row r="1946" spans="1:9" x14ac:dyDescent="0.25">
      <c r="A1946" s="91">
        <v>46142</v>
      </c>
      <c r="B1946" t="s">
        <v>81</v>
      </c>
      <c r="C1946" t="s">
        <v>4322</v>
      </c>
      <c r="D1946">
        <v>2334</v>
      </c>
      <c r="E1946" t="s">
        <v>803</v>
      </c>
      <c r="F1946">
        <v>50</v>
      </c>
      <c r="G1946" t="s">
        <v>622</v>
      </c>
      <c r="H1946">
        <v>50</v>
      </c>
      <c r="I1946" t="s">
        <v>2607</v>
      </c>
    </row>
    <row r="1947" spans="1:9" x14ac:dyDescent="0.25">
      <c r="A1947" s="91">
        <v>46142</v>
      </c>
      <c r="B1947" t="s">
        <v>81</v>
      </c>
      <c r="C1947" t="s">
        <v>4323</v>
      </c>
      <c r="D1947">
        <v>2234</v>
      </c>
      <c r="E1947" t="s">
        <v>789</v>
      </c>
      <c r="F1947">
        <v>185</v>
      </c>
      <c r="G1947" t="s">
        <v>622</v>
      </c>
      <c r="H1947">
        <v>185</v>
      </c>
      <c r="I1947" t="s">
        <v>2607</v>
      </c>
    </row>
    <row r="1948" spans="1:9" x14ac:dyDescent="0.25">
      <c r="A1948" s="91">
        <v>46142</v>
      </c>
      <c r="B1948" t="s">
        <v>81</v>
      </c>
      <c r="C1948" t="s">
        <v>4324</v>
      </c>
      <c r="D1948">
        <v>2200</v>
      </c>
      <c r="E1948" t="s">
        <v>745</v>
      </c>
      <c r="F1948">
        <v>303</v>
      </c>
      <c r="G1948" t="s">
        <v>622</v>
      </c>
      <c r="H1948">
        <v>303</v>
      </c>
      <c r="I1948" t="s">
        <v>2607</v>
      </c>
    </row>
    <row r="1949" spans="1:9" x14ac:dyDescent="0.25">
      <c r="A1949" s="91">
        <v>46142</v>
      </c>
      <c r="B1949" t="s">
        <v>81</v>
      </c>
      <c r="C1949" t="s">
        <v>4325</v>
      </c>
      <c r="D1949">
        <v>2330</v>
      </c>
      <c r="E1949" t="s">
        <v>813</v>
      </c>
      <c r="F1949">
        <v>50</v>
      </c>
      <c r="G1949" t="s">
        <v>622</v>
      </c>
      <c r="H1949">
        <v>50</v>
      </c>
      <c r="I1949" t="s">
        <v>2607</v>
      </c>
    </row>
    <row r="1950" spans="1:9" x14ac:dyDescent="0.25">
      <c r="A1950" s="91">
        <v>46142</v>
      </c>
      <c r="B1950" t="s">
        <v>81</v>
      </c>
      <c r="C1950" t="s">
        <v>4326</v>
      </c>
      <c r="D1950">
        <v>2340</v>
      </c>
      <c r="E1950" t="s">
        <v>805</v>
      </c>
      <c r="F1950">
        <v>50</v>
      </c>
      <c r="G1950" t="s">
        <v>622</v>
      </c>
      <c r="H1950">
        <v>50</v>
      </c>
      <c r="I1950" t="s">
        <v>2607</v>
      </c>
    </row>
    <row r="1951" spans="1:9" x14ac:dyDescent="0.25">
      <c r="A1951" s="91">
        <v>46142</v>
      </c>
      <c r="B1951" t="s">
        <v>81</v>
      </c>
      <c r="C1951" t="s">
        <v>4327</v>
      </c>
      <c r="D1951">
        <v>2202</v>
      </c>
      <c r="E1951" t="s">
        <v>772</v>
      </c>
      <c r="F1951">
        <v>337</v>
      </c>
      <c r="G1951" t="s">
        <v>622</v>
      </c>
      <c r="H1951">
        <v>337</v>
      </c>
      <c r="I1951" t="s">
        <v>2607</v>
      </c>
    </row>
    <row r="1952" spans="1:9" x14ac:dyDescent="0.25">
      <c r="A1952" s="91">
        <v>46142</v>
      </c>
      <c r="B1952" t="s">
        <v>81</v>
      </c>
      <c r="C1952" t="s">
        <v>4328</v>
      </c>
      <c r="D1952">
        <v>2212</v>
      </c>
      <c r="E1952" t="s">
        <v>776</v>
      </c>
      <c r="F1952">
        <v>251</v>
      </c>
      <c r="G1952" t="s">
        <v>622</v>
      </c>
      <c r="H1952">
        <v>251</v>
      </c>
      <c r="I1952" t="s">
        <v>2607</v>
      </c>
    </row>
    <row r="1953" spans="1:9" x14ac:dyDescent="0.25">
      <c r="A1953" s="91">
        <v>46142</v>
      </c>
      <c r="B1953" t="s">
        <v>81</v>
      </c>
      <c r="C1953" t="s">
        <v>4329</v>
      </c>
      <c r="D1953">
        <v>2208</v>
      </c>
      <c r="E1953" t="s">
        <v>758</v>
      </c>
      <c r="F1953">
        <v>226</v>
      </c>
      <c r="G1953" t="s">
        <v>622</v>
      </c>
      <c r="H1953">
        <v>226</v>
      </c>
      <c r="I1953" t="s">
        <v>2607</v>
      </c>
    </row>
    <row r="1954" spans="1:9" x14ac:dyDescent="0.25">
      <c r="A1954" s="91">
        <v>46142</v>
      </c>
      <c r="B1954" t="s">
        <v>81</v>
      </c>
      <c r="C1954" t="s">
        <v>4330</v>
      </c>
      <c r="D1954">
        <v>2250</v>
      </c>
      <c r="E1954" t="s">
        <v>797</v>
      </c>
      <c r="F1954">
        <v>151</v>
      </c>
      <c r="G1954" t="s">
        <v>622</v>
      </c>
      <c r="H1954">
        <v>151</v>
      </c>
      <c r="I1954" t="s">
        <v>2607</v>
      </c>
    </row>
    <row r="1955" spans="1:9" x14ac:dyDescent="0.25">
      <c r="A1955" s="91">
        <v>46142</v>
      </c>
      <c r="B1955" t="s">
        <v>81</v>
      </c>
      <c r="C1955" t="s">
        <v>4331</v>
      </c>
      <c r="D1955">
        <v>2242</v>
      </c>
      <c r="E1955" t="s">
        <v>793</v>
      </c>
      <c r="F1955">
        <v>233</v>
      </c>
      <c r="G1955" t="s">
        <v>622</v>
      </c>
      <c r="H1955">
        <v>233</v>
      </c>
      <c r="I1955" t="s">
        <v>2607</v>
      </c>
    </row>
    <row r="1956" spans="1:9" x14ac:dyDescent="0.25">
      <c r="A1956" s="91">
        <v>46142</v>
      </c>
      <c r="B1956" t="s">
        <v>81</v>
      </c>
      <c r="C1956" t="s">
        <v>4332</v>
      </c>
      <c r="D1956">
        <v>2256</v>
      </c>
      <c r="E1956" t="s">
        <v>801</v>
      </c>
      <c r="F1956">
        <v>182</v>
      </c>
      <c r="G1956" t="s">
        <v>622</v>
      </c>
      <c r="H1956">
        <v>182</v>
      </c>
      <c r="I1956" t="s">
        <v>2607</v>
      </c>
    </row>
    <row r="1957" spans="1:9" x14ac:dyDescent="0.25">
      <c r="A1957" s="91">
        <v>46142</v>
      </c>
      <c r="B1957" t="s">
        <v>81</v>
      </c>
      <c r="C1957" t="s">
        <v>4333</v>
      </c>
      <c r="D1957">
        <v>2238</v>
      </c>
      <c r="E1957" t="s">
        <v>760</v>
      </c>
      <c r="F1957">
        <v>162</v>
      </c>
      <c r="G1957" t="s">
        <v>622</v>
      </c>
      <c r="H1957">
        <v>162</v>
      </c>
      <c r="I1957" t="s">
        <v>2607</v>
      </c>
    </row>
    <row r="1958" spans="1:9" x14ac:dyDescent="0.25">
      <c r="A1958" s="91">
        <v>46142</v>
      </c>
      <c r="B1958" t="s">
        <v>81</v>
      </c>
      <c r="C1958" t="s">
        <v>4334</v>
      </c>
      <c r="D1958">
        <v>2248</v>
      </c>
      <c r="E1958" t="s">
        <v>751</v>
      </c>
      <c r="F1958">
        <v>160</v>
      </c>
      <c r="G1958" t="s">
        <v>622</v>
      </c>
      <c r="H1958">
        <v>160</v>
      </c>
      <c r="I1958" t="s">
        <v>2607</v>
      </c>
    </row>
    <row r="1959" spans="1:9" x14ac:dyDescent="0.25">
      <c r="A1959" s="91">
        <v>46142</v>
      </c>
      <c r="B1959" t="s">
        <v>81</v>
      </c>
      <c r="C1959" t="s">
        <v>4335</v>
      </c>
      <c r="D1959">
        <v>2254</v>
      </c>
      <c r="E1959" t="s">
        <v>766</v>
      </c>
      <c r="F1959">
        <v>193</v>
      </c>
      <c r="G1959" t="s">
        <v>622</v>
      </c>
      <c r="H1959">
        <v>193</v>
      </c>
      <c r="I1959" t="s">
        <v>2607</v>
      </c>
    </row>
    <row r="1960" spans="1:9" x14ac:dyDescent="0.25">
      <c r="A1960" s="91">
        <v>46142</v>
      </c>
      <c r="B1960" t="s">
        <v>81</v>
      </c>
      <c r="C1960" t="s">
        <v>4336</v>
      </c>
      <c r="D1960">
        <v>2332</v>
      </c>
      <c r="E1960" t="s">
        <v>1028</v>
      </c>
      <c r="F1960">
        <v>50</v>
      </c>
      <c r="G1960" t="s">
        <v>622</v>
      </c>
      <c r="H1960">
        <v>50</v>
      </c>
      <c r="I1960" t="s">
        <v>2607</v>
      </c>
    </row>
    <row r="1961" spans="1:9" x14ac:dyDescent="0.25">
      <c r="A1961" s="91">
        <v>46142</v>
      </c>
      <c r="B1961" t="s">
        <v>81</v>
      </c>
      <c r="C1961" t="s">
        <v>4337</v>
      </c>
      <c r="D1961">
        <v>2236</v>
      </c>
      <c r="E1961" t="s">
        <v>791</v>
      </c>
      <c r="F1961">
        <v>176</v>
      </c>
      <c r="G1961" t="s">
        <v>622</v>
      </c>
      <c r="H1961">
        <v>176</v>
      </c>
      <c r="I1961" t="s">
        <v>2607</v>
      </c>
    </row>
    <row r="1962" spans="1:9" x14ac:dyDescent="0.25">
      <c r="A1962" s="91">
        <v>46142</v>
      </c>
      <c r="B1962" t="s">
        <v>81</v>
      </c>
      <c r="C1962" t="s">
        <v>4338</v>
      </c>
      <c r="D1962">
        <v>2210</v>
      </c>
      <c r="E1962" t="s">
        <v>774</v>
      </c>
      <c r="F1962">
        <v>281</v>
      </c>
      <c r="G1962" t="s">
        <v>622</v>
      </c>
      <c r="H1962">
        <v>281</v>
      </c>
      <c r="I1962" t="s">
        <v>2607</v>
      </c>
    </row>
    <row r="1963" spans="1:9" x14ac:dyDescent="0.25">
      <c r="A1963" s="91">
        <v>46142</v>
      </c>
      <c r="B1963" t="s">
        <v>81</v>
      </c>
      <c r="C1963" t="s">
        <v>4339</v>
      </c>
      <c r="D1963">
        <v>2252</v>
      </c>
      <c r="E1963" t="s">
        <v>799</v>
      </c>
      <c r="F1963">
        <v>153</v>
      </c>
      <c r="G1963" t="s">
        <v>622</v>
      </c>
      <c r="H1963">
        <v>153</v>
      </c>
      <c r="I1963" t="s">
        <v>2607</v>
      </c>
    </row>
    <row r="1964" spans="1:9" x14ac:dyDescent="0.25">
      <c r="A1964" s="91">
        <v>46142</v>
      </c>
      <c r="B1964" t="s">
        <v>81</v>
      </c>
      <c r="C1964" t="s">
        <v>4340</v>
      </c>
      <c r="D1964">
        <v>2338</v>
      </c>
      <c r="E1964" t="s">
        <v>815</v>
      </c>
      <c r="F1964">
        <v>50</v>
      </c>
      <c r="G1964" t="s">
        <v>622</v>
      </c>
      <c r="H1964">
        <v>50</v>
      </c>
      <c r="I1964" t="s">
        <v>2607</v>
      </c>
    </row>
    <row r="1965" spans="1:9" x14ac:dyDescent="0.25">
      <c r="A1965" s="91">
        <v>46142</v>
      </c>
      <c r="B1965" t="s">
        <v>81</v>
      </c>
      <c r="C1965" t="s">
        <v>4341</v>
      </c>
      <c r="D1965">
        <v>2230</v>
      </c>
      <c r="E1965" t="s">
        <v>749</v>
      </c>
      <c r="F1965">
        <v>157</v>
      </c>
      <c r="G1965" t="s">
        <v>622</v>
      </c>
      <c r="H1965">
        <v>157</v>
      </c>
      <c r="I1965" t="s">
        <v>2607</v>
      </c>
    </row>
    <row r="1966" spans="1:9" x14ac:dyDescent="0.25">
      <c r="A1966" s="91">
        <v>46142</v>
      </c>
      <c r="B1966" t="s">
        <v>81</v>
      </c>
      <c r="C1966" t="s">
        <v>4342</v>
      </c>
      <c r="D1966">
        <v>2246</v>
      </c>
      <c r="E1966" t="s">
        <v>764</v>
      </c>
      <c r="F1966">
        <v>136</v>
      </c>
      <c r="G1966" t="s">
        <v>622</v>
      </c>
      <c r="H1966">
        <v>136</v>
      </c>
      <c r="I1966" t="s">
        <v>2607</v>
      </c>
    </row>
    <row r="1967" spans="1:9" x14ac:dyDescent="0.25">
      <c r="A1967" s="91">
        <v>46142</v>
      </c>
      <c r="B1967">
        <v>7002</v>
      </c>
      <c r="C1967" t="s">
        <v>4343</v>
      </c>
      <c r="D1967">
        <v>907019</v>
      </c>
      <c r="E1967" t="s">
        <v>3154</v>
      </c>
      <c r="F1967">
        <v>156</v>
      </c>
      <c r="G1967" t="s">
        <v>619</v>
      </c>
      <c r="H1967">
        <v>156</v>
      </c>
      <c r="I1967" t="s">
        <v>2607</v>
      </c>
    </row>
    <row r="1968" spans="1:9" x14ac:dyDescent="0.25">
      <c r="A1968" s="91">
        <v>46142</v>
      </c>
      <c r="B1968" t="s">
        <v>688</v>
      </c>
      <c r="C1968" t="s">
        <v>4344</v>
      </c>
      <c r="D1968">
        <v>7746</v>
      </c>
      <c r="E1968" t="s">
        <v>692</v>
      </c>
      <c r="F1968">
        <v>68000</v>
      </c>
      <c r="G1968" t="s">
        <v>622</v>
      </c>
      <c r="H1968">
        <v>68000</v>
      </c>
      <c r="I1968" t="s">
        <v>2633</v>
      </c>
    </row>
    <row r="1969" spans="1:9" x14ac:dyDescent="0.25">
      <c r="A1969" s="91">
        <v>46142</v>
      </c>
      <c r="B1969" t="s">
        <v>712</v>
      </c>
      <c r="C1969" t="s">
        <v>4345</v>
      </c>
      <c r="D1969" t="s">
        <v>1127</v>
      </c>
      <c r="E1969" t="s">
        <v>713</v>
      </c>
      <c r="F1969">
        <v>50000</v>
      </c>
      <c r="G1969" t="s">
        <v>622</v>
      </c>
      <c r="H1969">
        <v>50000</v>
      </c>
      <c r="I1969" t="s">
        <v>2607</v>
      </c>
    </row>
    <row r="1970" spans="1:9" x14ac:dyDescent="0.25">
      <c r="A1970" s="91">
        <v>46142</v>
      </c>
      <c r="B1970" t="s">
        <v>2621</v>
      </c>
      <c r="C1970" t="s">
        <v>4346</v>
      </c>
      <c r="D1970">
        <v>529300</v>
      </c>
      <c r="E1970" t="s">
        <v>2623</v>
      </c>
      <c r="F1970">
        <v>6667</v>
      </c>
      <c r="G1970" t="s">
        <v>619</v>
      </c>
      <c r="H1970">
        <v>6667</v>
      </c>
      <c r="I1970" t="s">
        <v>2607</v>
      </c>
    </row>
    <row r="1971" spans="1:9" x14ac:dyDescent="0.25">
      <c r="A1971" s="91">
        <v>46142</v>
      </c>
      <c r="B1971" t="s">
        <v>2736</v>
      </c>
      <c r="C1971" t="s">
        <v>4347</v>
      </c>
      <c r="D1971" t="s">
        <v>1118</v>
      </c>
      <c r="E1971" t="s">
        <v>1119</v>
      </c>
      <c r="F1971">
        <v>5400</v>
      </c>
      <c r="G1971" t="s">
        <v>622</v>
      </c>
      <c r="H1971">
        <v>5400</v>
      </c>
      <c r="I1971" t="s">
        <v>2607</v>
      </c>
    </row>
    <row r="1972" spans="1:9" x14ac:dyDescent="0.25">
      <c r="A1972" s="91">
        <v>46142</v>
      </c>
      <c r="B1972" t="s">
        <v>2665</v>
      </c>
      <c r="C1972" t="s">
        <v>4348</v>
      </c>
      <c r="D1972" t="s">
        <v>2542</v>
      </c>
      <c r="E1972" t="s">
        <v>3354</v>
      </c>
      <c r="F1972">
        <v>600</v>
      </c>
      <c r="G1972" t="s">
        <v>619</v>
      </c>
      <c r="H1972">
        <v>600</v>
      </c>
      <c r="I1972" t="s">
        <v>2607</v>
      </c>
    </row>
    <row r="1973" spans="1:9" x14ac:dyDescent="0.25">
      <c r="A1973" s="91">
        <v>46142</v>
      </c>
      <c r="B1973" t="s">
        <v>685</v>
      </c>
      <c r="C1973" t="s">
        <v>4349</v>
      </c>
      <c r="D1973">
        <v>7372</v>
      </c>
      <c r="E1973" t="s">
        <v>741</v>
      </c>
      <c r="F1973">
        <v>40000</v>
      </c>
      <c r="G1973" t="s">
        <v>622</v>
      </c>
      <c r="H1973">
        <v>40000</v>
      </c>
      <c r="I1973" t="s">
        <v>2633</v>
      </c>
    </row>
    <row r="1974" spans="1:9" x14ac:dyDescent="0.25">
      <c r="A1974" s="91">
        <v>46142</v>
      </c>
      <c r="B1974" t="s">
        <v>2665</v>
      </c>
      <c r="C1974" t="s">
        <v>4350</v>
      </c>
      <c r="D1974" t="s">
        <v>2540</v>
      </c>
      <c r="E1974" t="s">
        <v>3353</v>
      </c>
      <c r="F1974">
        <v>4000</v>
      </c>
      <c r="G1974" t="s">
        <v>619</v>
      </c>
      <c r="H1974">
        <v>4000</v>
      </c>
      <c r="I1974" t="s">
        <v>2607</v>
      </c>
    </row>
    <row r="1975" spans="1:9" x14ac:dyDescent="0.25">
      <c r="A1975" s="91">
        <v>46142</v>
      </c>
      <c r="B1975" t="s">
        <v>2608</v>
      </c>
      <c r="C1975" t="s">
        <v>4351</v>
      </c>
      <c r="D1975">
        <v>7016</v>
      </c>
      <c r="E1975" t="s">
        <v>628</v>
      </c>
      <c r="F1975">
        <v>105000</v>
      </c>
      <c r="G1975" t="s">
        <v>622</v>
      </c>
      <c r="H1975">
        <v>105000</v>
      </c>
      <c r="I1975" t="s">
        <v>2609</v>
      </c>
    </row>
    <row r="1976" spans="1:9" x14ac:dyDescent="0.25">
      <c r="A1976" s="91">
        <v>46142</v>
      </c>
      <c r="B1976" t="s">
        <v>2610</v>
      </c>
      <c r="C1976" t="s">
        <v>4352</v>
      </c>
      <c r="D1976">
        <v>520860</v>
      </c>
      <c r="E1976" t="s">
        <v>1388</v>
      </c>
      <c r="F1976">
        <v>12500</v>
      </c>
      <c r="G1976" t="s">
        <v>619</v>
      </c>
      <c r="H1976">
        <v>12500</v>
      </c>
      <c r="I1976" t="s">
        <v>2607</v>
      </c>
    </row>
    <row r="1977" spans="1:9" x14ac:dyDescent="0.25">
      <c r="A1977" s="91">
        <v>46142</v>
      </c>
      <c r="B1977" t="s">
        <v>81</v>
      </c>
      <c r="C1977" t="s">
        <v>4353</v>
      </c>
      <c r="D1977">
        <v>2336</v>
      </c>
      <c r="E1977" t="s">
        <v>780</v>
      </c>
      <c r="F1977">
        <v>100</v>
      </c>
      <c r="G1977" t="s">
        <v>622</v>
      </c>
      <c r="H1977">
        <v>100</v>
      </c>
      <c r="I1977" t="s">
        <v>2607</v>
      </c>
    </row>
    <row r="1978" spans="1:9" x14ac:dyDescent="0.25">
      <c r="A1978" s="91">
        <v>46142</v>
      </c>
      <c r="B1978" t="s">
        <v>81</v>
      </c>
      <c r="C1978" t="s">
        <v>4354</v>
      </c>
      <c r="D1978">
        <v>2232</v>
      </c>
      <c r="E1978" t="s">
        <v>778</v>
      </c>
      <c r="F1978">
        <v>121</v>
      </c>
      <c r="G1978" t="s">
        <v>622</v>
      </c>
      <c r="H1978">
        <v>121</v>
      </c>
      <c r="I1978" t="s">
        <v>2607</v>
      </c>
    </row>
    <row r="1979" spans="1:9" x14ac:dyDescent="0.25">
      <c r="A1979" s="91">
        <v>46142</v>
      </c>
      <c r="B1979" t="s">
        <v>81</v>
      </c>
      <c r="C1979" t="s">
        <v>4355</v>
      </c>
      <c r="D1979">
        <v>2240</v>
      </c>
      <c r="E1979" t="s">
        <v>762</v>
      </c>
      <c r="F1979">
        <v>161</v>
      </c>
      <c r="G1979" t="s">
        <v>622</v>
      </c>
      <c r="H1979">
        <v>161</v>
      </c>
      <c r="I1979" t="s">
        <v>2607</v>
      </c>
    </row>
    <row r="1980" spans="1:9" x14ac:dyDescent="0.25">
      <c r="A1980" s="91">
        <v>46142</v>
      </c>
      <c r="B1980" t="s">
        <v>81</v>
      </c>
      <c r="C1980" t="s">
        <v>4356</v>
      </c>
      <c r="D1980">
        <v>2244</v>
      </c>
      <c r="E1980" t="s">
        <v>795</v>
      </c>
      <c r="F1980">
        <v>175</v>
      </c>
      <c r="G1980" t="s">
        <v>622</v>
      </c>
      <c r="H1980">
        <v>175</v>
      </c>
      <c r="I1980" t="s">
        <v>2607</v>
      </c>
    </row>
    <row r="1981" spans="1:9" x14ac:dyDescent="0.25">
      <c r="A1981" s="91">
        <v>46142</v>
      </c>
      <c r="B1981" t="s">
        <v>81</v>
      </c>
      <c r="C1981" t="s">
        <v>4357</v>
      </c>
      <c r="D1981">
        <v>2206</v>
      </c>
      <c r="E1981" t="s">
        <v>787</v>
      </c>
      <c r="F1981">
        <v>244</v>
      </c>
      <c r="G1981" t="s">
        <v>622</v>
      </c>
      <c r="H1981">
        <v>244</v>
      </c>
      <c r="I1981" t="s">
        <v>2607</v>
      </c>
    </row>
    <row r="1982" spans="1:9" x14ac:dyDescent="0.25">
      <c r="A1982" s="91">
        <v>46142</v>
      </c>
      <c r="B1982" t="s">
        <v>81</v>
      </c>
      <c r="C1982" t="s">
        <v>4358</v>
      </c>
      <c r="D1982">
        <v>2204</v>
      </c>
      <c r="E1982" t="s">
        <v>747</v>
      </c>
      <c r="F1982">
        <v>228</v>
      </c>
      <c r="G1982" t="s">
        <v>622</v>
      </c>
      <c r="H1982">
        <v>228</v>
      </c>
      <c r="I1982" t="s">
        <v>2607</v>
      </c>
    </row>
    <row r="1983" spans="1:9" x14ac:dyDescent="0.25">
      <c r="A1983" s="91">
        <v>46142</v>
      </c>
      <c r="B1983" t="s">
        <v>2606</v>
      </c>
      <c r="C1983" t="s">
        <v>4359</v>
      </c>
      <c r="D1983">
        <v>85200</v>
      </c>
      <c r="E1983" t="s">
        <v>2529</v>
      </c>
      <c r="F1983">
        <v>6250</v>
      </c>
      <c r="G1983" t="s">
        <v>619</v>
      </c>
      <c r="H1983">
        <v>6250</v>
      </c>
      <c r="I1983" t="s">
        <v>2607</v>
      </c>
    </row>
    <row r="1984" spans="1:9" x14ac:dyDescent="0.25">
      <c r="A1984" s="91">
        <v>46143</v>
      </c>
      <c r="B1984" t="s">
        <v>2665</v>
      </c>
      <c r="C1984" t="s">
        <v>4360</v>
      </c>
      <c r="D1984" t="s">
        <v>624</v>
      </c>
      <c r="E1984" t="s">
        <v>2797</v>
      </c>
      <c r="F1984">
        <v>6500</v>
      </c>
      <c r="G1984" t="s">
        <v>619</v>
      </c>
      <c r="H1984">
        <v>6500</v>
      </c>
      <c r="I1984" t="s">
        <v>2607</v>
      </c>
    </row>
    <row r="1985" spans="1:9" x14ac:dyDescent="0.25">
      <c r="A1985" s="91">
        <v>46143</v>
      </c>
      <c r="B1985" t="s">
        <v>2610</v>
      </c>
      <c r="C1985" t="s">
        <v>4361</v>
      </c>
      <c r="D1985">
        <v>520860</v>
      </c>
      <c r="E1985" t="s">
        <v>1388</v>
      </c>
      <c r="F1985">
        <v>12500</v>
      </c>
      <c r="G1985" t="s">
        <v>619</v>
      </c>
      <c r="H1985">
        <v>12500</v>
      </c>
      <c r="I1985" t="s">
        <v>2607</v>
      </c>
    </row>
    <row r="1986" spans="1:9" x14ac:dyDescent="0.25">
      <c r="A1986" s="91">
        <v>46143</v>
      </c>
      <c r="B1986" t="s">
        <v>2610</v>
      </c>
      <c r="C1986" t="s">
        <v>4362</v>
      </c>
      <c r="D1986" t="s">
        <v>4363</v>
      </c>
      <c r="E1986" t="s">
        <v>4364</v>
      </c>
      <c r="F1986">
        <v>7500</v>
      </c>
      <c r="G1986" t="s">
        <v>619</v>
      </c>
      <c r="H1986">
        <v>7500</v>
      </c>
      <c r="I1986" t="s">
        <v>2607</v>
      </c>
    </row>
    <row r="1987" spans="1:9" x14ac:dyDescent="0.25">
      <c r="A1987" s="91">
        <v>46143</v>
      </c>
      <c r="B1987" t="s">
        <v>2665</v>
      </c>
      <c r="C1987" t="s">
        <v>4365</v>
      </c>
      <c r="D1987" t="s">
        <v>3872</v>
      </c>
      <c r="E1987" t="s">
        <v>3873</v>
      </c>
      <c r="F1987">
        <v>6500</v>
      </c>
      <c r="G1987" t="s">
        <v>619</v>
      </c>
      <c r="H1987">
        <v>6500</v>
      </c>
      <c r="I1987" t="s">
        <v>2607</v>
      </c>
    </row>
    <row r="1988" spans="1:9" x14ac:dyDescent="0.25">
      <c r="A1988" s="91">
        <v>46143</v>
      </c>
      <c r="B1988" t="s">
        <v>2606</v>
      </c>
      <c r="C1988" t="s">
        <v>4366</v>
      </c>
      <c r="D1988">
        <v>85202</v>
      </c>
      <c r="E1988" t="s">
        <v>2070</v>
      </c>
      <c r="F1988">
        <v>6250</v>
      </c>
      <c r="G1988" t="s">
        <v>619</v>
      </c>
      <c r="H1988">
        <v>6250</v>
      </c>
      <c r="I1988" t="s">
        <v>2607</v>
      </c>
    </row>
    <row r="1989" spans="1:9" x14ac:dyDescent="0.25">
      <c r="A1989" s="91">
        <v>46143</v>
      </c>
      <c r="B1989" t="s">
        <v>2621</v>
      </c>
      <c r="C1989" t="s">
        <v>4367</v>
      </c>
      <c r="D1989">
        <v>529300</v>
      </c>
      <c r="E1989" t="s">
        <v>2623</v>
      </c>
      <c r="F1989">
        <v>6667</v>
      </c>
      <c r="G1989" t="s">
        <v>619</v>
      </c>
      <c r="H1989">
        <v>6667</v>
      </c>
      <c r="I1989" t="s">
        <v>2607</v>
      </c>
    </row>
    <row r="1990" spans="1:9" x14ac:dyDescent="0.25">
      <c r="A1990" s="91">
        <v>46143</v>
      </c>
      <c r="B1990" t="s">
        <v>712</v>
      </c>
      <c r="C1990" t="s">
        <v>4368</v>
      </c>
      <c r="D1990" t="s">
        <v>1127</v>
      </c>
      <c r="E1990" t="s">
        <v>713</v>
      </c>
      <c r="F1990">
        <v>50000</v>
      </c>
      <c r="G1990" t="s">
        <v>622</v>
      </c>
      <c r="H1990">
        <v>50000</v>
      </c>
      <c r="I1990" t="s">
        <v>2607</v>
      </c>
    </row>
    <row r="1991" spans="1:9" x14ac:dyDescent="0.25">
      <c r="A1991" s="91">
        <v>46143</v>
      </c>
      <c r="B1991">
        <v>7002</v>
      </c>
      <c r="C1991" t="s">
        <v>4369</v>
      </c>
      <c r="D1991">
        <v>907019</v>
      </c>
      <c r="E1991" t="s">
        <v>3154</v>
      </c>
      <c r="F1991">
        <v>156</v>
      </c>
      <c r="G1991" t="s">
        <v>619</v>
      </c>
      <c r="H1991">
        <v>156</v>
      </c>
      <c r="I1991" t="s">
        <v>2607</v>
      </c>
    </row>
    <row r="1992" spans="1:9" x14ac:dyDescent="0.25">
      <c r="A1992" s="91">
        <v>46143</v>
      </c>
      <c r="B1992" t="s">
        <v>2736</v>
      </c>
      <c r="C1992" t="s">
        <v>4370</v>
      </c>
      <c r="D1992" t="s">
        <v>1118</v>
      </c>
      <c r="E1992" t="s">
        <v>1119</v>
      </c>
      <c r="F1992">
        <v>5400</v>
      </c>
      <c r="G1992" t="s">
        <v>622</v>
      </c>
      <c r="H1992">
        <v>5400</v>
      </c>
      <c r="I1992" t="s">
        <v>2607</v>
      </c>
    </row>
    <row r="1993" spans="1:9" x14ac:dyDescent="0.25">
      <c r="A1993" s="91">
        <v>46144</v>
      </c>
      <c r="B1993" t="s">
        <v>2736</v>
      </c>
      <c r="C1993" t="s">
        <v>4371</v>
      </c>
      <c r="D1993" t="s">
        <v>1118</v>
      </c>
      <c r="E1993" t="s">
        <v>1119</v>
      </c>
      <c r="F1993">
        <v>5400</v>
      </c>
      <c r="G1993" t="s">
        <v>622</v>
      </c>
      <c r="H1993">
        <v>5400</v>
      </c>
      <c r="I1993" t="s">
        <v>2607</v>
      </c>
    </row>
    <row r="1994" spans="1:9" x14ac:dyDescent="0.25">
      <c r="A1994" s="91">
        <v>46144</v>
      </c>
      <c r="B1994" t="s">
        <v>2606</v>
      </c>
      <c r="C1994" t="s">
        <v>4372</v>
      </c>
      <c r="D1994">
        <v>85202</v>
      </c>
      <c r="E1994" t="s">
        <v>2070</v>
      </c>
      <c r="F1994">
        <v>6250</v>
      </c>
      <c r="G1994" t="s">
        <v>619</v>
      </c>
      <c r="H1994">
        <v>6250</v>
      </c>
      <c r="I1994" t="s">
        <v>2607</v>
      </c>
    </row>
    <row r="1995" spans="1:9" x14ac:dyDescent="0.25">
      <c r="A1995" s="91">
        <v>46144</v>
      </c>
      <c r="B1995" t="s">
        <v>2610</v>
      </c>
      <c r="C1995" t="s">
        <v>4373</v>
      </c>
      <c r="D1995">
        <v>520860</v>
      </c>
      <c r="E1995" t="s">
        <v>1388</v>
      </c>
      <c r="F1995">
        <v>12500</v>
      </c>
      <c r="G1995" t="s">
        <v>619</v>
      </c>
      <c r="H1995">
        <v>12500</v>
      </c>
      <c r="I1995" t="s">
        <v>2607</v>
      </c>
    </row>
    <row r="1996" spans="1:9" x14ac:dyDescent="0.25">
      <c r="A1996" s="91">
        <v>46146</v>
      </c>
      <c r="B1996" t="s">
        <v>2680</v>
      </c>
      <c r="C1996" t="s">
        <v>4374</v>
      </c>
      <c r="D1996">
        <v>900401</v>
      </c>
      <c r="E1996" t="s">
        <v>2741</v>
      </c>
      <c r="F1996">
        <v>480</v>
      </c>
      <c r="G1996" t="s">
        <v>619</v>
      </c>
      <c r="H1996">
        <v>480</v>
      </c>
      <c r="I1996" t="s">
        <v>2607</v>
      </c>
    </row>
    <row r="1997" spans="1:9" x14ac:dyDescent="0.25">
      <c r="A1997" s="91">
        <v>46146</v>
      </c>
      <c r="B1997" t="s">
        <v>2610</v>
      </c>
      <c r="C1997" t="s">
        <v>4375</v>
      </c>
      <c r="D1997" t="s">
        <v>4376</v>
      </c>
      <c r="E1997" t="s">
        <v>4377</v>
      </c>
      <c r="F1997">
        <v>15000</v>
      </c>
      <c r="G1997" t="s">
        <v>619</v>
      </c>
      <c r="H1997">
        <v>15000</v>
      </c>
      <c r="I1997" t="s">
        <v>2607</v>
      </c>
    </row>
    <row r="1998" spans="1:9" x14ac:dyDescent="0.25">
      <c r="A1998" s="91">
        <v>46146</v>
      </c>
      <c r="B1998" t="s">
        <v>2608</v>
      </c>
      <c r="C1998" t="s">
        <v>4378</v>
      </c>
      <c r="D1998" t="s">
        <v>120</v>
      </c>
      <c r="E1998" t="s">
        <v>2056</v>
      </c>
      <c r="F1998">
        <v>6250</v>
      </c>
      <c r="G1998" t="s">
        <v>619</v>
      </c>
      <c r="H1998">
        <v>6250</v>
      </c>
      <c r="I1998" t="s">
        <v>2607</v>
      </c>
    </row>
    <row r="1999" spans="1:9" x14ac:dyDescent="0.25">
      <c r="A1999" s="91">
        <v>46146</v>
      </c>
      <c r="B1999" t="s">
        <v>2606</v>
      </c>
      <c r="C1999" t="s">
        <v>4379</v>
      </c>
      <c r="D1999">
        <v>220131</v>
      </c>
      <c r="E1999" t="s">
        <v>1395</v>
      </c>
      <c r="F1999">
        <v>12500</v>
      </c>
      <c r="G1999" t="s">
        <v>619</v>
      </c>
      <c r="H1999">
        <v>12500</v>
      </c>
      <c r="I1999" t="s">
        <v>2607</v>
      </c>
    </row>
    <row r="2000" spans="1:9" x14ac:dyDescent="0.25">
      <c r="A2000" s="91">
        <v>46146</v>
      </c>
      <c r="B2000" t="s">
        <v>685</v>
      </c>
      <c r="C2000" t="s">
        <v>4380</v>
      </c>
      <c r="D2000">
        <v>7374</v>
      </c>
      <c r="E2000" t="s">
        <v>785</v>
      </c>
      <c r="F2000">
        <v>25000</v>
      </c>
      <c r="G2000" t="s">
        <v>622</v>
      </c>
      <c r="H2000">
        <v>25000</v>
      </c>
      <c r="I2000" t="s">
        <v>2633</v>
      </c>
    </row>
    <row r="2001" spans="1:9" x14ac:dyDescent="0.25">
      <c r="A2001" s="91">
        <v>46146</v>
      </c>
      <c r="B2001" t="s">
        <v>2665</v>
      </c>
      <c r="C2001" t="s">
        <v>4381</v>
      </c>
      <c r="D2001" t="s">
        <v>624</v>
      </c>
      <c r="E2001" t="s">
        <v>2797</v>
      </c>
      <c r="F2001">
        <v>4500</v>
      </c>
      <c r="G2001" t="s">
        <v>619</v>
      </c>
      <c r="H2001">
        <v>4500</v>
      </c>
      <c r="I2001" t="s">
        <v>2607</v>
      </c>
    </row>
    <row r="2002" spans="1:9" x14ac:dyDescent="0.25">
      <c r="A2002" s="91">
        <v>46146</v>
      </c>
      <c r="B2002" t="s">
        <v>2665</v>
      </c>
      <c r="C2002" t="s">
        <v>4382</v>
      </c>
      <c r="D2002" t="s">
        <v>1080</v>
      </c>
      <c r="E2002" t="s">
        <v>2799</v>
      </c>
      <c r="F2002">
        <v>400</v>
      </c>
      <c r="G2002" t="s">
        <v>619</v>
      </c>
      <c r="H2002">
        <v>400</v>
      </c>
      <c r="I2002" t="s">
        <v>2607</v>
      </c>
    </row>
    <row r="2003" spans="1:9" x14ac:dyDescent="0.25">
      <c r="A2003" s="91">
        <v>46146</v>
      </c>
      <c r="B2003" t="s">
        <v>2736</v>
      </c>
      <c r="C2003" t="s">
        <v>4383</v>
      </c>
      <c r="D2003" t="s">
        <v>1118</v>
      </c>
      <c r="E2003" t="s">
        <v>1119</v>
      </c>
      <c r="F2003">
        <v>5400</v>
      </c>
      <c r="G2003" t="s">
        <v>622</v>
      </c>
      <c r="H2003">
        <v>5400</v>
      </c>
      <c r="I2003" t="s">
        <v>2607</v>
      </c>
    </row>
    <row r="2004" spans="1:9" x14ac:dyDescent="0.25">
      <c r="A2004" s="91">
        <v>46146</v>
      </c>
      <c r="B2004" t="s">
        <v>2624</v>
      </c>
      <c r="C2004" t="s">
        <v>4384</v>
      </c>
      <c r="D2004" t="s">
        <v>3189</v>
      </c>
      <c r="E2004" t="s">
        <v>3190</v>
      </c>
      <c r="F2004">
        <v>2604</v>
      </c>
      <c r="G2004" t="s">
        <v>619</v>
      </c>
      <c r="H2004">
        <v>2604</v>
      </c>
      <c r="I2004" t="s">
        <v>2939</v>
      </c>
    </row>
    <row r="2005" spans="1:9" x14ac:dyDescent="0.25">
      <c r="A2005" s="91">
        <v>46146</v>
      </c>
      <c r="B2005" t="s">
        <v>712</v>
      </c>
      <c r="C2005" t="s">
        <v>4385</v>
      </c>
      <c r="D2005" t="s">
        <v>1127</v>
      </c>
      <c r="E2005" t="s">
        <v>713</v>
      </c>
      <c r="F2005">
        <v>50000</v>
      </c>
      <c r="G2005" t="s">
        <v>622</v>
      </c>
      <c r="H2005">
        <v>50000</v>
      </c>
      <c r="I2005" t="s">
        <v>2607</v>
      </c>
    </row>
    <row r="2006" spans="1:9" x14ac:dyDescent="0.25">
      <c r="A2006" s="91">
        <v>46146</v>
      </c>
      <c r="B2006" t="s">
        <v>682</v>
      </c>
      <c r="C2006" t="s">
        <v>4386</v>
      </c>
      <c r="D2006">
        <v>7281</v>
      </c>
      <c r="E2006" t="s">
        <v>739</v>
      </c>
      <c r="F2006">
        <v>28000</v>
      </c>
      <c r="G2006" t="s">
        <v>622</v>
      </c>
      <c r="H2006">
        <v>28000</v>
      </c>
      <c r="I2006" t="s">
        <v>2633</v>
      </c>
    </row>
    <row r="2007" spans="1:9" x14ac:dyDescent="0.25">
      <c r="A2007" s="91">
        <v>46146</v>
      </c>
      <c r="B2007" t="s">
        <v>688</v>
      </c>
      <c r="C2007" t="s">
        <v>4387</v>
      </c>
      <c r="D2007">
        <v>7741</v>
      </c>
      <c r="E2007" t="s">
        <v>690</v>
      </c>
      <c r="F2007">
        <v>68000</v>
      </c>
      <c r="G2007" t="s">
        <v>622</v>
      </c>
      <c r="H2007">
        <v>68000</v>
      </c>
      <c r="I2007" t="s">
        <v>2633</v>
      </c>
    </row>
    <row r="2008" spans="1:9" x14ac:dyDescent="0.25">
      <c r="A2008" s="91">
        <v>46146</v>
      </c>
      <c r="B2008">
        <v>7002</v>
      </c>
      <c r="C2008" t="s">
        <v>4388</v>
      </c>
      <c r="D2008">
        <v>907013</v>
      </c>
      <c r="E2008" t="s">
        <v>3041</v>
      </c>
      <c r="F2008">
        <v>225</v>
      </c>
      <c r="G2008" t="s">
        <v>619</v>
      </c>
      <c r="H2008">
        <v>225</v>
      </c>
      <c r="I2008" t="s">
        <v>2607</v>
      </c>
    </row>
    <row r="2009" spans="1:9" x14ac:dyDescent="0.25">
      <c r="A2009" s="91">
        <v>46146</v>
      </c>
      <c r="B2009" t="s">
        <v>2621</v>
      </c>
      <c r="C2009" t="s">
        <v>4389</v>
      </c>
      <c r="D2009">
        <v>529300</v>
      </c>
      <c r="E2009" t="s">
        <v>2623</v>
      </c>
      <c r="F2009">
        <v>6667</v>
      </c>
      <c r="G2009" t="s">
        <v>619</v>
      </c>
      <c r="H2009">
        <v>6667</v>
      </c>
      <c r="I2009" t="s">
        <v>2607</v>
      </c>
    </row>
    <row r="2010" spans="1:9" x14ac:dyDescent="0.25">
      <c r="A2010" s="91">
        <v>46147</v>
      </c>
      <c r="B2010" t="s">
        <v>2680</v>
      </c>
      <c r="C2010" t="s">
        <v>4390</v>
      </c>
      <c r="D2010">
        <v>900401</v>
      </c>
      <c r="E2010" t="s">
        <v>2741</v>
      </c>
      <c r="F2010">
        <v>480</v>
      </c>
      <c r="G2010" t="s">
        <v>619</v>
      </c>
      <c r="H2010">
        <v>480</v>
      </c>
      <c r="I2010" t="s">
        <v>2607</v>
      </c>
    </row>
    <row r="2011" spans="1:9" x14ac:dyDescent="0.25">
      <c r="A2011" s="91">
        <v>46147</v>
      </c>
      <c r="B2011" t="s">
        <v>2610</v>
      </c>
      <c r="C2011" t="s">
        <v>4391</v>
      </c>
      <c r="D2011" t="s">
        <v>4376</v>
      </c>
      <c r="E2011" t="s">
        <v>4377</v>
      </c>
      <c r="F2011">
        <v>15000</v>
      </c>
      <c r="G2011" t="s">
        <v>619</v>
      </c>
      <c r="H2011">
        <v>15000</v>
      </c>
      <c r="I2011" t="s">
        <v>2607</v>
      </c>
    </row>
    <row r="2012" spans="1:9" x14ac:dyDescent="0.25">
      <c r="A2012" s="91">
        <v>46147</v>
      </c>
      <c r="B2012" t="s">
        <v>2606</v>
      </c>
      <c r="C2012" t="s">
        <v>4392</v>
      </c>
      <c r="D2012">
        <v>220131</v>
      </c>
      <c r="E2012" t="s">
        <v>1395</v>
      </c>
      <c r="F2012">
        <v>12500</v>
      </c>
      <c r="G2012" t="s">
        <v>619</v>
      </c>
      <c r="H2012">
        <v>12500</v>
      </c>
      <c r="I2012" t="s">
        <v>2607</v>
      </c>
    </row>
    <row r="2013" spans="1:9" x14ac:dyDescent="0.25">
      <c r="A2013" s="91">
        <v>46147</v>
      </c>
      <c r="B2013" t="s">
        <v>2606</v>
      </c>
      <c r="C2013" t="s">
        <v>4393</v>
      </c>
      <c r="D2013" t="s">
        <v>97</v>
      </c>
      <c r="E2013" t="s">
        <v>3770</v>
      </c>
      <c r="F2013">
        <v>6250</v>
      </c>
      <c r="G2013" t="s">
        <v>619</v>
      </c>
      <c r="H2013">
        <v>6250</v>
      </c>
      <c r="I2013" t="s">
        <v>2607</v>
      </c>
    </row>
    <row r="2014" spans="1:9" x14ac:dyDescent="0.25">
      <c r="A2014" s="91">
        <v>46147</v>
      </c>
      <c r="B2014" t="s">
        <v>685</v>
      </c>
      <c r="C2014" t="s">
        <v>4394</v>
      </c>
      <c r="D2014">
        <v>7374</v>
      </c>
      <c r="E2014" t="s">
        <v>785</v>
      </c>
      <c r="F2014">
        <v>25000</v>
      </c>
      <c r="G2014" t="s">
        <v>622</v>
      </c>
      <c r="H2014">
        <v>25000</v>
      </c>
      <c r="I2014" t="s">
        <v>2633</v>
      </c>
    </row>
    <row r="2015" spans="1:9" x14ac:dyDescent="0.25">
      <c r="A2015" s="91">
        <v>46147</v>
      </c>
      <c r="B2015" t="s">
        <v>2665</v>
      </c>
      <c r="C2015" t="s">
        <v>4395</v>
      </c>
      <c r="D2015" t="s">
        <v>624</v>
      </c>
      <c r="E2015" t="s">
        <v>2797</v>
      </c>
      <c r="F2015">
        <v>4500</v>
      </c>
      <c r="G2015" t="s">
        <v>619</v>
      </c>
      <c r="H2015">
        <v>4500</v>
      </c>
      <c r="I2015" t="s">
        <v>2607</v>
      </c>
    </row>
    <row r="2016" spans="1:9" x14ac:dyDescent="0.25">
      <c r="A2016" s="91">
        <v>46147</v>
      </c>
      <c r="B2016" t="s">
        <v>2736</v>
      </c>
      <c r="C2016" t="s">
        <v>4396</v>
      </c>
      <c r="D2016" t="s">
        <v>2140</v>
      </c>
      <c r="E2016" t="s">
        <v>2141</v>
      </c>
      <c r="F2016">
        <v>5700</v>
      </c>
      <c r="G2016" t="s">
        <v>622</v>
      </c>
      <c r="H2016">
        <v>5700</v>
      </c>
      <c r="I2016" t="s">
        <v>2607</v>
      </c>
    </row>
    <row r="2017" spans="1:9" x14ac:dyDescent="0.25">
      <c r="A2017" s="91">
        <v>46147</v>
      </c>
      <c r="B2017" t="s">
        <v>2665</v>
      </c>
      <c r="C2017" t="s">
        <v>4397</v>
      </c>
      <c r="D2017" t="s">
        <v>1080</v>
      </c>
      <c r="E2017" t="s">
        <v>2799</v>
      </c>
      <c r="F2017">
        <v>400</v>
      </c>
      <c r="G2017" t="s">
        <v>619</v>
      </c>
      <c r="H2017">
        <v>400</v>
      </c>
      <c r="I2017" t="s">
        <v>2607</v>
      </c>
    </row>
    <row r="2018" spans="1:9" x14ac:dyDescent="0.25">
      <c r="A2018" s="91">
        <v>46147</v>
      </c>
      <c r="B2018" t="s">
        <v>693</v>
      </c>
      <c r="C2018" t="s">
        <v>4398</v>
      </c>
      <c r="D2018">
        <v>910326</v>
      </c>
      <c r="E2018" t="s">
        <v>1583</v>
      </c>
      <c r="F2018">
        <v>9121</v>
      </c>
      <c r="G2018" t="s">
        <v>619</v>
      </c>
      <c r="H2018">
        <v>9121</v>
      </c>
      <c r="I2018" t="s">
        <v>2607</v>
      </c>
    </row>
    <row r="2019" spans="1:9" x14ac:dyDescent="0.25">
      <c r="A2019" s="91">
        <v>46147</v>
      </c>
      <c r="B2019" t="s">
        <v>2621</v>
      </c>
      <c r="C2019" t="s">
        <v>4399</v>
      </c>
      <c r="D2019">
        <v>529300</v>
      </c>
      <c r="E2019" t="s">
        <v>2623</v>
      </c>
      <c r="F2019">
        <v>6667</v>
      </c>
      <c r="G2019" t="s">
        <v>619</v>
      </c>
      <c r="H2019">
        <v>6667</v>
      </c>
      <c r="I2019" t="s">
        <v>2607</v>
      </c>
    </row>
    <row r="2020" spans="1:9" x14ac:dyDescent="0.25">
      <c r="A2020" s="91">
        <v>46147</v>
      </c>
      <c r="B2020" t="s">
        <v>2624</v>
      </c>
      <c r="C2020" t="s">
        <v>4400</v>
      </c>
      <c r="D2020" t="s">
        <v>3189</v>
      </c>
      <c r="E2020" t="s">
        <v>3190</v>
      </c>
      <c r="F2020">
        <v>2604</v>
      </c>
      <c r="G2020" t="s">
        <v>619</v>
      </c>
      <c r="H2020">
        <v>2604</v>
      </c>
      <c r="I2020" t="s">
        <v>2939</v>
      </c>
    </row>
    <row r="2021" spans="1:9" x14ac:dyDescent="0.25">
      <c r="A2021" s="91">
        <v>46147</v>
      </c>
      <c r="B2021" t="s">
        <v>712</v>
      </c>
      <c r="C2021" t="s">
        <v>4401</v>
      </c>
      <c r="D2021" t="s">
        <v>1127</v>
      </c>
      <c r="E2021" t="s">
        <v>713</v>
      </c>
      <c r="F2021">
        <v>50000</v>
      </c>
      <c r="G2021" t="s">
        <v>622</v>
      </c>
      <c r="H2021">
        <v>50000</v>
      </c>
      <c r="I2021" t="s">
        <v>2607</v>
      </c>
    </row>
    <row r="2022" spans="1:9" x14ac:dyDescent="0.25">
      <c r="A2022" s="91">
        <v>46147</v>
      </c>
      <c r="B2022" t="s">
        <v>682</v>
      </c>
      <c r="C2022" t="s">
        <v>4402</v>
      </c>
      <c r="D2022" t="s">
        <v>806</v>
      </c>
      <c r="E2022" t="s">
        <v>807</v>
      </c>
      <c r="F2022">
        <v>28000</v>
      </c>
      <c r="G2022" t="s">
        <v>622</v>
      </c>
      <c r="H2022">
        <v>28000</v>
      </c>
      <c r="I2022" t="s">
        <v>2633</v>
      </c>
    </row>
    <row r="2023" spans="1:9" x14ac:dyDescent="0.25">
      <c r="A2023" s="91">
        <v>46147</v>
      </c>
      <c r="B2023" t="s">
        <v>688</v>
      </c>
      <c r="C2023" t="s">
        <v>4403</v>
      </c>
      <c r="D2023">
        <v>7741</v>
      </c>
      <c r="E2023" t="s">
        <v>690</v>
      </c>
      <c r="F2023">
        <v>68000</v>
      </c>
      <c r="G2023" t="s">
        <v>622</v>
      </c>
      <c r="H2023">
        <v>68000</v>
      </c>
      <c r="I2023" t="s">
        <v>2633</v>
      </c>
    </row>
    <row r="2024" spans="1:9" x14ac:dyDescent="0.25">
      <c r="A2024" s="91">
        <v>46147</v>
      </c>
      <c r="B2024">
        <v>7002</v>
      </c>
      <c r="C2024" t="s">
        <v>4404</v>
      </c>
      <c r="D2024">
        <v>907013</v>
      </c>
      <c r="E2024" t="s">
        <v>3041</v>
      </c>
      <c r="F2024">
        <v>225</v>
      </c>
      <c r="G2024" t="s">
        <v>619</v>
      </c>
      <c r="H2024">
        <v>225</v>
      </c>
      <c r="I2024" t="s">
        <v>2607</v>
      </c>
    </row>
    <row r="2025" spans="1:9" x14ac:dyDescent="0.25">
      <c r="A2025" s="91">
        <v>46147</v>
      </c>
      <c r="B2025" t="s">
        <v>693</v>
      </c>
      <c r="C2025" t="s">
        <v>4405</v>
      </c>
      <c r="D2025">
        <v>910526</v>
      </c>
      <c r="E2025" t="s">
        <v>1602</v>
      </c>
      <c r="F2025">
        <v>9121</v>
      </c>
      <c r="G2025" t="s">
        <v>619</v>
      </c>
      <c r="H2025">
        <v>9121</v>
      </c>
      <c r="I2025" t="s">
        <v>2607</v>
      </c>
    </row>
    <row r="2026" spans="1:9" x14ac:dyDescent="0.25">
      <c r="A2026" s="91">
        <v>46148</v>
      </c>
      <c r="B2026" t="s">
        <v>2680</v>
      </c>
      <c r="C2026" t="s">
        <v>4406</v>
      </c>
      <c r="D2026">
        <v>900402</v>
      </c>
      <c r="E2026" t="s">
        <v>2886</v>
      </c>
      <c r="F2026">
        <v>480</v>
      </c>
      <c r="G2026" t="s">
        <v>619</v>
      </c>
      <c r="H2026">
        <v>480</v>
      </c>
      <c r="I2026" t="s">
        <v>2607</v>
      </c>
    </row>
    <row r="2027" spans="1:9" x14ac:dyDescent="0.25">
      <c r="A2027" s="91">
        <v>46148</v>
      </c>
      <c r="B2027" t="s">
        <v>2610</v>
      </c>
      <c r="C2027" t="s">
        <v>4407</v>
      </c>
      <c r="D2027" t="s">
        <v>4408</v>
      </c>
      <c r="E2027" t="s">
        <v>4409</v>
      </c>
      <c r="F2027">
        <v>15000</v>
      </c>
      <c r="G2027" t="s">
        <v>619</v>
      </c>
      <c r="H2027">
        <v>15000</v>
      </c>
      <c r="I2027" t="s">
        <v>2607</v>
      </c>
    </row>
    <row r="2028" spans="1:9" x14ac:dyDescent="0.25">
      <c r="A2028" s="91">
        <v>46148</v>
      </c>
      <c r="B2028" t="s">
        <v>2606</v>
      </c>
      <c r="C2028" t="s">
        <v>4410</v>
      </c>
      <c r="D2028">
        <v>220131</v>
      </c>
      <c r="E2028" t="s">
        <v>1395</v>
      </c>
      <c r="F2028">
        <v>2500</v>
      </c>
      <c r="G2028" t="s">
        <v>619</v>
      </c>
      <c r="H2028">
        <v>2500</v>
      </c>
      <c r="I2028" t="s">
        <v>2607</v>
      </c>
    </row>
    <row r="2029" spans="1:9" x14ac:dyDescent="0.25">
      <c r="A2029" s="91">
        <v>46148</v>
      </c>
      <c r="B2029" t="s">
        <v>685</v>
      </c>
      <c r="C2029" t="s">
        <v>4411</v>
      </c>
      <c r="D2029">
        <v>7374</v>
      </c>
      <c r="E2029" t="s">
        <v>785</v>
      </c>
      <c r="F2029">
        <v>25000</v>
      </c>
      <c r="G2029" t="s">
        <v>622</v>
      </c>
      <c r="H2029">
        <v>25000</v>
      </c>
      <c r="I2029" t="s">
        <v>2633</v>
      </c>
    </row>
    <row r="2030" spans="1:9" x14ac:dyDescent="0.25">
      <c r="A2030" s="91">
        <v>46148</v>
      </c>
      <c r="B2030" t="s">
        <v>2665</v>
      </c>
      <c r="C2030" t="s">
        <v>4412</v>
      </c>
      <c r="D2030" t="s">
        <v>641</v>
      </c>
      <c r="E2030" t="s">
        <v>2917</v>
      </c>
      <c r="F2030">
        <v>6500</v>
      </c>
      <c r="G2030" t="s">
        <v>619</v>
      </c>
      <c r="H2030">
        <v>6500</v>
      </c>
      <c r="I2030" t="s">
        <v>2607</v>
      </c>
    </row>
    <row r="2031" spans="1:9" x14ac:dyDescent="0.25">
      <c r="A2031" s="91">
        <v>46148</v>
      </c>
      <c r="B2031" t="s">
        <v>2665</v>
      </c>
      <c r="C2031" t="s">
        <v>4413</v>
      </c>
      <c r="D2031" t="s">
        <v>3944</v>
      </c>
      <c r="E2031" t="s">
        <v>3945</v>
      </c>
      <c r="F2031">
        <v>6500</v>
      </c>
      <c r="G2031" t="s">
        <v>619</v>
      </c>
      <c r="H2031">
        <v>6500</v>
      </c>
      <c r="I2031" t="s">
        <v>2607</v>
      </c>
    </row>
    <row r="2032" spans="1:9" x14ac:dyDescent="0.25">
      <c r="A2032" s="91">
        <v>46148</v>
      </c>
      <c r="B2032" t="s">
        <v>2736</v>
      </c>
      <c r="C2032" t="s">
        <v>4414</v>
      </c>
      <c r="D2032" t="s">
        <v>2140</v>
      </c>
      <c r="E2032" t="s">
        <v>2141</v>
      </c>
      <c r="F2032">
        <v>5700</v>
      </c>
      <c r="G2032" t="s">
        <v>622</v>
      </c>
      <c r="H2032">
        <v>5700</v>
      </c>
      <c r="I2032" t="s">
        <v>2607</v>
      </c>
    </row>
    <row r="2033" spans="1:9" x14ac:dyDescent="0.25">
      <c r="A2033" s="91">
        <v>46148</v>
      </c>
      <c r="B2033" t="s">
        <v>2606</v>
      </c>
      <c r="C2033" t="s">
        <v>4415</v>
      </c>
      <c r="D2033" t="s">
        <v>126</v>
      </c>
      <c r="E2033" t="s">
        <v>3819</v>
      </c>
      <c r="F2033">
        <v>6250</v>
      </c>
      <c r="G2033" t="s">
        <v>619</v>
      </c>
      <c r="H2033">
        <v>6250</v>
      </c>
      <c r="I2033" t="s">
        <v>2607</v>
      </c>
    </row>
    <row r="2034" spans="1:9" x14ac:dyDescent="0.25">
      <c r="A2034" s="91">
        <v>46148</v>
      </c>
      <c r="B2034" t="s">
        <v>2621</v>
      </c>
      <c r="C2034" t="s">
        <v>4416</v>
      </c>
      <c r="D2034">
        <v>529300</v>
      </c>
      <c r="E2034" t="s">
        <v>2623</v>
      </c>
      <c r="F2034">
        <v>6667</v>
      </c>
      <c r="G2034" t="s">
        <v>619</v>
      </c>
      <c r="H2034">
        <v>6667</v>
      </c>
      <c r="I2034" t="s">
        <v>2607</v>
      </c>
    </row>
    <row r="2035" spans="1:9" x14ac:dyDescent="0.25">
      <c r="A2035" s="91">
        <v>46148</v>
      </c>
      <c r="B2035" t="s">
        <v>2624</v>
      </c>
      <c r="C2035" t="s">
        <v>4417</v>
      </c>
      <c r="D2035" t="s">
        <v>3194</v>
      </c>
      <c r="E2035" t="s">
        <v>3195</v>
      </c>
      <c r="F2035">
        <v>2604</v>
      </c>
      <c r="G2035" t="s">
        <v>619</v>
      </c>
      <c r="H2035">
        <v>2604</v>
      </c>
      <c r="I2035" t="s">
        <v>2939</v>
      </c>
    </row>
    <row r="2036" spans="1:9" x14ac:dyDescent="0.25">
      <c r="A2036" s="91">
        <v>46148</v>
      </c>
      <c r="B2036" t="s">
        <v>712</v>
      </c>
      <c r="C2036" t="s">
        <v>4418</v>
      </c>
      <c r="D2036" t="s">
        <v>1127</v>
      </c>
      <c r="E2036" t="s">
        <v>713</v>
      </c>
      <c r="F2036">
        <v>32656</v>
      </c>
      <c r="G2036" t="s">
        <v>622</v>
      </c>
      <c r="H2036">
        <v>32656</v>
      </c>
      <c r="I2036" t="s">
        <v>2607</v>
      </c>
    </row>
    <row r="2037" spans="1:9" x14ac:dyDescent="0.25">
      <c r="A2037" s="91">
        <v>46148</v>
      </c>
      <c r="B2037" t="s">
        <v>712</v>
      </c>
      <c r="C2037" t="s">
        <v>4419</v>
      </c>
      <c r="D2037" t="s">
        <v>1128</v>
      </c>
      <c r="E2037" t="s">
        <v>781</v>
      </c>
      <c r="F2037">
        <v>50000</v>
      </c>
      <c r="G2037" t="s">
        <v>622</v>
      </c>
      <c r="H2037">
        <v>50000</v>
      </c>
      <c r="I2037" t="s">
        <v>2607</v>
      </c>
    </row>
    <row r="2038" spans="1:9" x14ac:dyDescent="0.25">
      <c r="A2038" s="91">
        <v>46148</v>
      </c>
      <c r="B2038" t="s">
        <v>682</v>
      </c>
      <c r="C2038" t="s">
        <v>4420</v>
      </c>
      <c r="D2038">
        <v>7552</v>
      </c>
      <c r="E2038" t="s">
        <v>2752</v>
      </c>
      <c r="F2038">
        <v>24000</v>
      </c>
      <c r="G2038" t="s">
        <v>622</v>
      </c>
      <c r="H2038">
        <v>24000</v>
      </c>
      <c r="I2038" t="s">
        <v>2633</v>
      </c>
    </row>
    <row r="2039" spans="1:9" x14ac:dyDescent="0.25">
      <c r="A2039" s="91">
        <v>46148</v>
      </c>
      <c r="B2039" t="s">
        <v>688</v>
      </c>
      <c r="C2039" t="s">
        <v>4421</v>
      </c>
      <c r="D2039">
        <v>7741</v>
      </c>
      <c r="E2039" t="s">
        <v>690</v>
      </c>
      <c r="F2039">
        <v>68000</v>
      </c>
      <c r="G2039" t="s">
        <v>622</v>
      </c>
      <c r="H2039">
        <v>68000</v>
      </c>
      <c r="I2039" t="s">
        <v>2633</v>
      </c>
    </row>
    <row r="2040" spans="1:9" x14ac:dyDescent="0.25">
      <c r="A2040" s="91">
        <v>46148</v>
      </c>
      <c r="B2040">
        <v>7002</v>
      </c>
      <c r="C2040" t="s">
        <v>4422</v>
      </c>
      <c r="D2040">
        <v>907013</v>
      </c>
      <c r="E2040" t="s">
        <v>3041</v>
      </c>
      <c r="F2040">
        <v>225</v>
      </c>
      <c r="G2040" t="s">
        <v>619</v>
      </c>
      <c r="H2040">
        <v>225</v>
      </c>
      <c r="I2040" t="s">
        <v>2607</v>
      </c>
    </row>
    <row r="2041" spans="1:9" x14ac:dyDescent="0.25">
      <c r="A2041" s="91">
        <v>46148</v>
      </c>
      <c r="B2041" t="s">
        <v>715</v>
      </c>
      <c r="C2041" t="s">
        <v>4423</v>
      </c>
      <c r="D2041">
        <v>7185</v>
      </c>
      <c r="E2041" t="s">
        <v>717</v>
      </c>
      <c r="F2041">
        <v>55000</v>
      </c>
      <c r="G2041" t="s">
        <v>622</v>
      </c>
      <c r="H2041">
        <v>55000</v>
      </c>
      <c r="I2041" t="s">
        <v>2633</v>
      </c>
    </row>
    <row r="2042" spans="1:9" x14ac:dyDescent="0.25">
      <c r="A2042" s="91">
        <v>46149</v>
      </c>
      <c r="B2042" t="s">
        <v>2680</v>
      </c>
      <c r="C2042" t="s">
        <v>4424</v>
      </c>
      <c r="D2042">
        <v>900403</v>
      </c>
      <c r="E2042" t="s">
        <v>2682</v>
      </c>
      <c r="F2042">
        <v>480</v>
      </c>
      <c r="G2042" t="s">
        <v>619</v>
      </c>
      <c r="H2042">
        <v>480</v>
      </c>
      <c r="I2042" t="s">
        <v>2607</v>
      </c>
    </row>
    <row r="2043" spans="1:9" x14ac:dyDescent="0.25">
      <c r="A2043" s="91">
        <v>46149</v>
      </c>
      <c r="B2043" t="s">
        <v>2610</v>
      </c>
      <c r="C2043" t="s">
        <v>4425</v>
      </c>
      <c r="D2043" t="s">
        <v>4408</v>
      </c>
      <c r="E2043" t="s">
        <v>4409</v>
      </c>
      <c r="F2043">
        <v>15000</v>
      </c>
      <c r="G2043" t="s">
        <v>619</v>
      </c>
      <c r="H2043">
        <v>15000</v>
      </c>
      <c r="I2043" t="s">
        <v>2607</v>
      </c>
    </row>
    <row r="2044" spans="1:9" x14ac:dyDescent="0.25">
      <c r="A2044" s="91">
        <v>46149</v>
      </c>
      <c r="B2044" t="s">
        <v>2606</v>
      </c>
      <c r="C2044" t="s">
        <v>4426</v>
      </c>
      <c r="D2044" t="s">
        <v>100</v>
      </c>
      <c r="E2044" t="s">
        <v>1402</v>
      </c>
      <c r="F2044">
        <v>12500</v>
      </c>
      <c r="G2044" t="s">
        <v>619</v>
      </c>
      <c r="H2044">
        <v>12500</v>
      </c>
      <c r="I2044" t="s">
        <v>2607</v>
      </c>
    </row>
    <row r="2045" spans="1:9" x14ac:dyDescent="0.25">
      <c r="A2045" s="91">
        <v>46149</v>
      </c>
      <c r="B2045" t="s">
        <v>2606</v>
      </c>
      <c r="C2045" t="s">
        <v>4427</v>
      </c>
      <c r="D2045" t="s">
        <v>112</v>
      </c>
      <c r="E2045" t="s">
        <v>2620</v>
      </c>
      <c r="F2045">
        <v>6250</v>
      </c>
      <c r="G2045" t="s">
        <v>619</v>
      </c>
      <c r="H2045">
        <v>6250</v>
      </c>
      <c r="I2045" t="s">
        <v>2607</v>
      </c>
    </row>
    <row r="2046" spans="1:9" x14ac:dyDescent="0.25">
      <c r="A2046" s="91">
        <v>46149</v>
      </c>
      <c r="B2046" t="s">
        <v>685</v>
      </c>
      <c r="C2046" t="s">
        <v>4428</v>
      </c>
      <c r="D2046">
        <v>7374</v>
      </c>
      <c r="E2046" t="s">
        <v>785</v>
      </c>
      <c r="F2046">
        <v>25000</v>
      </c>
      <c r="G2046" t="s">
        <v>622</v>
      </c>
      <c r="H2046">
        <v>25000</v>
      </c>
      <c r="I2046" t="s">
        <v>2633</v>
      </c>
    </row>
    <row r="2047" spans="1:9" x14ac:dyDescent="0.25">
      <c r="A2047" s="91">
        <v>46149</v>
      </c>
      <c r="B2047" t="s">
        <v>2665</v>
      </c>
      <c r="C2047" t="s">
        <v>4429</v>
      </c>
      <c r="D2047" t="s">
        <v>2044</v>
      </c>
      <c r="E2047" t="s">
        <v>2993</v>
      </c>
      <c r="F2047">
        <v>6250</v>
      </c>
      <c r="G2047" t="s">
        <v>619</v>
      </c>
      <c r="H2047">
        <v>6250</v>
      </c>
      <c r="I2047" t="s">
        <v>2607</v>
      </c>
    </row>
    <row r="2048" spans="1:9" x14ac:dyDescent="0.25">
      <c r="A2048" s="91">
        <v>46149</v>
      </c>
      <c r="B2048" t="s">
        <v>2665</v>
      </c>
      <c r="C2048" t="s">
        <v>4430</v>
      </c>
      <c r="D2048" t="s">
        <v>641</v>
      </c>
      <c r="E2048" t="s">
        <v>2917</v>
      </c>
      <c r="F2048">
        <v>6500</v>
      </c>
      <c r="G2048" t="s">
        <v>619</v>
      </c>
      <c r="H2048">
        <v>6500</v>
      </c>
      <c r="I2048" t="s">
        <v>2607</v>
      </c>
    </row>
    <row r="2049" spans="1:9" x14ac:dyDescent="0.25">
      <c r="A2049" s="91">
        <v>46149</v>
      </c>
      <c r="B2049" t="s">
        <v>2624</v>
      </c>
      <c r="C2049" t="s">
        <v>4431</v>
      </c>
      <c r="D2049" t="s">
        <v>3194</v>
      </c>
      <c r="E2049" t="s">
        <v>3195</v>
      </c>
      <c r="F2049">
        <v>2604</v>
      </c>
      <c r="G2049" t="s">
        <v>619</v>
      </c>
      <c r="H2049">
        <v>2604</v>
      </c>
      <c r="I2049" t="s">
        <v>2939</v>
      </c>
    </row>
    <row r="2050" spans="1:9" x14ac:dyDescent="0.25">
      <c r="A2050" s="91">
        <v>46149</v>
      </c>
      <c r="B2050" t="s">
        <v>2621</v>
      </c>
      <c r="C2050" t="s">
        <v>4432</v>
      </c>
      <c r="D2050">
        <v>528400</v>
      </c>
      <c r="E2050" t="s">
        <v>3045</v>
      </c>
      <c r="F2050">
        <v>6667</v>
      </c>
      <c r="G2050" t="s">
        <v>619</v>
      </c>
      <c r="H2050">
        <v>6667</v>
      </c>
      <c r="I2050" t="s">
        <v>2607</v>
      </c>
    </row>
    <row r="2051" spans="1:9" x14ac:dyDescent="0.25">
      <c r="A2051" s="91">
        <v>46149</v>
      </c>
      <c r="B2051" t="s">
        <v>712</v>
      </c>
      <c r="C2051" t="s">
        <v>4433</v>
      </c>
      <c r="D2051" t="s">
        <v>1128</v>
      </c>
      <c r="E2051" t="s">
        <v>781</v>
      </c>
      <c r="F2051">
        <v>50000</v>
      </c>
      <c r="G2051" t="s">
        <v>622</v>
      </c>
      <c r="H2051">
        <v>50000</v>
      </c>
      <c r="I2051" t="s">
        <v>2607</v>
      </c>
    </row>
    <row r="2052" spans="1:9" x14ac:dyDescent="0.25">
      <c r="A2052" s="91">
        <v>46149</v>
      </c>
      <c r="B2052" t="s">
        <v>682</v>
      </c>
      <c r="C2052" t="s">
        <v>4434</v>
      </c>
      <c r="D2052" t="s">
        <v>806</v>
      </c>
      <c r="E2052" t="s">
        <v>807</v>
      </c>
      <c r="F2052">
        <v>28000</v>
      </c>
      <c r="G2052" t="s">
        <v>622</v>
      </c>
      <c r="H2052">
        <v>28000</v>
      </c>
      <c r="I2052" t="s">
        <v>2633</v>
      </c>
    </row>
    <row r="2053" spans="1:9" x14ac:dyDescent="0.25">
      <c r="A2053" s="91">
        <v>46149</v>
      </c>
      <c r="B2053" t="s">
        <v>688</v>
      </c>
      <c r="C2053" t="s">
        <v>4435</v>
      </c>
      <c r="D2053">
        <v>7741</v>
      </c>
      <c r="E2053" t="s">
        <v>690</v>
      </c>
      <c r="F2053">
        <v>68000</v>
      </c>
      <c r="G2053" t="s">
        <v>622</v>
      </c>
      <c r="H2053">
        <v>68000</v>
      </c>
      <c r="I2053" t="s">
        <v>2633</v>
      </c>
    </row>
    <row r="2054" spans="1:9" x14ac:dyDescent="0.25">
      <c r="A2054" s="91">
        <v>46149</v>
      </c>
      <c r="B2054">
        <v>7002</v>
      </c>
      <c r="C2054" t="s">
        <v>4436</v>
      </c>
      <c r="D2054">
        <v>907013</v>
      </c>
      <c r="E2054" t="s">
        <v>3041</v>
      </c>
      <c r="F2054">
        <v>225</v>
      </c>
      <c r="G2054" t="s">
        <v>619</v>
      </c>
      <c r="H2054">
        <v>225</v>
      </c>
      <c r="I2054" t="s">
        <v>2607</v>
      </c>
    </row>
    <row r="2055" spans="1:9" x14ac:dyDescent="0.25">
      <c r="A2055" s="91">
        <v>46149</v>
      </c>
      <c r="B2055" t="s">
        <v>2736</v>
      </c>
      <c r="C2055" t="s">
        <v>4437</v>
      </c>
      <c r="D2055" t="s">
        <v>2140</v>
      </c>
      <c r="E2055" t="s">
        <v>2141</v>
      </c>
      <c r="F2055">
        <v>5700</v>
      </c>
      <c r="G2055" t="s">
        <v>622</v>
      </c>
      <c r="H2055">
        <v>5700</v>
      </c>
      <c r="I2055" t="s">
        <v>2607</v>
      </c>
    </row>
    <row r="2056" spans="1:9" x14ac:dyDescent="0.25">
      <c r="A2056" s="91">
        <v>46150</v>
      </c>
      <c r="B2056" t="s">
        <v>2606</v>
      </c>
      <c r="C2056" t="s">
        <v>4438</v>
      </c>
      <c r="D2056" t="s">
        <v>102</v>
      </c>
      <c r="E2056" t="s">
        <v>2631</v>
      </c>
      <c r="F2056">
        <v>6250</v>
      </c>
      <c r="G2056" t="s">
        <v>619</v>
      </c>
      <c r="H2056">
        <v>6250</v>
      </c>
      <c r="I2056" t="s">
        <v>2607</v>
      </c>
    </row>
    <row r="2057" spans="1:9" x14ac:dyDescent="0.25">
      <c r="A2057" s="91">
        <v>46150</v>
      </c>
      <c r="B2057" t="s">
        <v>2610</v>
      </c>
      <c r="C2057" t="s">
        <v>4439</v>
      </c>
      <c r="D2057" t="s">
        <v>4440</v>
      </c>
      <c r="E2057" t="s">
        <v>4441</v>
      </c>
      <c r="F2057">
        <v>15000</v>
      </c>
      <c r="G2057" t="s">
        <v>619</v>
      </c>
      <c r="H2057">
        <v>15000</v>
      </c>
      <c r="I2057" t="s">
        <v>2607</v>
      </c>
    </row>
    <row r="2058" spans="1:9" x14ac:dyDescent="0.25">
      <c r="A2058" s="91">
        <v>46150</v>
      </c>
      <c r="B2058" t="s">
        <v>2665</v>
      </c>
      <c r="C2058" t="s">
        <v>4442</v>
      </c>
      <c r="D2058" t="s">
        <v>641</v>
      </c>
      <c r="E2058" t="s">
        <v>2917</v>
      </c>
      <c r="F2058">
        <v>6500</v>
      </c>
      <c r="G2058" t="s">
        <v>619</v>
      </c>
      <c r="H2058">
        <v>6500</v>
      </c>
      <c r="I2058" t="s">
        <v>2607</v>
      </c>
    </row>
    <row r="2059" spans="1:9" x14ac:dyDescent="0.25">
      <c r="A2059" s="91">
        <v>46150</v>
      </c>
      <c r="B2059" t="s">
        <v>2665</v>
      </c>
      <c r="C2059" t="s">
        <v>4443</v>
      </c>
      <c r="D2059" t="s">
        <v>2044</v>
      </c>
      <c r="E2059" t="s">
        <v>2993</v>
      </c>
      <c r="F2059">
        <v>6250</v>
      </c>
      <c r="G2059" t="s">
        <v>619</v>
      </c>
      <c r="H2059">
        <v>6250</v>
      </c>
      <c r="I2059" t="s">
        <v>2607</v>
      </c>
    </row>
    <row r="2060" spans="1:9" x14ac:dyDescent="0.25">
      <c r="A2060" s="91">
        <v>46150</v>
      </c>
      <c r="B2060" t="s">
        <v>2621</v>
      </c>
      <c r="C2060" t="s">
        <v>4444</v>
      </c>
      <c r="D2060">
        <v>528400</v>
      </c>
      <c r="E2060" t="s">
        <v>3045</v>
      </c>
      <c r="F2060">
        <v>6667</v>
      </c>
      <c r="G2060" t="s">
        <v>619</v>
      </c>
      <c r="H2060">
        <v>6667</v>
      </c>
      <c r="I2060" t="s">
        <v>2607</v>
      </c>
    </row>
    <row r="2061" spans="1:9" x14ac:dyDescent="0.25">
      <c r="A2061" s="91">
        <v>46150</v>
      </c>
      <c r="B2061" t="s">
        <v>712</v>
      </c>
      <c r="C2061" t="s">
        <v>4445</v>
      </c>
      <c r="D2061" t="s">
        <v>1128</v>
      </c>
      <c r="E2061" t="s">
        <v>781</v>
      </c>
      <c r="F2061">
        <v>51832</v>
      </c>
      <c r="G2061" t="s">
        <v>622</v>
      </c>
      <c r="H2061">
        <v>51832</v>
      </c>
      <c r="I2061" t="s">
        <v>2607</v>
      </c>
    </row>
    <row r="2062" spans="1:9" x14ac:dyDescent="0.25">
      <c r="A2062" s="91">
        <v>46150</v>
      </c>
      <c r="B2062">
        <v>7002</v>
      </c>
      <c r="C2062" t="s">
        <v>4446</v>
      </c>
      <c r="D2062">
        <v>907013</v>
      </c>
      <c r="E2062" t="s">
        <v>3041</v>
      </c>
      <c r="F2062">
        <v>225</v>
      </c>
      <c r="G2062" t="s">
        <v>619</v>
      </c>
      <c r="H2062">
        <v>225</v>
      </c>
      <c r="I2062" t="s">
        <v>2607</v>
      </c>
    </row>
    <row r="2063" spans="1:9" x14ac:dyDescent="0.25">
      <c r="A2063" s="91">
        <v>46150</v>
      </c>
      <c r="B2063" t="s">
        <v>2736</v>
      </c>
      <c r="C2063" t="s">
        <v>4447</v>
      </c>
      <c r="D2063" t="s">
        <v>2140</v>
      </c>
      <c r="E2063" t="s">
        <v>2141</v>
      </c>
      <c r="F2063">
        <v>5700</v>
      </c>
      <c r="G2063" t="s">
        <v>622</v>
      </c>
      <c r="H2063">
        <v>5700</v>
      </c>
      <c r="I2063" t="s">
        <v>2607</v>
      </c>
    </row>
    <row r="2064" spans="1:9" x14ac:dyDescent="0.25">
      <c r="A2064" s="91">
        <v>46151</v>
      </c>
      <c r="B2064" t="s">
        <v>2736</v>
      </c>
      <c r="C2064" t="s">
        <v>4448</v>
      </c>
      <c r="D2064" t="s">
        <v>2140</v>
      </c>
      <c r="E2064" t="s">
        <v>2141</v>
      </c>
      <c r="F2064">
        <v>5700</v>
      </c>
      <c r="G2064" t="s">
        <v>622</v>
      </c>
      <c r="H2064">
        <v>5700</v>
      </c>
      <c r="I2064" t="s">
        <v>2607</v>
      </c>
    </row>
    <row r="2065" spans="1:9" x14ac:dyDescent="0.25">
      <c r="A2065" s="91">
        <v>46151</v>
      </c>
      <c r="B2065" t="s">
        <v>2606</v>
      </c>
      <c r="C2065" t="s">
        <v>4449</v>
      </c>
      <c r="D2065" t="s">
        <v>110</v>
      </c>
      <c r="E2065" t="s">
        <v>3743</v>
      </c>
      <c r="F2065">
        <v>6250</v>
      </c>
      <c r="G2065" t="s">
        <v>619</v>
      </c>
      <c r="H2065">
        <v>6250</v>
      </c>
      <c r="I2065" t="s">
        <v>2607</v>
      </c>
    </row>
    <row r="2066" spans="1:9" x14ac:dyDescent="0.25">
      <c r="A2066" s="91">
        <v>46153</v>
      </c>
      <c r="B2066" t="s">
        <v>2610</v>
      </c>
      <c r="C2066" t="s">
        <v>4450</v>
      </c>
      <c r="D2066" t="s">
        <v>2090</v>
      </c>
      <c r="E2066" t="s">
        <v>2091</v>
      </c>
      <c r="F2066">
        <v>15000</v>
      </c>
      <c r="G2066" t="s">
        <v>619</v>
      </c>
      <c r="H2066">
        <v>15000</v>
      </c>
      <c r="I2066" t="s">
        <v>2607</v>
      </c>
    </row>
    <row r="2067" spans="1:9" x14ac:dyDescent="0.25">
      <c r="A2067" s="91">
        <v>46153</v>
      </c>
      <c r="B2067" t="s">
        <v>2610</v>
      </c>
      <c r="C2067" t="s">
        <v>4451</v>
      </c>
      <c r="D2067">
        <v>517660</v>
      </c>
      <c r="E2067" t="s">
        <v>2215</v>
      </c>
      <c r="F2067">
        <v>14584</v>
      </c>
      <c r="G2067" t="s">
        <v>619</v>
      </c>
      <c r="H2067">
        <v>14584</v>
      </c>
      <c r="I2067" t="s">
        <v>2607</v>
      </c>
    </row>
    <row r="2068" spans="1:9" x14ac:dyDescent="0.25">
      <c r="A2068" s="91">
        <v>46153</v>
      </c>
      <c r="B2068" t="s">
        <v>2606</v>
      </c>
      <c r="C2068" t="s">
        <v>4452</v>
      </c>
      <c r="D2068">
        <v>220125</v>
      </c>
      <c r="E2068" t="s">
        <v>2700</v>
      </c>
      <c r="F2068">
        <v>4250</v>
      </c>
      <c r="G2068" t="s">
        <v>619</v>
      </c>
      <c r="H2068">
        <v>4250</v>
      </c>
      <c r="I2068" t="s">
        <v>2607</v>
      </c>
    </row>
    <row r="2069" spans="1:9" x14ac:dyDescent="0.25">
      <c r="A2069" s="91">
        <v>46153</v>
      </c>
      <c r="B2069" t="s">
        <v>2665</v>
      </c>
      <c r="C2069" t="s">
        <v>4453</v>
      </c>
      <c r="D2069" t="s">
        <v>4454</v>
      </c>
      <c r="E2069" t="s">
        <v>4455</v>
      </c>
      <c r="F2069">
        <v>4500</v>
      </c>
      <c r="G2069" t="s">
        <v>619</v>
      </c>
      <c r="H2069">
        <v>4500</v>
      </c>
      <c r="I2069" t="s">
        <v>2607</v>
      </c>
    </row>
    <row r="2070" spans="1:9" x14ac:dyDescent="0.25">
      <c r="A2070" s="91">
        <v>46153</v>
      </c>
      <c r="B2070" t="s">
        <v>2665</v>
      </c>
      <c r="C2070" t="s">
        <v>4456</v>
      </c>
      <c r="D2070" t="s">
        <v>4457</v>
      </c>
      <c r="E2070" t="s">
        <v>4458</v>
      </c>
      <c r="F2070">
        <v>400</v>
      </c>
      <c r="G2070" t="s">
        <v>619</v>
      </c>
      <c r="H2070">
        <v>400</v>
      </c>
      <c r="I2070" t="s">
        <v>2607</v>
      </c>
    </row>
    <row r="2071" spans="1:9" x14ac:dyDescent="0.25">
      <c r="A2071" s="91">
        <v>46153</v>
      </c>
      <c r="B2071" t="s">
        <v>2736</v>
      </c>
      <c r="C2071" t="s">
        <v>4459</v>
      </c>
      <c r="D2071" t="s">
        <v>1118</v>
      </c>
      <c r="E2071" t="s">
        <v>1119</v>
      </c>
      <c r="F2071">
        <v>5400</v>
      </c>
      <c r="G2071" t="s">
        <v>622</v>
      </c>
      <c r="H2071">
        <v>5400</v>
      </c>
      <c r="I2071" t="s">
        <v>2607</v>
      </c>
    </row>
    <row r="2072" spans="1:9" x14ac:dyDescent="0.25">
      <c r="A2072" s="91">
        <v>46153</v>
      </c>
      <c r="B2072" t="s">
        <v>693</v>
      </c>
      <c r="C2072" t="s">
        <v>4460</v>
      </c>
      <c r="D2072">
        <v>910526</v>
      </c>
      <c r="E2072" t="s">
        <v>1602</v>
      </c>
      <c r="F2072">
        <v>9120</v>
      </c>
      <c r="G2072" t="s">
        <v>619</v>
      </c>
      <c r="H2072">
        <v>9120</v>
      </c>
      <c r="I2072" t="s">
        <v>2607</v>
      </c>
    </row>
    <row r="2073" spans="1:9" x14ac:dyDescent="0.25">
      <c r="A2073" s="91">
        <v>46153</v>
      </c>
      <c r="B2073" t="s">
        <v>693</v>
      </c>
      <c r="C2073" t="s">
        <v>4461</v>
      </c>
      <c r="D2073">
        <v>910326</v>
      </c>
      <c r="E2073" t="s">
        <v>1583</v>
      </c>
      <c r="F2073">
        <v>9120</v>
      </c>
      <c r="G2073" t="s">
        <v>619</v>
      </c>
      <c r="H2073">
        <v>9120</v>
      </c>
      <c r="I2073" t="s">
        <v>2607</v>
      </c>
    </row>
    <row r="2074" spans="1:9" x14ac:dyDescent="0.25">
      <c r="A2074" s="91">
        <v>46153</v>
      </c>
      <c r="B2074" t="s">
        <v>712</v>
      </c>
      <c r="C2074" t="s">
        <v>4462</v>
      </c>
      <c r="D2074">
        <v>8032</v>
      </c>
      <c r="E2074" t="s">
        <v>3598</v>
      </c>
      <c r="F2074">
        <v>50000</v>
      </c>
      <c r="G2074" t="s">
        <v>622</v>
      </c>
      <c r="H2074">
        <v>50000</v>
      </c>
      <c r="I2074" t="s">
        <v>2607</v>
      </c>
    </row>
    <row r="2075" spans="1:9" x14ac:dyDescent="0.25">
      <c r="A2075" s="91">
        <v>46153</v>
      </c>
      <c r="B2075" t="s">
        <v>682</v>
      </c>
      <c r="C2075" t="s">
        <v>4463</v>
      </c>
      <c r="D2075">
        <v>7279</v>
      </c>
      <c r="E2075" t="s">
        <v>754</v>
      </c>
      <c r="F2075">
        <v>29000</v>
      </c>
      <c r="G2075" t="s">
        <v>622</v>
      </c>
      <c r="H2075">
        <v>29000</v>
      </c>
      <c r="I2075" t="s">
        <v>2633</v>
      </c>
    </row>
    <row r="2076" spans="1:9" x14ac:dyDescent="0.25">
      <c r="A2076" s="91">
        <v>46153</v>
      </c>
      <c r="B2076" t="s">
        <v>688</v>
      </c>
      <c r="C2076" t="s">
        <v>4464</v>
      </c>
      <c r="D2076">
        <v>7746</v>
      </c>
      <c r="E2076" t="s">
        <v>692</v>
      </c>
      <c r="F2076">
        <v>68000</v>
      </c>
      <c r="G2076" t="s">
        <v>622</v>
      </c>
      <c r="H2076">
        <v>68000</v>
      </c>
      <c r="I2076" t="s">
        <v>2633</v>
      </c>
    </row>
    <row r="2077" spans="1:9" x14ac:dyDescent="0.25">
      <c r="A2077" s="91">
        <v>46153</v>
      </c>
      <c r="B2077">
        <v>7002</v>
      </c>
      <c r="C2077" t="s">
        <v>4465</v>
      </c>
      <c r="D2077">
        <v>961515</v>
      </c>
      <c r="E2077" t="s">
        <v>2691</v>
      </c>
      <c r="F2077">
        <v>163</v>
      </c>
      <c r="G2077" t="s">
        <v>619</v>
      </c>
      <c r="H2077">
        <v>163</v>
      </c>
      <c r="I2077" t="s">
        <v>2607</v>
      </c>
    </row>
    <row r="2078" spans="1:9" x14ac:dyDescent="0.25">
      <c r="A2078" s="91">
        <v>46153</v>
      </c>
      <c r="B2078" t="s">
        <v>715</v>
      </c>
      <c r="C2078" t="s">
        <v>4466</v>
      </c>
      <c r="D2078">
        <v>7193</v>
      </c>
      <c r="E2078" t="s">
        <v>811</v>
      </c>
      <c r="F2078">
        <v>55000</v>
      </c>
      <c r="G2078" t="s">
        <v>622</v>
      </c>
      <c r="H2078">
        <v>55000</v>
      </c>
      <c r="I2078" t="s">
        <v>2633</v>
      </c>
    </row>
    <row r="2079" spans="1:9" x14ac:dyDescent="0.25">
      <c r="A2079" s="91">
        <v>46154</v>
      </c>
      <c r="B2079" t="s">
        <v>2610</v>
      </c>
      <c r="C2079" t="s">
        <v>4467</v>
      </c>
      <c r="D2079">
        <v>517700</v>
      </c>
      <c r="E2079" t="s">
        <v>1397</v>
      </c>
      <c r="F2079">
        <v>14584</v>
      </c>
      <c r="G2079" t="s">
        <v>619</v>
      </c>
      <c r="H2079">
        <v>14584</v>
      </c>
      <c r="I2079" t="s">
        <v>2607</v>
      </c>
    </row>
    <row r="2080" spans="1:9" x14ac:dyDescent="0.25">
      <c r="A2080" s="91">
        <v>46154</v>
      </c>
      <c r="B2080" t="s">
        <v>2610</v>
      </c>
      <c r="C2080" t="s">
        <v>4468</v>
      </c>
      <c r="D2080" t="s">
        <v>2088</v>
      </c>
      <c r="E2080" t="s">
        <v>2089</v>
      </c>
      <c r="F2080">
        <v>15000</v>
      </c>
      <c r="G2080" t="s">
        <v>619</v>
      </c>
      <c r="H2080">
        <v>15000</v>
      </c>
      <c r="I2080" t="s">
        <v>2607</v>
      </c>
    </row>
    <row r="2081" spans="1:9" x14ac:dyDescent="0.25">
      <c r="A2081" s="91">
        <v>46154</v>
      </c>
      <c r="B2081" t="s">
        <v>2606</v>
      </c>
      <c r="C2081" t="s">
        <v>4469</v>
      </c>
      <c r="D2081">
        <v>220125</v>
      </c>
      <c r="E2081" t="s">
        <v>2700</v>
      </c>
      <c r="F2081">
        <v>4250</v>
      </c>
      <c r="G2081" t="s">
        <v>619</v>
      </c>
      <c r="H2081">
        <v>4250</v>
      </c>
      <c r="I2081" t="s">
        <v>2607</v>
      </c>
    </row>
    <row r="2082" spans="1:9" x14ac:dyDescent="0.25">
      <c r="A2082" s="91">
        <v>46154</v>
      </c>
      <c r="B2082" t="s">
        <v>685</v>
      </c>
      <c r="C2082" t="s">
        <v>4470</v>
      </c>
      <c r="D2082">
        <v>7374</v>
      </c>
      <c r="E2082" t="s">
        <v>785</v>
      </c>
      <c r="F2082">
        <v>25000</v>
      </c>
      <c r="G2082" t="s">
        <v>622</v>
      </c>
      <c r="H2082">
        <v>25000</v>
      </c>
      <c r="I2082" t="s">
        <v>2633</v>
      </c>
    </row>
    <row r="2083" spans="1:9" x14ac:dyDescent="0.25">
      <c r="A2083" s="91">
        <v>46154</v>
      </c>
      <c r="B2083" t="s">
        <v>2665</v>
      </c>
      <c r="C2083" t="s">
        <v>4471</v>
      </c>
      <c r="D2083" t="s">
        <v>4454</v>
      </c>
      <c r="E2083" t="s">
        <v>4455</v>
      </c>
      <c r="F2083">
        <v>6500</v>
      </c>
      <c r="G2083" t="s">
        <v>619</v>
      </c>
      <c r="H2083">
        <v>6500</v>
      </c>
      <c r="I2083" t="s">
        <v>2607</v>
      </c>
    </row>
    <row r="2084" spans="1:9" x14ac:dyDescent="0.25">
      <c r="A2084" s="91">
        <v>46154</v>
      </c>
      <c r="B2084" t="s">
        <v>712</v>
      </c>
      <c r="C2084" t="s">
        <v>4472</v>
      </c>
      <c r="D2084">
        <v>8032</v>
      </c>
      <c r="E2084" t="s">
        <v>3598</v>
      </c>
      <c r="F2084">
        <v>50000</v>
      </c>
      <c r="G2084" t="s">
        <v>622</v>
      </c>
      <c r="H2084">
        <v>50000</v>
      </c>
      <c r="I2084" t="s">
        <v>2607</v>
      </c>
    </row>
    <row r="2085" spans="1:9" x14ac:dyDescent="0.25">
      <c r="A2085" s="91">
        <v>46154</v>
      </c>
      <c r="B2085" t="s">
        <v>682</v>
      </c>
      <c r="C2085" t="s">
        <v>4473</v>
      </c>
      <c r="D2085">
        <v>7302</v>
      </c>
      <c r="E2085" t="s">
        <v>768</v>
      </c>
      <c r="F2085">
        <v>27000</v>
      </c>
      <c r="G2085" t="s">
        <v>622</v>
      </c>
      <c r="H2085">
        <v>27000</v>
      </c>
      <c r="I2085" t="s">
        <v>2633</v>
      </c>
    </row>
    <row r="2086" spans="1:9" x14ac:dyDescent="0.25">
      <c r="A2086" s="91">
        <v>46154</v>
      </c>
      <c r="B2086" t="s">
        <v>688</v>
      </c>
      <c r="C2086" t="s">
        <v>4474</v>
      </c>
      <c r="D2086">
        <v>7746</v>
      </c>
      <c r="E2086" t="s">
        <v>692</v>
      </c>
      <c r="F2086">
        <v>68000</v>
      </c>
      <c r="G2086" t="s">
        <v>622</v>
      </c>
      <c r="H2086">
        <v>68000</v>
      </c>
      <c r="I2086" t="s">
        <v>2633</v>
      </c>
    </row>
    <row r="2087" spans="1:9" x14ac:dyDescent="0.25">
      <c r="A2087" s="91">
        <v>46154</v>
      </c>
      <c r="B2087">
        <v>7002</v>
      </c>
      <c r="C2087" t="s">
        <v>4475</v>
      </c>
      <c r="D2087">
        <v>961515</v>
      </c>
      <c r="E2087" t="s">
        <v>2691</v>
      </c>
      <c r="F2087">
        <v>163</v>
      </c>
      <c r="G2087" t="s">
        <v>619</v>
      </c>
      <c r="H2087">
        <v>163</v>
      </c>
      <c r="I2087" t="s">
        <v>2607</v>
      </c>
    </row>
    <row r="2088" spans="1:9" x14ac:dyDescent="0.25">
      <c r="A2088" s="91">
        <v>46154</v>
      </c>
      <c r="B2088" t="s">
        <v>2736</v>
      </c>
      <c r="C2088" t="s">
        <v>4476</v>
      </c>
      <c r="D2088" t="s">
        <v>1118</v>
      </c>
      <c r="E2088" t="s">
        <v>1119</v>
      </c>
      <c r="F2088">
        <v>5400</v>
      </c>
      <c r="G2088" t="s">
        <v>622</v>
      </c>
      <c r="H2088">
        <v>5400</v>
      </c>
      <c r="I2088" t="s">
        <v>2607</v>
      </c>
    </row>
    <row r="2089" spans="1:9" x14ac:dyDescent="0.25">
      <c r="A2089" s="91">
        <v>46155</v>
      </c>
      <c r="B2089" t="s">
        <v>2610</v>
      </c>
      <c r="C2089" t="s">
        <v>4477</v>
      </c>
      <c r="D2089">
        <v>517700</v>
      </c>
      <c r="E2089" t="s">
        <v>1397</v>
      </c>
      <c r="F2089">
        <v>14584</v>
      </c>
      <c r="G2089" t="s">
        <v>619</v>
      </c>
      <c r="H2089">
        <v>14584</v>
      </c>
      <c r="I2089" t="s">
        <v>2607</v>
      </c>
    </row>
    <row r="2090" spans="1:9" x14ac:dyDescent="0.25">
      <c r="A2090" s="91">
        <v>46155</v>
      </c>
      <c r="B2090" t="s">
        <v>2610</v>
      </c>
      <c r="C2090" t="s">
        <v>4478</v>
      </c>
      <c r="D2090" t="s">
        <v>4479</v>
      </c>
      <c r="E2090" t="s">
        <v>4480</v>
      </c>
      <c r="F2090">
        <v>15000</v>
      </c>
      <c r="G2090" t="s">
        <v>619</v>
      </c>
      <c r="H2090">
        <v>15000</v>
      </c>
      <c r="I2090" t="s">
        <v>2607</v>
      </c>
    </row>
    <row r="2091" spans="1:9" x14ac:dyDescent="0.25">
      <c r="A2091" s="91">
        <v>46155</v>
      </c>
      <c r="B2091" t="s">
        <v>2606</v>
      </c>
      <c r="C2091" t="s">
        <v>4481</v>
      </c>
      <c r="D2091">
        <v>220125</v>
      </c>
      <c r="E2091" t="s">
        <v>2700</v>
      </c>
      <c r="F2091">
        <v>4250</v>
      </c>
      <c r="G2091" t="s">
        <v>619</v>
      </c>
      <c r="H2091">
        <v>4250</v>
      </c>
      <c r="I2091" t="s">
        <v>2607</v>
      </c>
    </row>
    <row r="2092" spans="1:9" x14ac:dyDescent="0.25">
      <c r="A2092" s="91">
        <v>46155</v>
      </c>
      <c r="B2092" t="s">
        <v>685</v>
      </c>
      <c r="C2092" t="s">
        <v>4482</v>
      </c>
      <c r="D2092">
        <v>7374</v>
      </c>
      <c r="E2092" t="s">
        <v>785</v>
      </c>
      <c r="F2092">
        <v>25000</v>
      </c>
      <c r="G2092" t="s">
        <v>622</v>
      </c>
      <c r="H2092">
        <v>25000</v>
      </c>
      <c r="I2092" t="s">
        <v>2633</v>
      </c>
    </row>
    <row r="2093" spans="1:9" x14ac:dyDescent="0.25">
      <c r="A2093" s="91">
        <v>46155</v>
      </c>
      <c r="B2093" t="s">
        <v>2665</v>
      </c>
      <c r="C2093" t="s">
        <v>4483</v>
      </c>
      <c r="D2093" t="s">
        <v>4454</v>
      </c>
      <c r="E2093" t="s">
        <v>4455</v>
      </c>
      <c r="F2093">
        <v>4500</v>
      </c>
      <c r="G2093" t="s">
        <v>619</v>
      </c>
      <c r="H2093">
        <v>4500</v>
      </c>
      <c r="I2093" t="s">
        <v>2607</v>
      </c>
    </row>
    <row r="2094" spans="1:9" x14ac:dyDescent="0.25">
      <c r="A2094" s="91">
        <v>46155</v>
      </c>
      <c r="B2094" t="s">
        <v>2665</v>
      </c>
      <c r="C2094" t="s">
        <v>4484</v>
      </c>
      <c r="D2094" t="s">
        <v>4457</v>
      </c>
      <c r="E2094" t="s">
        <v>4458</v>
      </c>
      <c r="F2094">
        <v>400</v>
      </c>
      <c r="G2094" t="s">
        <v>619</v>
      </c>
      <c r="H2094">
        <v>400</v>
      </c>
      <c r="I2094" t="s">
        <v>2607</v>
      </c>
    </row>
    <row r="2095" spans="1:9" x14ac:dyDescent="0.25">
      <c r="A2095" s="91">
        <v>46155</v>
      </c>
      <c r="B2095" t="s">
        <v>712</v>
      </c>
      <c r="C2095" t="s">
        <v>4485</v>
      </c>
      <c r="D2095">
        <v>8032</v>
      </c>
      <c r="E2095" t="s">
        <v>3598</v>
      </c>
      <c r="F2095">
        <v>50000</v>
      </c>
      <c r="G2095" t="s">
        <v>622</v>
      </c>
      <c r="H2095">
        <v>50000</v>
      </c>
      <c r="I2095" t="s">
        <v>2607</v>
      </c>
    </row>
    <row r="2096" spans="1:9" x14ac:dyDescent="0.25">
      <c r="A2096" s="91">
        <v>46155</v>
      </c>
      <c r="B2096" t="s">
        <v>682</v>
      </c>
      <c r="C2096" t="s">
        <v>4486</v>
      </c>
      <c r="D2096" t="s">
        <v>806</v>
      </c>
      <c r="E2096" t="s">
        <v>807</v>
      </c>
      <c r="F2096">
        <v>28000</v>
      </c>
      <c r="G2096" t="s">
        <v>622</v>
      </c>
      <c r="H2096">
        <v>28000</v>
      </c>
      <c r="I2096" t="s">
        <v>2633</v>
      </c>
    </row>
    <row r="2097" spans="1:9" x14ac:dyDescent="0.25">
      <c r="A2097" s="91">
        <v>46155</v>
      </c>
      <c r="B2097" t="s">
        <v>688</v>
      </c>
      <c r="C2097" t="s">
        <v>4487</v>
      </c>
      <c r="D2097">
        <v>7746</v>
      </c>
      <c r="E2097" t="s">
        <v>692</v>
      </c>
      <c r="F2097">
        <v>68000</v>
      </c>
      <c r="G2097" t="s">
        <v>622</v>
      </c>
      <c r="H2097">
        <v>68000</v>
      </c>
      <c r="I2097" t="s">
        <v>2633</v>
      </c>
    </row>
    <row r="2098" spans="1:9" x14ac:dyDescent="0.25">
      <c r="A2098" s="91">
        <v>46155</v>
      </c>
      <c r="B2098">
        <v>7002</v>
      </c>
      <c r="C2098" t="s">
        <v>4488</v>
      </c>
      <c r="D2098">
        <v>961517</v>
      </c>
      <c r="E2098" t="s">
        <v>2960</v>
      </c>
      <c r="F2098">
        <v>173</v>
      </c>
      <c r="G2098" t="s">
        <v>619</v>
      </c>
      <c r="H2098">
        <v>173</v>
      </c>
      <c r="I2098" t="s">
        <v>2607</v>
      </c>
    </row>
    <row r="2099" spans="1:9" x14ac:dyDescent="0.25">
      <c r="A2099" s="91">
        <v>46155</v>
      </c>
      <c r="B2099" t="s">
        <v>2736</v>
      </c>
      <c r="C2099" t="s">
        <v>4489</v>
      </c>
      <c r="D2099" t="s">
        <v>1118</v>
      </c>
      <c r="E2099" t="s">
        <v>1119</v>
      </c>
      <c r="F2099">
        <v>5400</v>
      </c>
      <c r="G2099" t="s">
        <v>622</v>
      </c>
      <c r="H2099">
        <v>5400</v>
      </c>
      <c r="I2099" t="s">
        <v>2607</v>
      </c>
    </row>
    <row r="2100" spans="1:9" x14ac:dyDescent="0.25">
      <c r="A2100" s="91">
        <v>46156</v>
      </c>
      <c r="B2100" t="s">
        <v>685</v>
      </c>
      <c r="C2100" t="s">
        <v>4490</v>
      </c>
      <c r="D2100">
        <v>7373</v>
      </c>
      <c r="E2100" t="s">
        <v>783</v>
      </c>
      <c r="F2100">
        <v>25000</v>
      </c>
      <c r="G2100" t="s">
        <v>622</v>
      </c>
      <c r="H2100">
        <v>25000</v>
      </c>
      <c r="I2100" t="s">
        <v>2633</v>
      </c>
    </row>
    <row r="2101" spans="1:9" x14ac:dyDescent="0.25">
      <c r="A2101" s="91">
        <v>46156</v>
      </c>
      <c r="B2101" t="s">
        <v>2610</v>
      </c>
      <c r="C2101" t="s">
        <v>4491</v>
      </c>
      <c r="D2101" t="s">
        <v>3567</v>
      </c>
      <c r="E2101" t="s">
        <v>3568</v>
      </c>
      <c r="F2101">
        <v>15000</v>
      </c>
      <c r="G2101" t="s">
        <v>619</v>
      </c>
      <c r="H2101">
        <v>15000</v>
      </c>
      <c r="I2101" t="s">
        <v>2607</v>
      </c>
    </row>
    <row r="2102" spans="1:9" x14ac:dyDescent="0.25">
      <c r="A2102" s="91">
        <v>46156</v>
      </c>
      <c r="B2102" t="s">
        <v>2610</v>
      </c>
      <c r="C2102" t="s">
        <v>4492</v>
      </c>
      <c r="D2102">
        <v>519180</v>
      </c>
      <c r="E2102" t="s">
        <v>1410</v>
      </c>
      <c r="F2102">
        <v>14584</v>
      </c>
      <c r="G2102" t="s">
        <v>619</v>
      </c>
      <c r="H2102">
        <v>14584</v>
      </c>
      <c r="I2102" t="s">
        <v>2607</v>
      </c>
    </row>
    <row r="2103" spans="1:9" x14ac:dyDescent="0.25">
      <c r="A2103" s="91">
        <v>46156</v>
      </c>
      <c r="B2103" t="s">
        <v>2606</v>
      </c>
      <c r="C2103" t="s">
        <v>4493</v>
      </c>
      <c r="D2103">
        <v>220125</v>
      </c>
      <c r="E2103" t="s">
        <v>2700</v>
      </c>
      <c r="F2103">
        <v>4250</v>
      </c>
      <c r="G2103" t="s">
        <v>619</v>
      </c>
      <c r="H2103">
        <v>4250</v>
      </c>
      <c r="I2103" t="s">
        <v>2607</v>
      </c>
    </row>
    <row r="2104" spans="1:9" x14ac:dyDescent="0.25">
      <c r="A2104" s="91">
        <v>46156</v>
      </c>
      <c r="B2104" t="s">
        <v>2665</v>
      </c>
      <c r="C2104" t="s">
        <v>4494</v>
      </c>
      <c r="D2104" t="s">
        <v>3929</v>
      </c>
      <c r="E2104" t="s">
        <v>3930</v>
      </c>
      <c r="F2104">
        <v>6667</v>
      </c>
      <c r="G2104" t="s">
        <v>619</v>
      </c>
      <c r="H2104">
        <v>6667</v>
      </c>
      <c r="I2104" t="s">
        <v>2607</v>
      </c>
    </row>
    <row r="2105" spans="1:9" x14ac:dyDescent="0.25">
      <c r="A2105" s="91">
        <v>46156</v>
      </c>
      <c r="B2105" t="s">
        <v>693</v>
      </c>
      <c r="C2105" t="s">
        <v>4495</v>
      </c>
      <c r="D2105">
        <v>910526</v>
      </c>
      <c r="E2105" t="s">
        <v>1602</v>
      </c>
      <c r="F2105">
        <v>9120</v>
      </c>
      <c r="G2105" t="s">
        <v>619</v>
      </c>
      <c r="H2105">
        <v>9120</v>
      </c>
      <c r="I2105" t="s">
        <v>2607</v>
      </c>
    </row>
    <row r="2106" spans="1:9" x14ac:dyDescent="0.25">
      <c r="A2106" s="91">
        <v>46156</v>
      </c>
      <c r="B2106" t="s">
        <v>693</v>
      </c>
      <c r="C2106" t="s">
        <v>4496</v>
      </c>
      <c r="D2106">
        <v>910326</v>
      </c>
      <c r="E2106" t="s">
        <v>1583</v>
      </c>
      <c r="F2106">
        <v>9120</v>
      </c>
      <c r="G2106" t="s">
        <v>619</v>
      </c>
      <c r="H2106">
        <v>9120</v>
      </c>
      <c r="I2106" t="s">
        <v>2607</v>
      </c>
    </row>
    <row r="2107" spans="1:9" x14ac:dyDescent="0.25">
      <c r="A2107" s="91">
        <v>46156</v>
      </c>
      <c r="B2107" t="s">
        <v>712</v>
      </c>
      <c r="C2107" t="s">
        <v>4497</v>
      </c>
      <c r="D2107">
        <v>8032</v>
      </c>
      <c r="E2107" t="s">
        <v>3598</v>
      </c>
      <c r="F2107">
        <v>50000</v>
      </c>
      <c r="G2107" t="s">
        <v>622</v>
      </c>
      <c r="H2107">
        <v>50000</v>
      </c>
      <c r="I2107" t="s">
        <v>2607</v>
      </c>
    </row>
    <row r="2108" spans="1:9" x14ac:dyDescent="0.25">
      <c r="A2108" s="91">
        <v>46156</v>
      </c>
      <c r="B2108" t="s">
        <v>688</v>
      </c>
      <c r="C2108" t="s">
        <v>4498</v>
      </c>
      <c r="D2108">
        <v>7746</v>
      </c>
      <c r="E2108" t="s">
        <v>692</v>
      </c>
      <c r="F2108">
        <v>68000</v>
      </c>
      <c r="G2108" t="s">
        <v>622</v>
      </c>
      <c r="H2108">
        <v>68000</v>
      </c>
      <c r="I2108" t="s">
        <v>2633</v>
      </c>
    </row>
    <row r="2109" spans="1:9" x14ac:dyDescent="0.25">
      <c r="A2109" s="91">
        <v>46156</v>
      </c>
      <c r="B2109">
        <v>7002</v>
      </c>
      <c r="C2109" t="s">
        <v>4499</v>
      </c>
      <c r="D2109">
        <v>931101</v>
      </c>
      <c r="E2109" t="s">
        <v>2648</v>
      </c>
      <c r="F2109">
        <v>500</v>
      </c>
      <c r="G2109" t="s">
        <v>619</v>
      </c>
      <c r="H2109">
        <v>500</v>
      </c>
      <c r="I2109" t="s">
        <v>2607</v>
      </c>
    </row>
    <row r="2110" spans="1:9" x14ac:dyDescent="0.25">
      <c r="A2110" s="91">
        <v>46156</v>
      </c>
      <c r="B2110" t="s">
        <v>2736</v>
      </c>
      <c r="C2110" t="s">
        <v>4500</v>
      </c>
      <c r="D2110" t="s">
        <v>1118</v>
      </c>
      <c r="E2110" t="s">
        <v>1119</v>
      </c>
      <c r="F2110">
        <v>5400</v>
      </c>
      <c r="G2110" t="s">
        <v>622</v>
      </c>
      <c r="H2110">
        <v>5400</v>
      </c>
      <c r="I2110" t="s">
        <v>2607</v>
      </c>
    </row>
    <row r="2111" spans="1:9" x14ac:dyDescent="0.25">
      <c r="A2111" s="91">
        <v>46157</v>
      </c>
      <c r="B2111" t="s">
        <v>2736</v>
      </c>
      <c r="C2111" t="s">
        <v>4501</v>
      </c>
      <c r="D2111" t="s">
        <v>1118</v>
      </c>
      <c r="E2111" t="s">
        <v>1119</v>
      </c>
      <c r="F2111">
        <v>5400</v>
      </c>
      <c r="G2111" t="s">
        <v>622</v>
      </c>
      <c r="H2111">
        <v>5400</v>
      </c>
      <c r="I2111" t="s">
        <v>2607</v>
      </c>
    </row>
    <row r="2112" spans="1:9" x14ac:dyDescent="0.25">
      <c r="A2112" s="91">
        <v>46157</v>
      </c>
      <c r="B2112" t="s">
        <v>2610</v>
      </c>
      <c r="C2112" t="s">
        <v>4502</v>
      </c>
      <c r="D2112">
        <v>522280</v>
      </c>
      <c r="E2112" t="s">
        <v>2235</v>
      </c>
      <c r="F2112">
        <v>14584</v>
      </c>
      <c r="G2112" t="s">
        <v>619</v>
      </c>
      <c r="H2112">
        <v>14584</v>
      </c>
      <c r="I2112" t="s">
        <v>2607</v>
      </c>
    </row>
    <row r="2113" spans="1:9" x14ac:dyDescent="0.25">
      <c r="A2113" s="91">
        <v>46157</v>
      </c>
      <c r="B2113" t="s">
        <v>2608</v>
      </c>
      <c r="C2113" t="s">
        <v>4503</v>
      </c>
      <c r="D2113">
        <v>7076</v>
      </c>
      <c r="E2113" t="s">
        <v>634</v>
      </c>
      <c r="F2113">
        <v>95000</v>
      </c>
      <c r="G2113" t="s">
        <v>622</v>
      </c>
      <c r="H2113">
        <v>95000</v>
      </c>
      <c r="I2113" t="s">
        <v>2609</v>
      </c>
    </row>
    <row r="2114" spans="1:9" x14ac:dyDescent="0.25">
      <c r="A2114" s="91">
        <v>46157</v>
      </c>
      <c r="B2114" t="s">
        <v>2606</v>
      </c>
      <c r="C2114" t="s">
        <v>4504</v>
      </c>
      <c r="D2114">
        <v>220125</v>
      </c>
      <c r="E2114" t="s">
        <v>2700</v>
      </c>
      <c r="F2114">
        <v>4250</v>
      </c>
      <c r="G2114" t="s">
        <v>619</v>
      </c>
      <c r="H2114">
        <v>4250</v>
      </c>
      <c r="I2114" t="s">
        <v>2607</v>
      </c>
    </row>
    <row r="2115" spans="1:9" x14ac:dyDescent="0.25">
      <c r="A2115" s="91">
        <v>46157</v>
      </c>
      <c r="B2115" t="s">
        <v>2665</v>
      </c>
      <c r="C2115" t="s">
        <v>4505</v>
      </c>
      <c r="D2115" t="s">
        <v>894</v>
      </c>
      <c r="E2115" t="s">
        <v>895</v>
      </c>
      <c r="F2115">
        <v>6667</v>
      </c>
      <c r="G2115" t="s">
        <v>619</v>
      </c>
      <c r="H2115">
        <v>6667</v>
      </c>
      <c r="I2115" t="s">
        <v>2607</v>
      </c>
    </row>
    <row r="2116" spans="1:9" x14ac:dyDescent="0.25">
      <c r="A2116" s="91">
        <v>46157</v>
      </c>
      <c r="B2116" t="s">
        <v>2621</v>
      </c>
      <c r="C2116" t="s">
        <v>4506</v>
      </c>
      <c r="D2116" t="s">
        <v>2793</v>
      </c>
      <c r="E2116" t="s">
        <v>2794</v>
      </c>
      <c r="F2116">
        <v>2124</v>
      </c>
      <c r="G2116" t="s">
        <v>619</v>
      </c>
      <c r="H2116">
        <v>2124</v>
      </c>
      <c r="I2116" t="s">
        <v>2607</v>
      </c>
    </row>
    <row r="2117" spans="1:9" x14ac:dyDescent="0.25">
      <c r="A2117" s="91">
        <v>46157</v>
      </c>
      <c r="B2117" t="s">
        <v>2621</v>
      </c>
      <c r="C2117" t="s">
        <v>4507</v>
      </c>
      <c r="D2117" t="s">
        <v>3785</v>
      </c>
      <c r="E2117" t="s">
        <v>3786</v>
      </c>
      <c r="F2117">
        <v>309</v>
      </c>
      <c r="G2117" t="s">
        <v>619</v>
      </c>
      <c r="H2117">
        <v>309</v>
      </c>
      <c r="I2117" t="s">
        <v>2607</v>
      </c>
    </row>
    <row r="2118" spans="1:9" x14ac:dyDescent="0.25">
      <c r="A2118" s="91">
        <v>46157</v>
      </c>
      <c r="B2118" t="s">
        <v>2621</v>
      </c>
      <c r="C2118" t="s">
        <v>4508</v>
      </c>
      <c r="D2118" t="s">
        <v>2639</v>
      </c>
      <c r="E2118" t="s">
        <v>2640</v>
      </c>
      <c r="F2118">
        <v>11569</v>
      </c>
      <c r="G2118" t="s">
        <v>619</v>
      </c>
      <c r="H2118">
        <v>11569</v>
      </c>
      <c r="I2118" t="s">
        <v>2607</v>
      </c>
    </row>
    <row r="2119" spans="1:9" x14ac:dyDescent="0.25">
      <c r="A2119" s="91">
        <v>46157</v>
      </c>
      <c r="B2119" t="s">
        <v>2621</v>
      </c>
      <c r="C2119" t="s">
        <v>4509</v>
      </c>
      <c r="D2119" t="s">
        <v>2650</v>
      </c>
      <c r="E2119" t="s">
        <v>2651</v>
      </c>
      <c r="F2119">
        <v>486</v>
      </c>
      <c r="G2119" t="s">
        <v>619</v>
      </c>
      <c r="H2119">
        <v>486</v>
      </c>
      <c r="I2119" t="s">
        <v>2607</v>
      </c>
    </row>
    <row r="2120" spans="1:9" x14ac:dyDescent="0.25">
      <c r="A2120" s="91">
        <v>46157</v>
      </c>
      <c r="B2120" t="s">
        <v>2621</v>
      </c>
      <c r="C2120" t="s">
        <v>4510</v>
      </c>
      <c r="D2120" t="s">
        <v>2694</v>
      </c>
      <c r="E2120" t="s">
        <v>2695</v>
      </c>
      <c r="F2120">
        <v>2675</v>
      </c>
      <c r="G2120" t="s">
        <v>619</v>
      </c>
      <c r="H2120">
        <v>2675</v>
      </c>
      <c r="I2120" t="s">
        <v>2607</v>
      </c>
    </row>
    <row r="2121" spans="1:9" x14ac:dyDescent="0.25">
      <c r="A2121" s="91">
        <v>46157</v>
      </c>
      <c r="B2121" t="s">
        <v>2621</v>
      </c>
      <c r="C2121" t="s">
        <v>4511</v>
      </c>
      <c r="D2121" t="s">
        <v>2626</v>
      </c>
      <c r="E2121" t="s">
        <v>2627</v>
      </c>
      <c r="F2121">
        <v>3993</v>
      </c>
      <c r="G2121" t="s">
        <v>619</v>
      </c>
      <c r="H2121">
        <v>3993</v>
      </c>
      <c r="I2121" t="s">
        <v>2607</v>
      </c>
    </row>
    <row r="2122" spans="1:9" x14ac:dyDescent="0.25">
      <c r="A2122" s="91">
        <v>46157</v>
      </c>
      <c r="B2122" t="s">
        <v>2621</v>
      </c>
      <c r="C2122" t="s">
        <v>4512</v>
      </c>
      <c r="D2122" t="s">
        <v>2643</v>
      </c>
      <c r="E2122" t="s">
        <v>2644</v>
      </c>
      <c r="F2122">
        <v>1133</v>
      </c>
      <c r="G2122" t="s">
        <v>619</v>
      </c>
      <c r="H2122">
        <v>1133</v>
      </c>
      <c r="I2122" t="s">
        <v>2607</v>
      </c>
    </row>
    <row r="2123" spans="1:9" x14ac:dyDescent="0.25">
      <c r="A2123" s="91">
        <v>46157</v>
      </c>
      <c r="B2123" t="s">
        <v>2621</v>
      </c>
      <c r="C2123" t="s">
        <v>4513</v>
      </c>
      <c r="D2123" t="s">
        <v>2910</v>
      </c>
      <c r="E2123" t="s">
        <v>2911</v>
      </c>
      <c r="F2123">
        <v>5322</v>
      </c>
      <c r="G2123" t="s">
        <v>619</v>
      </c>
      <c r="H2123">
        <v>5322</v>
      </c>
      <c r="I2123" t="s">
        <v>2607</v>
      </c>
    </row>
    <row r="2124" spans="1:9" x14ac:dyDescent="0.25">
      <c r="A2124" s="91">
        <v>46157</v>
      </c>
      <c r="B2124" t="s">
        <v>2621</v>
      </c>
      <c r="C2124" t="s">
        <v>4514</v>
      </c>
      <c r="D2124" t="s">
        <v>2713</v>
      </c>
      <c r="E2124" t="s">
        <v>2714</v>
      </c>
      <c r="F2124">
        <v>6493</v>
      </c>
      <c r="G2124" t="s">
        <v>619</v>
      </c>
      <c r="H2124">
        <v>6493</v>
      </c>
      <c r="I2124" t="s">
        <v>2607</v>
      </c>
    </row>
    <row r="2125" spans="1:9" x14ac:dyDescent="0.25">
      <c r="A2125" s="91">
        <v>46157</v>
      </c>
      <c r="B2125" t="s">
        <v>2621</v>
      </c>
      <c r="C2125" t="s">
        <v>4515</v>
      </c>
      <c r="D2125" t="s">
        <v>2669</v>
      </c>
      <c r="E2125" t="s">
        <v>2670</v>
      </c>
      <c r="F2125">
        <v>20781</v>
      </c>
      <c r="G2125" t="s">
        <v>619</v>
      </c>
      <c r="H2125">
        <v>20781</v>
      </c>
      <c r="I2125" t="s">
        <v>2607</v>
      </c>
    </row>
    <row r="2126" spans="1:9" x14ac:dyDescent="0.25">
      <c r="A2126" s="91">
        <v>46157</v>
      </c>
      <c r="B2126" t="s">
        <v>2621</v>
      </c>
      <c r="C2126" t="s">
        <v>4516</v>
      </c>
      <c r="D2126" t="s">
        <v>2756</v>
      </c>
      <c r="E2126" t="s">
        <v>2757</v>
      </c>
      <c r="F2126">
        <v>12443</v>
      </c>
      <c r="G2126" t="s">
        <v>619</v>
      </c>
      <c r="H2126">
        <v>12443</v>
      </c>
      <c r="I2126" t="s">
        <v>2607</v>
      </c>
    </row>
    <row r="2127" spans="1:9" x14ac:dyDescent="0.25">
      <c r="A2127" s="91">
        <v>46157</v>
      </c>
      <c r="B2127">
        <v>7002</v>
      </c>
      <c r="C2127" t="s">
        <v>4517</v>
      </c>
      <c r="D2127">
        <v>931101</v>
      </c>
      <c r="E2127" t="s">
        <v>2648</v>
      </c>
      <c r="F2127">
        <v>500</v>
      </c>
      <c r="G2127" t="s">
        <v>619</v>
      </c>
      <c r="H2127">
        <v>500</v>
      </c>
      <c r="I2127" t="s">
        <v>2607</v>
      </c>
    </row>
    <row r="2128" spans="1:9" x14ac:dyDescent="0.25">
      <c r="A2128" s="91">
        <v>46157</v>
      </c>
      <c r="B2128" t="s">
        <v>2621</v>
      </c>
      <c r="C2128" t="s">
        <v>4518</v>
      </c>
      <c r="D2128" t="s">
        <v>3073</v>
      </c>
      <c r="E2128" t="s">
        <v>3074</v>
      </c>
      <c r="F2128">
        <v>607</v>
      </c>
      <c r="G2128" t="s">
        <v>619</v>
      </c>
      <c r="H2128">
        <v>607</v>
      </c>
      <c r="I2128" t="s">
        <v>2607</v>
      </c>
    </row>
    <row r="2129" spans="1:9" x14ac:dyDescent="0.25">
      <c r="A2129" s="91">
        <v>46158</v>
      </c>
      <c r="B2129" t="s">
        <v>2610</v>
      </c>
      <c r="C2129" t="s">
        <v>4519</v>
      </c>
      <c r="D2129">
        <v>520880</v>
      </c>
      <c r="E2129" t="s">
        <v>1399</v>
      </c>
      <c r="F2129">
        <v>12500</v>
      </c>
      <c r="G2129" t="s">
        <v>619</v>
      </c>
      <c r="H2129">
        <v>12500</v>
      </c>
      <c r="I2129" t="s">
        <v>2607</v>
      </c>
    </row>
    <row r="2130" spans="1:9" x14ac:dyDescent="0.25">
      <c r="A2130" s="91">
        <v>46158</v>
      </c>
      <c r="B2130" t="s">
        <v>2606</v>
      </c>
      <c r="C2130" t="s">
        <v>4520</v>
      </c>
      <c r="D2130">
        <v>220125</v>
      </c>
      <c r="E2130" t="s">
        <v>2700</v>
      </c>
      <c r="F2130">
        <v>4250</v>
      </c>
      <c r="G2130" t="s">
        <v>619</v>
      </c>
      <c r="H2130">
        <v>4250</v>
      </c>
      <c r="I2130" t="s">
        <v>2607</v>
      </c>
    </row>
    <row r="2131" spans="1:9" x14ac:dyDescent="0.25">
      <c r="A2131" s="91">
        <v>46158</v>
      </c>
      <c r="B2131" t="s">
        <v>2736</v>
      </c>
      <c r="C2131" t="s">
        <v>4521</v>
      </c>
      <c r="D2131" t="s">
        <v>1118</v>
      </c>
      <c r="E2131" t="s">
        <v>1119</v>
      </c>
      <c r="F2131">
        <v>5400</v>
      </c>
      <c r="G2131" t="s">
        <v>622</v>
      </c>
      <c r="H2131">
        <v>5400</v>
      </c>
      <c r="I2131" t="s">
        <v>2607</v>
      </c>
    </row>
    <row r="2132" spans="1:9" x14ac:dyDescent="0.25">
      <c r="A2132" s="91">
        <v>46160</v>
      </c>
      <c r="B2132" t="s">
        <v>2608</v>
      </c>
      <c r="C2132" t="s">
        <v>4522</v>
      </c>
      <c r="D2132">
        <v>8013256</v>
      </c>
      <c r="E2132" t="s">
        <v>3748</v>
      </c>
      <c r="F2132">
        <v>3750</v>
      </c>
      <c r="G2132" t="s">
        <v>619</v>
      </c>
      <c r="H2132">
        <v>3750</v>
      </c>
      <c r="I2132" t="s">
        <v>2607</v>
      </c>
    </row>
    <row r="2133" spans="1:9" x14ac:dyDescent="0.25">
      <c r="A2133" s="91">
        <v>46160</v>
      </c>
      <c r="B2133">
        <v>7002</v>
      </c>
      <c r="C2133" t="s">
        <v>4523</v>
      </c>
      <c r="D2133">
        <v>931101</v>
      </c>
      <c r="E2133" t="s">
        <v>2648</v>
      </c>
      <c r="F2133">
        <v>500</v>
      </c>
      <c r="G2133" t="s">
        <v>619</v>
      </c>
      <c r="H2133">
        <v>500</v>
      </c>
      <c r="I2133" t="s">
        <v>2607</v>
      </c>
    </row>
    <row r="2134" spans="1:9" x14ac:dyDescent="0.25">
      <c r="A2134" s="91">
        <v>46160</v>
      </c>
      <c r="B2134" t="s">
        <v>688</v>
      </c>
      <c r="C2134" t="s">
        <v>4524</v>
      </c>
      <c r="D2134">
        <v>7741</v>
      </c>
      <c r="E2134" t="s">
        <v>690</v>
      </c>
      <c r="F2134">
        <v>68000</v>
      </c>
      <c r="G2134" t="s">
        <v>622</v>
      </c>
      <c r="H2134">
        <v>68000</v>
      </c>
      <c r="I2134" t="s">
        <v>2633</v>
      </c>
    </row>
    <row r="2135" spans="1:9" x14ac:dyDescent="0.25">
      <c r="A2135" s="91">
        <v>46160</v>
      </c>
      <c r="B2135" t="s">
        <v>682</v>
      </c>
      <c r="C2135" t="s">
        <v>4525</v>
      </c>
      <c r="D2135">
        <v>7297</v>
      </c>
      <c r="E2135" t="s">
        <v>684</v>
      </c>
      <c r="F2135">
        <v>30000</v>
      </c>
      <c r="G2135" t="s">
        <v>622</v>
      </c>
      <c r="H2135">
        <v>30000</v>
      </c>
      <c r="I2135" t="s">
        <v>2633</v>
      </c>
    </row>
    <row r="2136" spans="1:9" x14ac:dyDescent="0.25">
      <c r="A2136" s="91">
        <v>46160</v>
      </c>
      <c r="B2136" t="s">
        <v>679</v>
      </c>
      <c r="C2136" t="s">
        <v>4526</v>
      </c>
      <c r="D2136">
        <v>7213</v>
      </c>
      <c r="E2136" t="s">
        <v>719</v>
      </c>
      <c r="F2136">
        <v>85000</v>
      </c>
      <c r="G2136" t="s">
        <v>622</v>
      </c>
      <c r="H2136">
        <v>85000</v>
      </c>
      <c r="I2136" t="s">
        <v>2633</v>
      </c>
    </row>
    <row r="2137" spans="1:9" x14ac:dyDescent="0.25">
      <c r="A2137" s="91">
        <v>46160</v>
      </c>
      <c r="B2137" t="s">
        <v>712</v>
      </c>
      <c r="C2137" t="s">
        <v>4527</v>
      </c>
      <c r="D2137">
        <v>8032</v>
      </c>
      <c r="E2137" t="s">
        <v>3598</v>
      </c>
      <c r="F2137">
        <v>50000</v>
      </c>
      <c r="G2137" t="s">
        <v>622</v>
      </c>
      <c r="H2137">
        <v>50000</v>
      </c>
      <c r="I2137" t="s">
        <v>2607</v>
      </c>
    </row>
    <row r="2138" spans="1:9" x14ac:dyDescent="0.25">
      <c r="A2138" s="91">
        <v>46160</v>
      </c>
      <c r="B2138" t="s">
        <v>2736</v>
      </c>
      <c r="C2138" t="s">
        <v>4528</v>
      </c>
      <c r="D2138" t="s">
        <v>1403</v>
      </c>
      <c r="E2138" t="s">
        <v>1404</v>
      </c>
      <c r="F2138">
        <v>5300</v>
      </c>
      <c r="G2138" t="s">
        <v>622</v>
      </c>
      <c r="H2138">
        <v>5300</v>
      </c>
      <c r="I2138" t="s">
        <v>2607</v>
      </c>
    </row>
    <row r="2139" spans="1:9" x14ac:dyDescent="0.25">
      <c r="A2139" s="91">
        <v>46160</v>
      </c>
      <c r="B2139" t="s">
        <v>2606</v>
      </c>
      <c r="C2139" t="s">
        <v>4529</v>
      </c>
      <c r="D2139">
        <v>220125</v>
      </c>
      <c r="E2139" t="s">
        <v>2700</v>
      </c>
      <c r="F2139">
        <v>4250</v>
      </c>
      <c r="G2139" t="s">
        <v>619</v>
      </c>
      <c r="H2139">
        <v>4250</v>
      </c>
      <c r="I2139" t="s">
        <v>2607</v>
      </c>
    </row>
    <row r="2140" spans="1:9" x14ac:dyDescent="0.25">
      <c r="A2140" s="91">
        <v>46160</v>
      </c>
      <c r="B2140" t="s">
        <v>2610</v>
      </c>
      <c r="C2140" t="s">
        <v>4530</v>
      </c>
      <c r="D2140">
        <v>520880</v>
      </c>
      <c r="E2140" t="s">
        <v>1399</v>
      </c>
      <c r="F2140">
        <v>12500</v>
      </c>
      <c r="G2140" t="s">
        <v>619</v>
      </c>
      <c r="H2140">
        <v>12500</v>
      </c>
      <c r="I2140" t="s">
        <v>2607</v>
      </c>
    </row>
    <row r="2141" spans="1:9" x14ac:dyDescent="0.25">
      <c r="A2141" s="91">
        <v>46161</v>
      </c>
      <c r="B2141" t="s">
        <v>2610</v>
      </c>
      <c r="C2141" t="s">
        <v>4531</v>
      </c>
      <c r="D2141">
        <v>520860</v>
      </c>
      <c r="E2141" t="s">
        <v>1388</v>
      </c>
      <c r="F2141">
        <v>12500</v>
      </c>
      <c r="G2141" t="s">
        <v>619</v>
      </c>
      <c r="H2141">
        <v>12500</v>
      </c>
      <c r="I2141" t="s">
        <v>2607</v>
      </c>
    </row>
    <row r="2142" spans="1:9" x14ac:dyDescent="0.25">
      <c r="A2142" s="91">
        <v>46161</v>
      </c>
      <c r="B2142" t="s">
        <v>2608</v>
      </c>
      <c r="C2142" t="s">
        <v>4532</v>
      </c>
      <c r="D2142">
        <v>8013256</v>
      </c>
      <c r="E2142" t="s">
        <v>3748</v>
      </c>
      <c r="F2142">
        <v>3750</v>
      </c>
      <c r="G2142" t="s">
        <v>619</v>
      </c>
      <c r="H2142">
        <v>3750</v>
      </c>
      <c r="I2142" t="s">
        <v>2607</v>
      </c>
    </row>
    <row r="2143" spans="1:9" x14ac:dyDescent="0.25">
      <c r="A2143" s="91">
        <v>46161</v>
      </c>
      <c r="B2143" t="s">
        <v>2736</v>
      </c>
      <c r="C2143" t="s">
        <v>4533</v>
      </c>
      <c r="D2143" t="s">
        <v>1403</v>
      </c>
      <c r="E2143" t="s">
        <v>1404</v>
      </c>
      <c r="F2143">
        <v>5300</v>
      </c>
      <c r="G2143" t="s">
        <v>622</v>
      </c>
      <c r="H2143">
        <v>5300</v>
      </c>
      <c r="I2143" t="s">
        <v>2607</v>
      </c>
    </row>
    <row r="2144" spans="1:9" x14ac:dyDescent="0.25">
      <c r="A2144" s="91">
        <v>46161</v>
      </c>
      <c r="B2144" t="s">
        <v>2606</v>
      </c>
      <c r="C2144" t="s">
        <v>4534</v>
      </c>
      <c r="D2144">
        <v>220125</v>
      </c>
      <c r="E2144" t="s">
        <v>2700</v>
      </c>
      <c r="F2144">
        <v>4250</v>
      </c>
      <c r="G2144" t="s">
        <v>619</v>
      </c>
      <c r="H2144">
        <v>4250</v>
      </c>
      <c r="I2144" t="s">
        <v>2607</v>
      </c>
    </row>
    <row r="2145" spans="1:9" x14ac:dyDescent="0.25">
      <c r="A2145" s="91">
        <v>46161</v>
      </c>
      <c r="B2145" t="s">
        <v>682</v>
      </c>
      <c r="C2145" t="s">
        <v>4535</v>
      </c>
      <c r="D2145" t="s">
        <v>806</v>
      </c>
      <c r="E2145" t="s">
        <v>807</v>
      </c>
      <c r="F2145">
        <v>28000</v>
      </c>
      <c r="G2145" t="s">
        <v>622</v>
      </c>
      <c r="H2145">
        <v>28000</v>
      </c>
      <c r="I2145" t="s">
        <v>2633</v>
      </c>
    </row>
    <row r="2146" spans="1:9" x14ac:dyDescent="0.25">
      <c r="A2146" s="91">
        <v>46161</v>
      </c>
      <c r="B2146" t="s">
        <v>712</v>
      </c>
      <c r="C2146" t="s">
        <v>4536</v>
      </c>
      <c r="D2146">
        <v>8032</v>
      </c>
      <c r="E2146" t="s">
        <v>3598</v>
      </c>
      <c r="F2146">
        <v>50000</v>
      </c>
      <c r="G2146" t="s">
        <v>622</v>
      </c>
      <c r="H2146">
        <v>50000</v>
      </c>
      <c r="I2146" t="s">
        <v>2607</v>
      </c>
    </row>
    <row r="2147" spans="1:9" x14ac:dyDescent="0.25">
      <c r="A2147" s="91">
        <v>46161</v>
      </c>
      <c r="B2147" t="s">
        <v>688</v>
      </c>
      <c r="C2147" t="s">
        <v>4537</v>
      </c>
      <c r="D2147">
        <v>7741</v>
      </c>
      <c r="E2147" t="s">
        <v>690</v>
      </c>
      <c r="F2147">
        <v>68000</v>
      </c>
      <c r="G2147" t="s">
        <v>622</v>
      </c>
      <c r="H2147">
        <v>68000</v>
      </c>
      <c r="I2147" t="s">
        <v>2633</v>
      </c>
    </row>
    <row r="2148" spans="1:9" x14ac:dyDescent="0.25">
      <c r="A2148" s="91">
        <v>46161</v>
      </c>
      <c r="B2148">
        <v>7002</v>
      </c>
      <c r="C2148" t="s">
        <v>4538</v>
      </c>
      <c r="D2148">
        <v>931101</v>
      </c>
      <c r="E2148" t="s">
        <v>2648</v>
      </c>
      <c r="F2148">
        <v>500</v>
      </c>
      <c r="G2148" t="s">
        <v>619</v>
      </c>
      <c r="H2148">
        <v>500</v>
      </c>
      <c r="I2148" t="s">
        <v>2607</v>
      </c>
    </row>
    <row r="2149" spans="1:9" x14ac:dyDescent="0.25">
      <c r="A2149" s="91">
        <v>46162</v>
      </c>
      <c r="B2149" t="s">
        <v>2610</v>
      </c>
      <c r="C2149" t="s">
        <v>4539</v>
      </c>
      <c r="D2149">
        <v>520860</v>
      </c>
      <c r="E2149" t="s">
        <v>1388</v>
      </c>
      <c r="F2149">
        <v>12500</v>
      </c>
      <c r="G2149" t="s">
        <v>619</v>
      </c>
      <c r="H2149">
        <v>12500</v>
      </c>
      <c r="I2149" t="s">
        <v>2607</v>
      </c>
    </row>
    <row r="2150" spans="1:9" x14ac:dyDescent="0.25">
      <c r="A2150" s="91">
        <v>46162</v>
      </c>
      <c r="B2150" t="s">
        <v>2608</v>
      </c>
      <c r="C2150" t="s">
        <v>4540</v>
      </c>
      <c r="D2150">
        <v>8013255</v>
      </c>
      <c r="E2150" t="s">
        <v>3727</v>
      </c>
      <c r="F2150">
        <v>3750</v>
      </c>
      <c r="G2150" t="s">
        <v>619</v>
      </c>
      <c r="H2150">
        <v>3750</v>
      </c>
      <c r="I2150" t="s">
        <v>2607</v>
      </c>
    </row>
    <row r="2151" spans="1:9" x14ac:dyDescent="0.25">
      <c r="A2151" s="91">
        <v>46162</v>
      </c>
      <c r="B2151" t="s">
        <v>2606</v>
      </c>
      <c r="C2151" t="s">
        <v>4541</v>
      </c>
      <c r="D2151">
        <v>220125</v>
      </c>
      <c r="E2151" t="s">
        <v>2700</v>
      </c>
      <c r="F2151">
        <v>4250</v>
      </c>
      <c r="G2151" t="s">
        <v>619</v>
      </c>
      <c r="H2151">
        <v>4250</v>
      </c>
      <c r="I2151" t="s">
        <v>2607</v>
      </c>
    </row>
    <row r="2152" spans="1:9" x14ac:dyDescent="0.25">
      <c r="A2152" s="91">
        <v>46162</v>
      </c>
      <c r="B2152" t="s">
        <v>2736</v>
      </c>
      <c r="C2152" t="s">
        <v>4542</v>
      </c>
      <c r="D2152" t="s">
        <v>1403</v>
      </c>
      <c r="E2152" t="s">
        <v>1404</v>
      </c>
      <c r="F2152">
        <v>5200</v>
      </c>
      <c r="G2152" t="s">
        <v>622</v>
      </c>
      <c r="H2152">
        <v>5200</v>
      </c>
      <c r="I2152" t="s">
        <v>2607</v>
      </c>
    </row>
    <row r="2153" spans="1:9" x14ac:dyDescent="0.25">
      <c r="A2153" s="91">
        <v>46162</v>
      </c>
      <c r="B2153" t="s">
        <v>715</v>
      </c>
      <c r="C2153" t="s">
        <v>4543</v>
      </c>
      <c r="D2153">
        <v>7185</v>
      </c>
      <c r="E2153" t="s">
        <v>717</v>
      </c>
      <c r="F2153">
        <v>55000</v>
      </c>
      <c r="G2153" t="s">
        <v>622</v>
      </c>
      <c r="H2153">
        <v>55000</v>
      </c>
      <c r="I2153" t="s">
        <v>2633</v>
      </c>
    </row>
    <row r="2154" spans="1:9" x14ac:dyDescent="0.25">
      <c r="A2154" s="91">
        <v>46162</v>
      </c>
      <c r="B2154" t="s">
        <v>712</v>
      </c>
      <c r="C2154" t="s">
        <v>4544</v>
      </c>
      <c r="D2154">
        <v>8032</v>
      </c>
      <c r="E2154" t="s">
        <v>3598</v>
      </c>
      <c r="F2154">
        <v>50000</v>
      </c>
      <c r="G2154" t="s">
        <v>622</v>
      </c>
      <c r="H2154">
        <v>50000</v>
      </c>
      <c r="I2154" t="s">
        <v>2607</v>
      </c>
    </row>
    <row r="2155" spans="1:9" x14ac:dyDescent="0.25">
      <c r="A2155" s="91">
        <v>46162</v>
      </c>
      <c r="B2155" t="s">
        <v>682</v>
      </c>
      <c r="C2155" t="s">
        <v>4545</v>
      </c>
      <c r="D2155">
        <v>7552</v>
      </c>
      <c r="E2155" t="s">
        <v>2752</v>
      </c>
      <c r="F2155">
        <v>24000</v>
      </c>
      <c r="G2155" t="s">
        <v>622</v>
      </c>
      <c r="H2155">
        <v>24000</v>
      </c>
      <c r="I2155" t="s">
        <v>2633</v>
      </c>
    </row>
    <row r="2156" spans="1:9" x14ac:dyDescent="0.25">
      <c r="A2156" s="91">
        <v>46162</v>
      </c>
      <c r="B2156" t="s">
        <v>688</v>
      </c>
      <c r="C2156" t="s">
        <v>4546</v>
      </c>
      <c r="D2156">
        <v>7741</v>
      </c>
      <c r="E2156" t="s">
        <v>690</v>
      </c>
      <c r="F2156">
        <v>68000</v>
      </c>
      <c r="G2156" t="s">
        <v>622</v>
      </c>
      <c r="H2156">
        <v>68000</v>
      </c>
      <c r="I2156" t="s">
        <v>2633</v>
      </c>
    </row>
    <row r="2157" spans="1:9" x14ac:dyDescent="0.25">
      <c r="A2157" s="91">
        <v>46162</v>
      </c>
      <c r="B2157">
        <v>7002</v>
      </c>
      <c r="C2157" t="s">
        <v>4547</v>
      </c>
      <c r="D2157">
        <v>931101</v>
      </c>
      <c r="E2157" t="s">
        <v>2648</v>
      </c>
      <c r="F2157">
        <v>500</v>
      </c>
      <c r="G2157" t="s">
        <v>619</v>
      </c>
      <c r="H2157">
        <v>500</v>
      </c>
      <c r="I2157" t="s">
        <v>2607</v>
      </c>
    </row>
    <row r="2158" spans="1:9" x14ac:dyDescent="0.25">
      <c r="A2158" s="91">
        <v>46163</v>
      </c>
      <c r="B2158" t="s">
        <v>2610</v>
      </c>
      <c r="C2158" t="s">
        <v>4548</v>
      </c>
      <c r="D2158">
        <v>520860</v>
      </c>
      <c r="E2158" t="s">
        <v>1388</v>
      </c>
      <c r="F2158">
        <v>12500</v>
      </c>
      <c r="G2158" t="s">
        <v>619</v>
      </c>
      <c r="H2158">
        <v>12500</v>
      </c>
      <c r="I2158" t="s">
        <v>2607</v>
      </c>
    </row>
    <row r="2159" spans="1:9" x14ac:dyDescent="0.25">
      <c r="A2159" s="91">
        <v>46163</v>
      </c>
      <c r="B2159" t="s">
        <v>2606</v>
      </c>
      <c r="C2159" t="s">
        <v>4549</v>
      </c>
      <c r="D2159">
        <v>220125</v>
      </c>
      <c r="E2159" t="s">
        <v>2700</v>
      </c>
      <c r="F2159">
        <v>4250</v>
      </c>
      <c r="G2159" t="s">
        <v>619</v>
      </c>
      <c r="H2159">
        <v>4250</v>
      </c>
      <c r="I2159" t="s">
        <v>2607</v>
      </c>
    </row>
    <row r="2160" spans="1:9" x14ac:dyDescent="0.25">
      <c r="A2160" s="91">
        <v>46163</v>
      </c>
      <c r="B2160" t="s">
        <v>2736</v>
      </c>
      <c r="C2160" t="s">
        <v>4550</v>
      </c>
      <c r="D2160" t="s">
        <v>2140</v>
      </c>
      <c r="E2160" t="s">
        <v>2141</v>
      </c>
      <c r="F2160">
        <v>5000</v>
      </c>
      <c r="G2160" t="s">
        <v>622</v>
      </c>
      <c r="H2160">
        <v>5000</v>
      </c>
      <c r="I2160" t="s">
        <v>2607</v>
      </c>
    </row>
    <row r="2161" spans="1:9" x14ac:dyDescent="0.25">
      <c r="A2161" s="91">
        <v>46163</v>
      </c>
      <c r="B2161" t="s">
        <v>693</v>
      </c>
      <c r="C2161" t="s">
        <v>4551</v>
      </c>
      <c r="D2161">
        <v>910326</v>
      </c>
      <c r="E2161" t="s">
        <v>1583</v>
      </c>
      <c r="F2161">
        <v>9120</v>
      </c>
      <c r="G2161" t="s">
        <v>619</v>
      </c>
      <c r="H2161">
        <v>9120</v>
      </c>
      <c r="I2161" t="s">
        <v>2607</v>
      </c>
    </row>
    <row r="2162" spans="1:9" x14ac:dyDescent="0.25">
      <c r="A2162" s="91">
        <v>46163</v>
      </c>
      <c r="B2162" t="s">
        <v>2608</v>
      </c>
      <c r="C2162" t="s">
        <v>4552</v>
      </c>
      <c r="D2162">
        <v>7010</v>
      </c>
      <c r="E2162" t="s">
        <v>621</v>
      </c>
      <c r="F2162">
        <v>105000</v>
      </c>
      <c r="G2162" t="s">
        <v>622</v>
      </c>
      <c r="H2162">
        <v>105000</v>
      </c>
      <c r="I2162" t="s">
        <v>2609</v>
      </c>
    </row>
    <row r="2163" spans="1:9" x14ac:dyDescent="0.25">
      <c r="A2163" s="91">
        <v>46163</v>
      </c>
      <c r="B2163" t="s">
        <v>712</v>
      </c>
      <c r="C2163" t="s">
        <v>4553</v>
      </c>
      <c r="D2163">
        <v>8032</v>
      </c>
      <c r="E2163" t="s">
        <v>3598</v>
      </c>
      <c r="F2163">
        <v>50000</v>
      </c>
      <c r="G2163" t="s">
        <v>622</v>
      </c>
      <c r="H2163">
        <v>50000</v>
      </c>
      <c r="I2163" t="s">
        <v>2607</v>
      </c>
    </row>
    <row r="2164" spans="1:9" x14ac:dyDescent="0.25">
      <c r="A2164" s="91">
        <v>46163</v>
      </c>
      <c r="B2164" t="s">
        <v>688</v>
      </c>
      <c r="C2164" t="s">
        <v>4554</v>
      </c>
      <c r="D2164">
        <v>7741</v>
      </c>
      <c r="E2164" t="s">
        <v>690</v>
      </c>
      <c r="F2164">
        <v>68000</v>
      </c>
      <c r="G2164" t="s">
        <v>622</v>
      </c>
      <c r="H2164">
        <v>68000</v>
      </c>
      <c r="I2164" t="s">
        <v>2633</v>
      </c>
    </row>
    <row r="2165" spans="1:9" x14ac:dyDescent="0.25">
      <c r="A2165" s="91">
        <v>46163</v>
      </c>
      <c r="B2165">
        <v>7002</v>
      </c>
      <c r="C2165" t="s">
        <v>4555</v>
      </c>
      <c r="D2165">
        <v>931101</v>
      </c>
      <c r="E2165" t="s">
        <v>2648</v>
      </c>
      <c r="F2165">
        <v>500</v>
      </c>
      <c r="G2165" t="s">
        <v>619</v>
      </c>
      <c r="H2165">
        <v>500</v>
      </c>
      <c r="I2165" t="s">
        <v>2607</v>
      </c>
    </row>
    <row r="2166" spans="1:9" x14ac:dyDescent="0.25">
      <c r="A2166" s="91">
        <v>46163</v>
      </c>
      <c r="B2166" t="s">
        <v>693</v>
      </c>
      <c r="C2166" t="s">
        <v>4556</v>
      </c>
      <c r="D2166">
        <v>910526</v>
      </c>
      <c r="E2166" t="s">
        <v>1602</v>
      </c>
      <c r="F2166">
        <v>9120</v>
      </c>
      <c r="G2166" t="s">
        <v>619</v>
      </c>
      <c r="H2166">
        <v>9120</v>
      </c>
      <c r="I2166" t="s">
        <v>2607</v>
      </c>
    </row>
    <row r="2167" spans="1:9" x14ac:dyDescent="0.25">
      <c r="A2167" s="91">
        <v>46164</v>
      </c>
      <c r="B2167">
        <v>7002</v>
      </c>
      <c r="C2167" t="s">
        <v>4557</v>
      </c>
      <c r="D2167">
        <v>931101</v>
      </c>
      <c r="E2167" t="s">
        <v>2648</v>
      </c>
      <c r="F2167">
        <v>500</v>
      </c>
      <c r="G2167" t="s">
        <v>619</v>
      </c>
      <c r="H2167">
        <v>500</v>
      </c>
      <c r="I2167" t="s">
        <v>2607</v>
      </c>
    </row>
    <row r="2168" spans="1:9" x14ac:dyDescent="0.25">
      <c r="A2168" s="91">
        <v>46164</v>
      </c>
      <c r="B2168" t="s">
        <v>2736</v>
      </c>
      <c r="C2168" t="s">
        <v>4558</v>
      </c>
      <c r="D2168" t="s">
        <v>2140</v>
      </c>
      <c r="E2168" t="s">
        <v>2141</v>
      </c>
      <c r="F2168">
        <v>5700</v>
      </c>
      <c r="G2168" t="s">
        <v>622</v>
      </c>
      <c r="H2168">
        <v>5700</v>
      </c>
      <c r="I2168" t="s">
        <v>2607</v>
      </c>
    </row>
    <row r="2169" spans="1:9" x14ac:dyDescent="0.25">
      <c r="A2169" s="91">
        <v>46164</v>
      </c>
      <c r="B2169" t="s">
        <v>2606</v>
      </c>
      <c r="C2169" t="s">
        <v>4559</v>
      </c>
      <c r="D2169">
        <v>220125</v>
      </c>
      <c r="E2169" t="s">
        <v>2700</v>
      </c>
      <c r="F2169">
        <v>4250</v>
      </c>
      <c r="G2169" t="s">
        <v>619</v>
      </c>
      <c r="H2169">
        <v>4250</v>
      </c>
      <c r="I2169" t="s">
        <v>2607</v>
      </c>
    </row>
    <row r="2170" spans="1:9" x14ac:dyDescent="0.25">
      <c r="A2170" s="91">
        <v>46164</v>
      </c>
      <c r="B2170" t="s">
        <v>2608</v>
      </c>
      <c r="C2170" t="s">
        <v>4560</v>
      </c>
      <c r="D2170">
        <v>7121</v>
      </c>
      <c r="E2170" t="s">
        <v>635</v>
      </c>
      <c r="F2170">
        <v>95000</v>
      </c>
      <c r="G2170" t="s">
        <v>622</v>
      </c>
      <c r="H2170">
        <v>95000</v>
      </c>
      <c r="I2170" t="s">
        <v>2609</v>
      </c>
    </row>
    <row r="2171" spans="1:9" x14ac:dyDescent="0.25">
      <c r="A2171" s="91">
        <v>46164</v>
      </c>
      <c r="B2171" t="s">
        <v>2610</v>
      </c>
      <c r="C2171" t="s">
        <v>4561</v>
      </c>
      <c r="D2171">
        <v>520860</v>
      </c>
      <c r="E2171" t="s">
        <v>1388</v>
      </c>
      <c r="F2171">
        <v>12500</v>
      </c>
      <c r="G2171" t="s">
        <v>619</v>
      </c>
      <c r="H2171">
        <v>12500</v>
      </c>
      <c r="I2171" t="s">
        <v>2607</v>
      </c>
    </row>
    <row r="2172" spans="1:9" x14ac:dyDescent="0.25">
      <c r="A2172" s="91">
        <v>46167</v>
      </c>
      <c r="B2172" t="s">
        <v>2614</v>
      </c>
      <c r="C2172" t="s">
        <v>4562</v>
      </c>
      <c r="D2172">
        <v>900400</v>
      </c>
      <c r="E2172" t="s">
        <v>2901</v>
      </c>
      <c r="F2172">
        <v>135</v>
      </c>
      <c r="G2172" t="s">
        <v>619</v>
      </c>
      <c r="H2172">
        <v>135</v>
      </c>
      <c r="I2172" t="s">
        <v>2607</v>
      </c>
    </row>
    <row r="2173" spans="1:9" x14ac:dyDescent="0.25">
      <c r="A2173" s="91">
        <v>46167</v>
      </c>
      <c r="B2173" t="s">
        <v>2606</v>
      </c>
      <c r="C2173" t="s">
        <v>4563</v>
      </c>
      <c r="D2173" t="s">
        <v>112</v>
      </c>
      <c r="E2173" t="s">
        <v>2620</v>
      </c>
      <c r="F2173">
        <v>7300</v>
      </c>
      <c r="G2173" t="s">
        <v>619</v>
      </c>
      <c r="H2173">
        <v>7300</v>
      </c>
      <c r="I2173" t="s">
        <v>2607</v>
      </c>
    </row>
    <row r="2174" spans="1:9" x14ac:dyDescent="0.25">
      <c r="A2174" s="91">
        <v>46167</v>
      </c>
      <c r="B2174">
        <v>7002</v>
      </c>
      <c r="C2174" t="s">
        <v>4564</v>
      </c>
      <c r="D2174">
        <v>931101</v>
      </c>
      <c r="E2174" t="s">
        <v>2648</v>
      </c>
      <c r="F2174">
        <v>500</v>
      </c>
      <c r="G2174" t="s">
        <v>619</v>
      </c>
      <c r="H2174">
        <v>500</v>
      </c>
      <c r="I2174" t="s">
        <v>2607</v>
      </c>
    </row>
    <row r="2175" spans="1:9" x14ac:dyDescent="0.25">
      <c r="A2175" s="91">
        <v>46167</v>
      </c>
      <c r="B2175" t="s">
        <v>2736</v>
      </c>
      <c r="C2175" t="s">
        <v>4565</v>
      </c>
      <c r="D2175" t="s">
        <v>4566</v>
      </c>
      <c r="E2175" t="s">
        <v>4567</v>
      </c>
      <c r="F2175">
        <v>1000</v>
      </c>
      <c r="G2175" t="s">
        <v>622</v>
      </c>
      <c r="H2175">
        <v>1000</v>
      </c>
      <c r="I2175" t="s">
        <v>2607</v>
      </c>
    </row>
    <row r="2176" spans="1:9" x14ac:dyDescent="0.25">
      <c r="A2176" s="91">
        <v>46168</v>
      </c>
      <c r="B2176">
        <v>7002</v>
      </c>
      <c r="C2176" t="s">
        <v>4568</v>
      </c>
      <c r="D2176">
        <v>931101</v>
      </c>
      <c r="E2176" t="s">
        <v>2648</v>
      </c>
      <c r="F2176">
        <v>500</v>
      </c>
      <c r="G2176" t="s">
        <v>619</v>
      </c>
      <c r="H2176">
        <v>500</v>
      </c>
      <c r="I2176" t="s">
        <v>2607</v>
      </c>
    </row>
    <row r="2177" spans="1:9" x14ac:dyDescent="0.25">
      <c r="A2177" s="91">
        <v>46168</v>
      </c>
      <c r="B2177" t="s">
        <v>688</v>
      </c>
      <c r="C2177" t="s">
        <v>4569</v>
      </c>
      <c r="D2177">
        <v>7746</v>
      </c>
      <c r="E2177" t="s">
        <v>692</v>
      </c>
      <c r="F2177">
        <v>68000</v>
      </c>
      <c r="G2177" t="s">
        <v>622</v>
      </c>
      <c r="H2177">
        <v>68000</v>
      </c>
      <c r="I2177" t="s">
        <v>2633</v>
      </c>
    </row>
    <row r="2178" spans="1:9" x14ac:dyDescent="0.25">
      <c r="A2178" s="91">
        <v>46168</v>
      </c>
      <c r="B2178" t="s">
        <v>712</v>
      </c>
      <c r="C2178" t="s">
        <v>4570</v>
      </c>
      <c r="D2178">
        <v>8032</v>
      </c>
      <c r="E2178" t="s">
        <v>3598</v>
      </c>
      <c r="F2178">
        <v>50000</v>
      </c>
      <c r="G2178" t="s">
        <v>622</v>
      </c>
      <c r="H2178">
        <v>50000</v>
      </c>
      <c r="I2178" t="s">
        <v>2607</v>
      </c>
    </row>
    <row r="2179" spans="1:9" x14ac:dyDescent="0.25">
      <c r="A2179" s="91">
        <v>46168</v>
      </c>
      <c r="B2179" t="s">
        <v>2736</v>
      </c>
      <c r="C2179" t="s">
        <v>4571</v>
      </c>
      <c r="D2179" t="s">
        <v>2140</v>
      </c>
      <c r="E2179" t="s">
        <v>2141</v>
      </c>
      <c r="F2179">
        <v>5700</v>
      </c>
      <c r="G2179" t="s">
        <v>622</v>
      </c>
      <c r="H2179">
        <v>5700</v>
      </c>
      <c r="I2179" t="s">
        <v>2607</v>
      </c>
    </row>
    <row r="2180" spans="1:9" x14ac:dyDescent="0.25">
      <c r="A2180" s="91">
        <v>46168</v>
      </c>
      <c r="B2180" t="s">
        <v>685</v>
      </c>
      <c r="C2180" t="s">
        <v>4572</v>
      </c>
      <c r="D2180">
        <v>7374</v>
      </c>
      <c r="E2180" t="s">
        <v>785</v>
      </c>
      <c r="F2180">
        <v>25000</v>
      </c>
      <c r="G2180" t="s">
        <v>622</v>
      </c>
      <c r="H2180">
        <v>25000</v>
      </c>
      <c r="I2180" t="s">
        <v>2633</v>
      </c>
    </row>
    <row r="2181" spans="1:9" x14ac:dyDescent="0.25">
      <c r="A2181" s="91">
        <v>46168</v>
      </c>
      <c r="B2181" t="s">
        <v>2606</v>
      </c>
      <c r="C2181" t="s">
        <v>4573</v>
      </c>
      <c r="D2181" t="s">
        <v>4574</v>
      </c>
      <c r="E2181" t="s">
        <v>4575</v>
      </c>
      <c r="F2181">
        <v>12500</v>
      </c>
      <c r="G2181" t="s">
        <v>619</v>
      </c>
      <c r="H2181">
        <v>12500</v>
      </c>
      <c r="I2181" t="s">
        <v>2607</v>
      </c>
    </row>
    <row r="2182" spans="1:9" x14ac:dyDescent="0.25">
      <c r="A2182" s="91">
        <v>46168</v>
      </c>
      <c r="B2182" t="s">
        <v>2610</v>
      </c>
      <c r="C2182" t="s">
        <v>4576</v>
      </c>
      <c r="D2182">
        <v>520860</v>
      </c>
      <c r="E2182" t="s">
        <v>1388</v>
      </c>
      <c r="F2182">
        <v>12500</v>
      </c>
      <c r="G2182" t="s">
        <v>619</v>
      </c>
      <c r="H2182">
        <v>12500</v>
      </c>
      <c r="I2182" t="s">
        <v>2607</v>
      </c>
    </row>
    <row r="2183" spans="1:9" x14ac:dyDescent="0.25">
      <c r="A2183" s="91">
        <v>46168</v>
      </c>
      <c r="B2183" t="s">
        <v>2610</v>
      </c>
      <c r="C2183" t="s">
        <v>4577</v>
      </c>
      <c r="D2183" t="s">
        <v>113</v>
      </c>
      <c r="E2183" t="s">
        <v>1094</v>
      </c>
      <c r="F2183">
        <v>8334</v>
      </c>
      <c r="G2183" t="s">
        <v>619</v>
      </c>
      <c r="H2183">
        <v>8334</v>
      </c>
      <c r="I2183" t="s">
        <v>2607</v>
      </c>
    </row>
    <row r="2184" spans="1:9" x14ac:dyDescent="0.25">
      <c r="A2184" s="91">
        <v>46168</v>
      </c>
      <c r="B2184" t="s">
        <v>2614</v>
      </c>
      <c r="C2184" t="s">
        <v>4578</v>
      </c>
      <c r="D2184">
        <v>900400</v>
      </c>
      <c r="E2184" t="s">
        <v>2901</v>
      </c>
      <c r="F2184">
        <v>135</v>
      </c>
      <c r="G2184" t="s">
        <v>619</v>
      </c>
      <c r="H2184">
        <v>135</v>
      </c>
      <c r="I2184" t="s">
        <v>2607</v>
      </c>
    </row>
    <row r="2185" spans="1:9" x14ac:dyDescent="0.25">
      <c r="A2185" s="91">
        <v>46169</v>
      </c>
      <c r="B2185" t="s">
        <v>2606</v>
      </c>
      <c r="C2185" t="s">
        <v>4579</v>
      </c>
      <c r="D2185" t="s">
        <v>4574</v>
      </c>
      <c r="E2185" t="s">
        <v>4575</v>
      </c>
      <c r="F2185">
        <v>12500</v>
      </c>
      <c r="G2185" t="s">
        <v>619</v>
      </c>
      <c r="H2185">
        <v>12500</v>
      </c>
      <c r="I2185" t="s">
        <v>2607</v>
      </c>
    </row>
    <row r="2186" spans="1:9" x14ac:dyDescent="0.25">
      <c r="A2186" s="91">
        <v>46169</v>
      </c>
      <c r="B2186" t="s">
        <v>2610</v>
      </c>
      <c r="C2186" t="s">
        <v>4580</v>
      </c>
      <c r="D2186" t="s">
        <v>114</v>
      </c>
      <c r="E2186" t="s">
        <v>2211</v>
      </c>
      <c r="F2186">
        <v>8334</v>
      </c>
      <c r="G2186" t="s">
        <v>619</v>
      </c>
      <c r="H2186">
        <v>8334</v>
      </c>
      <c r="I2186" t="s">
        <v>2607</v>
      </c>
    </row>
    <row r="2187" spans="1:9" x14ac:dyDescent="0.25">
      <c r="A2187" s="91">
        <v>46169</v>
      </c>
      <c r="B2187" t="s">
        <v>2736</v>
      </c>
      <c r="C2187" t="s">
        <v>4581</v>
      </c>
      <c r="D2187" t="s">
        <v>2140</v>
      </c>
      <c r="E2187" t="s">
        <v>2141</v>
      </c>
      <c r="F2187">
        <v>5700</v>
      </c>
      <c r="G2187" t="s">
        <v>622</v>
      </c>
      <c r="H2187">
        <v>5700</v>
      </c>
      <c r="I2187" t="s">
        <v>2607</v>
      </c>
    </row>
    <row r="2188" spans="1:9" x14ac:dyDescent="0.25">
      <c r="A2188" s="91">
        <v>46169</v>
      </c>
      <c r="B2188" t="s">
        <v>2614</v>
      </c>
      <c r="C2188" t="s">
        <v>4582</v>
      </c>
      <c r="D2188">
        <v>900102</v>
      </c>
      <c r="E2188" t="s">
        <v>2743</v>
      </c>
      <c r="F2188">
        <v>480</v>
      </c>
      <c r="G2188" t="s">
        <v>619</v>
      </c>
      <c r="H2188">
        <v>480</v>
      </c>
      <c r="I2188" t="s">
        <v>2607</v>
      </c>
    </row>
    <row r="2189" spans="1:9" x14ac:dyDescent="0.25">
      <c r="A2189" s="91">
        <v>46169</v>
      </c>
      <c r="B2189" t="s">
        <v>2610</v>
      </c>
      <c r="C2189" t="s">
        <v>4583</v>
      </c>
      <c r="D2189">
        <v>520860</v>
      </c>
      <c r="E2189" t="s">
        <v>1388</v>
      </c>
      <c r="F2189">
        <v>12500</v>
      </c>
      <c r="G2189" t="s">
        <v>619</v>
      </c>
      <c r="H2189">
        <v>12500</v>
      </c>
      <c r="I2189" t="s">
        <v>2607</v>
      </c>
    </row>
    <row r="2190" spans="1:9" x14ac:dyDescent="0.25">
      <c r="A2190" s="91">
        <v>46169</v>
      </c>
      <c r="B2190" t="s">
        <v>715</v>
      </c>
      <c r="C2190" t="s">
        <v>4584</v>
      </c>
      <c r="D2190">
        <v>7193</v>
      </c>
      <c r="E2190" t="s">
        <v>811</v>
      </c>
      <c r="F2190">
        <v>55000</v>
      </c>
      <c r="G2190" t="s">
        <v>622</v>
      </c>
      <c r="H2190">
        <v>55000</v>
      </c>
      <c r="I2190" t="s">
        <v>2633</v>
      </c>
    </row>
    <row r="2191" spans="1:9" x14ac:dyDescent="0.25">
      <c r="A2191" s="91">
        <v>46169</v>
      </c>
      <c r="B2191" t="s">
        <v>712</v>
      </c>
      <c r="C2191" t="s">
        <v>4585</v>
      </c>
      <c r="D2191">
        <v>8032</v>
      </c>
      <c r="E2191" t="s">
        <v>3598</v>
      </c>
      <c r="F2191">
        <v>50000</v>
      </c>
      <c r="G2191" t="s">
        <v>622</v>
      </c>
      <c r="H2191">
        <v>50000</v>
      </c>
      <c r="I2191" t="s">
        <v>2607</v>
      </c>
    </row>
    <row r="2192" spans="1:9" x14ac:dyDescent="0.25">
      <c r="A2192" s="91">
        <v>46169</v>
      </c>
      <c r="B2192" t="s">
        <v>693</v>
      </c>
      <c r="C2192" t="s">
        <v>4586</v>
      </c>
      <c r="D2192">
        <v>910326</v>
      </c>
      <c r="E2192" t="s">
        <v>1583</v>
      </c>
      <c r="F2192">
        <v>9120</v>
      </c>
      <c r="G2192" t="s">
        <v>619</v>
      </c>
      <c r="H2192">
        <v>9120</v>
      </c>
      <c r="I2192" t="s">
        <v>2607</v>
      </c>
    </row>
    <row r="2193" spans="1:9" x14ac:dyDescent="0.25">
      <c r="A2193" s="91">
        <v>46169</v>
      </c>
      <c r="B2193" t="s">
        <v>693</v>
      </c>
      <c r="C2193" t="s">
        <v>4587</v>
      </c>
      <c r="D2193">
        <v>910526</v>
      </c>
      <c r="E2193" t="s">
        <v>1602</v>
      </c>
      <c r="F2193">
        <v>9120</v>
      </c>
      <c r="G2193" t="s">
        <v>619</v>
      </c>
      <c r="H2193">
        <v>9120</v>
      </c>
      <c r="I2193" t="s">
        <v>2607</v>
      </c>
    </row>
    <row r="2194" spans="1:9" x14ac:dyDescent="0.25">
      <c r="A2194" s="91">
        <v>46169</v>
      </c>
      <c r="B2194" t="s">
        <v>682</v>
      </c>
      <c r="C2194" t="s">
        <v>4588</v>
      </c>
      <c r="D2194">
        <v>7279</v>
      </c>
      <c r="E2194" t="s">
        <v>754</v>
      </c>
      <c r="F2194">
        <v>29000</v>
      </c>
      <c r="G2194" t="s">
        <v>622</v>
      </c>
      <c r="H2194">
        <v>29000</v>
      </c>
      <c r="I2194" t="s">
        <v>2633</v>
      </c>
    </row>
    <row r="2195" spans="1:9" x14ac:dyDescent="0.25">
      <c r="A2195" s="91">
        <v>46169</v>
      </c>
      <c r="B2195" t="s">
        <v>688</v>
      </c>
      <c r="C2195" t="s">
        <v>4589</v>
      </c>
      <c r="D2195">
        <v>7746</v>
      </c>
      <c r="E2195" t="s">
        <v>692</v>
      </c>
      <c r="F2195">
        <v>68000</v>
      </c>
      <c r="G2195" t="s">
        <v>622</v>
      </c>
      <c r="H2195">
        <v>68000</v>
      </c>
      <c r="I2195" t="s">
        <v>2633</v>
      </c>
    </row>
    <row r="2196" spans="1:9" x14ac:dyDescent="0.25">
      <c r="A2196" s="91">
        <v>46169</v>
      </c>
      <c r="B2196">
        <v>7002</v>
      </c>
      <c r="C2196" t="s">
        <v>4590</v>
      </c>
      <c r="D2196">
        <v>931101</v>
      </c>
      <c r="E2196" t="s">
        <v>2648</v>
      </c>
      <c r="F2196">
        <v>500</v>
      </c>
      <c r="G2196" t="s">
        <v>619</v>
      </c>
      <c r="H2196">
        <v>500</v>
      </c>
      <c r="I2196" t="s">
        <v>2607</v>
      </c>
    </row>
    <row r="2197" spans="1:9" x14ac:dyDescent="0.25">
      <c r="A2197" s="91">
        <v>46170</v>
      </c>
      <c r="B2197" t="s">
        <v>2614</v>
      </c>
      <c r="C2197" t="s">
        <v>4591</v>
      </c>
      <c r="D2197">
        <v>900106</v>
      </c>
      <c r="E2197" t="s">
        <v>2616</v>
      </c>
      <c r="F2197">
        <v>480</v>
      </c>
      <c r="G2197" t="s">
        <v>619</v>
      </c>
      <c r="H2197">
        <v>480</v>
      </c>
      <c r="I2197" t="s">
        <v>2607</v>
      </c>
    </row>
    <row r="2198" spans="1:9" x14ac:dyDescent="0.25">
      <c r="A2198" s="91">
        <v>46170</v>
      </c>
      <c r="B2198" t="s">
        <v>2610</v>
      </c>
      <c r="C2198" t="s">
        <v>4592</v>
      </c>
      <c r="D2198" t="s">
        <v>115</v>
      </c>
      <c r="E2198" t="s">
        <v>2212</v>
      </c>
      <c r="F2198">
        <v>8334</v>
      </c>
      <c r="G2198" t="s">
        <v>619</v>
      </c>
      <c r="H2198">
        <v>8334</v>
      </c>
      <c r="I2198" t="s">
        <v>2607</v>
      </c>
    </row>
    <row r="2199" spans="1:9" x14ac:dyDescent="0.25">
      <c r="A2199" s="91">
        <v>46170</v>
      </c>
      <c r="B2199" t="s">
        <v>2610</v>
      </c>
      <c r="C2199" t="s">
        <v>4593</v>
      </c>
      <c r="D2199">
        <v>523080</v>
      </c>
      <c r="E2199" t="s">
        <v>4193</v>
      </c>
      <c r="F2199">
        <v>16667</v>
      </c>
      <c r="G2199" t="s">
        <v>619</v>
      </c>
      <c r="H2199">
        <v>16667</v>
      </c>
      <c r="I2199" t="s">
        <v>2607</v>
      </c>
    </row>
    <row r="2200" spans="1:9" x14ac:dyDescent="0.25">
      <c r="A2200" s="91">
        <v>46170</v>
      </c>
      <c r="B2200" t="s">
        <v>2606</v>
      </c>
      <c r="C2200" t="s">
        <v>4594</v>
      </c>
      <c r="D2200" t="s">
        <v>4595</v>
      </c>
      <c r="E2200" t="s">
        <v>4596</v>
      </c>
      <c r="F2200">
        <v>12500</v>
      </c>
      <c r="G2200" t="s">
        <v>619</v>
      </c>
      <c r="H2200">
        <v>12500</v>
      </c>
      <c r="I2200" t="s">
        <v>2607</v>
      </c>
    </row>
    <row r="2201" spans="1:9" x14ac:dyDescent="0.25">
      <c r="A2201" s="91">
        <v>46170</v>
      </c>
      <c r="B2201" t="s">
        <v>685</v>
      </c>
      <c r="C2201" t="s">
        <v>4597</v>
      </c>
      <c r="D2201">
        <v>7374</v>
      </c>
      <c r="E2201" t="s">
        <v>785</v>
      </c>
      <c r="F2201">
        <v>25000</v>
      </c>
      <c r="G2201" t="s">
        <v>622</v>
      </c>
      <c r="H2201">
        <v>25000</v>
      </c>
      <c r="I2201" t="s">
        <v>2633</v>
      </c>
    </row>
    <row r="2202" spans="1:9" x14ac:dyDescent="0.25">
      <c r="A2202" s="91">
        <v>46170</v>
      </c>
      <c r="B2202" t="s">
        <v>712</v>
      </c>
      <c r="C2202" t="s">
        <v>4598</v>
      </c>
      <c r="D2202">
        <v>8032</v>
      </c>
      <c r="E2202" t="s">
        <v>3598</v>
      </c>
      <c r="F2202">
        <v>50000</v>
      </c>
      <c r="G2202" t="s">
        <v>622</v>
      </c>
      <c r="H2202">
        <v>50000</v>
      </c>
      <c r="I2202" t="s">
        <v>2607</v>
      </c>
    </row>
    <row r="2203" spans="1:9" x14ac:dyDescent="0.25">
      <c r="A2203" s="91">
        <v>46170</v>
      </c>
      <c r="B2203" t="s">
        <v>682</v>
      </c>
      <c r="C2203" t="s">
        <v>4599</v>
      </c>
      <c r="D2203">
        <v>7304</v>
      </c>
      <c r="E2203" t="s">
        <v>770</v>
      </c>
      <c r="F2203">
        <v>27000</v>
      </c>
      <c r="G2203" t="s">
        <v>622</v>
      </c>
      <c r="H2203">
        <v>27000</v>
      </c>
      <c r="I2203" t="s">
        <v>2633</v>
      </c>
    </row>
    <row r="2204" spans="1:9" x14ac:dyDescent="0.25">
      <c r="A2204" s="91">
        <v>46170</v>
      </c>
      <c r="B2204" t="s">
        <v>688</v>
      </c>
      <c r="C2204" t="s">
        <v>4600</v>
      </c>
      <c r="D2204">
        <v>7746</v>
      </c>
      <c r="E2204" t="s">
        <v>692</v>
      </c>
      <c r="F2204">
        <v>68000</v>
      </c>
      <c r="G2204" t="s">
        <v>622</v>
      </c>
      <c r="H2204">
        <v>68000</v>
      </c>
      <c r="I2204" t="s">
        <v>2633</v>
      </c>
    </row>
    <row r="2205" spans="1:9" x14ac:dyDescent="0.25">
      <c r="A2205" s="91">
        <v>46170</v>
      </c>
      <c r="B2205">
        <v>7002</v>
      </c>
      <c r="C2205" t="s">
        <v>4601</v>
      </c>
      <c r="D2205">
        <v>931101</v>
      </c>
      <c r="E2205" t="s">
        <v>2648</v>
      </c>
      <c r="F2205">
        <v>500</v>
      </c>
      <c r="G2205" t="s">
        <v>619</v>
      </c>
      <c r="H2205">
        <v>500</v>
      </c>
      <c r="I2205" t="s">
        <v>2607</v>
      </c>
    </row>
    <row r="2206" spans="1:9" x14ac:dyDescent="0.25">
      <c r="A2206" s="91">
        <v>46170</v>
      </c>
      <c r="B2206" t="s">
        <v>2736</v>
      </c>
      <c r="C2206" t="s">
        <v>4602</v>
      </c>
      <c r="D2206" t="s">
        <v>1118</v>
      </c>
      <c r="E2206" t="s">
        <v>1119</v>
      </c>
      <c r="F2206">
        <v>5400</v>
      </c>
      <c r="G2206" t="s">
        <v>622</v>
      </c>
      <c r="H2206">
        <v>5400</v>
      </c>
      <c r="I2206" t="s">
        <v>2607</v>
      </c>
    </row>
    <row r="2207" spans="1:9" x14ac:dyDescent="0.25">
      <c r="A2207" s="91">
        <v>46171</v>
      </c>
      <c r="B2207" t="s">
        <v>2608</v>
      </c>
      <c r="C2207" t="s">
        <v>4603</v>
      </c>
      <c r="D2207">
        <v>85130</v>
      </c>
      <c r="E2207" t="s">
        <v>3627</v>
      </c>
      <c r="F2207">
        <v>14585</v>
      </c>
      <c r="G2207" t="s">
        <v>619</v>
      </c>
      <c r="H2207">
        <v>14585</v>
      </c>
      <c r="I2207" t="s">
        <v>2607</v>
      </c>
    </row>
    <row r="2208" spans="1:9" x14ac:dyDescent="0.25">
      <c r="A2208" s="91">
        <v>46171</v>
      </c>
      <c r="B2208" t="s">
        <v>2614</v>
      </c>
      <c r="C2208" t="s">
        <v>4604</v>
      </c>
      <c r="D2208">
        <v>900405</v>
      </c>
      <c r="E2208" t="s">
        <v>3029</v>
      </c>
      <c r="F2208">
        <v>600</v>
      </c>
      <c r="G2208" t="s">
        <v>619</v>
      </c>
      <c r="H2208">
        <v>600</v>
      </c>
      <c r="I2208" t="s">
        <v>2607</v>
      </c>
    </row>
    <row r="2209" spans="1:9" x14ac:dyDescent="0.25">
      <c r="A2209" s="91">
        <v>46171</v>
      </c>
      <c r="B2209" t="s">
        <v>2606</v>
      </c>
      <c r="C2209" t="s">
        <v>4605</v>
      </c>
      <c r="D2209" t="s">
        <v>4595</v>
      </c>
      <c r="E2209" t="s">
        <v>4596</v>
      </c>
      <c r="F2209">
        <v>12500</v>
      </c>
      <c r="G2209" t="s">
        <v>619</v>
      </c>
      <c r="H2209">
        <v>12500</v>
      </c>
      <c r="I2209" t="s">
        <v>2607</v>
      </c>
    </row>
    <row r="2210" spans="1:9" x14ac:dyDescent="0.25">
      <c r="A2210" s="91">
        <v>46171</v>
      </c>
      <c r="B2210" t="s">
        <v>2608</v>
      </c>
      <c r="C2210" t="s">
        <v>4606</v>
      </c>
      <c r="D2210">
        <v>79501</v>
      </c>
      <c r="E2210" t="s">
        <v>629</v>
      </c>
      <c r="F2210">
        <v>105000</v>
      </c>
      <c r="G2210" t="s">
        <v>622</v>
      </c>
      <c r="H2210">
        <v>105000</v>
      </c>
      <c r="I2210" t="s">
        <v>2609</v>
      </c>
    </row>
    <row r="2211" spans="1:9" x14ac:dyDescent="0.25">
      <c r="A2211" s="91">
        <v>46171</v>
      </c>
      <c r="B2211" t="s">
        <v>2621</v>
      </c>
      <c r="C2211" t="s">
        <v>4607</v>
      </c>
      <c r="D2211">
        <v>528400</v>
      </c>
      <c r="E2211" t="s">
        <v>3045</v>
      </c>
      <c r="F2211">
        <v>11520</v>
      </c>
      <c r="G2211" t="s">
        <v>619</v>
      </c>
      <c r="H2211">
        <v>11520</v>
      </c>
      <c r="I2211" t="s">
        <v>2607</v>
      </c>
    </row>
    <row r="2212" spans="1:9" x14ac:dyDescent="0.25">
      <c r="A2212" s="91">
        <v>46171</v>
      </c>
      <c r="B2212" t="s">
        <v>688</v>
      </c>
      <c r="C2212" t="s">
        <v>4608</v>
      </c>
      <c r="D2212">
        <v>7746</v>
      </c>
      <c r="E2212" t="s">
        <v>692</v>
      </c>
      <c r="F2212">
        <v>68000</v>
      </c>
      <c r="G2212" t="s">
        <v>622</v>
      </c>
      <c r="H2212">
        <v>68000</v>
      </c>
      <c r="I2212" t="s">
        <v>2633</v>
      </c>
    </row>
    <row r="2213" spans="1:9" x14ac:dyDescent="0.25">
      <c r="A2213" s="91">
        <v>46171</v>
      </c>
      <c r="B2213">
        <v>7002</v>
      </c>
      <c r="C2213" t="s">
        <v>4609</v>
      </c>
      <c r="D2213">
        <v>931101</v>
      </c>
      <c r="E2213" t="s">
        <v>2648</v>
      </c>
      <c r="F2213">
        <v>500</v>
      </c>
      <c r="G2213" t="s">
        <v>619</v>
      </c>
      <c r="H2213">
        <v>500</v>
      </c>
      <c r="I2213" t="s">
        <v>2607</v>
      </c>
    </row>
    <row r="2214" spans="1:9" x14ac:dyDescent="0.25">
      <c r="A2214" s="91">
        <v>46171</v>
      </c>
      <c r="B2214" t="s">
        <v>2736</v>
      </c>
      <c r="C2214" t="s">
        <v>4610</v>
      </c>
      <c r="D2214" t="s">
        <v>1118</v>
      </c>
      <c r="E2214" t="s">
        <v>1119</v>
      </c>
      <c r="F2214">
        <v>2500</v>
      </c>
      <c r="G2214" t="s">
        <v>622</v>
      </c>
      <c r="H2214">
        <v>2500</v>
      </c>
      <c r="I2214" t="s">
        <v>2607</v>
      </c>
    </row>
    <row r="2215" spans="1:9" x14ac:dyDescent="0.25">
      <c r="A2215" s="91">
        <v>46172</v>
      </c>
      <c r="B2215" t="s">
        <v>2621</v>
      </c>
      <c r="C2215" t="s">
        <v>4611</v>
      </c>
      <c r="D2215">
        <v>529300</v>
      </c>
      <c r="E2215" t="s">
        <v>2623</v>
      </c>
      <c r="F2215">
        <v>38400</v>
      </c>
      <c r="G2215" t="s">
        <v>619</v>
      </c>
      <c r="H2215">
        <v>38400</v>
      </c>
      <c r="I2215" t="s">
        <v>2607</v>
      </c>
    </row>
    <row r="2216" spans="1:9" x14ac:dyDescent="0.25">
      <c r="A2216" s="91">
        <v>46172</v>
      </c>
      <c r="B2216" t="s">
        <v>2621</v>
      </c>
      <c r="C2216" t="s">
        <v>4612</v>
      </c>
      <c r="D2216">
        <v>528400</v>
      </c>
      <c r="E2216" t="s">
        <v>3045</v>
      </c>
      <c r="F2216">
        <v>11520</v>
      </c>
      <c r="G2216" t="s">
        <v>619</v>
      </c>
      <c r="H2216">
        <v>11520</v>
      </c>
      <c r="I2216" t="s">
        <v>2607</v>
      </c>
    </row>
    <row r="2217" spans="1:9" x14ac:dyDescent="0.25">
      <c r="A2217" s="91">
        <v>46172</v>
      </c>
      <c r="B2217" t="s">
        <v>2736</v>
      </c>
      <c r="C2217" t="s">
        <v>4613</v>
      </c>
      <c r="D2217" t="s">
        <v>2148</v>
      </c>
      <c r="E2217" t="s">
        <v>2149</v>
      </c>
      <c r="F2217">
        <v>5100</v>
      </c>
      <c r="G2217" t="s">
        <v>622</v>
      </c>
      <c r="H2217">
        <v>5100</v>
      </c>
      <c r="I2217" t="s">
        <v>2607</v>
      </c>
    </row>
    <row r="2218" spans="1:9" x14ac:dyDescent="0.25">
      <c r="A2218" s="91">
        <v>46172</v>
      </c>
      <c r="B2218" t="s">
        <v>2606</v>
      </c>
      <c r="C2218" t="s">
        <v>4614</v>
      </c>
      <c r="D2218" t="s">
        <v>4615</v>
      </c>
      <c r="E2218" t="s">
        <v>4616</v>
      </c>
      <c r="F2218">
        <v>12500</v>
      </c>
      <c r="G2218" t="s">
        <v>619</v>
      </c>
      <c r="H2218">
        <v>12500</v>
      </c>
      <c r="I2218" t="s">
        <v>2607</v>
      </c>
    </row>
    <row r="2219" spans="1:9" x14ac:dyDescent="0.25">
      <c r="A2219" s="91">
        <v>46172</v>
      </c>
      <c r="B2219" t="s">
        <v>2608</v>
      </c>
      <c r="C2219" t="s">
        <v>4617</v>
      </c>
      <c r="D2219">
        <v>85131</v>
      </c>
      <c r="E2219" t="s">
        <v>4618</v>
      </c>
      <c r="F2219">
        <v>14585</v>
      </c>
      <c r="G2219" t="s">
        <v>619</v>
      </c>
      <c r="H2219">
        <v>14585</v>
      </c>
      <c r="I2219" t="s">
        <v>2607</v>
      </c>
    </row>
    <row r="2220" spans="1:9" x14ac:dyDescent="0.25">
      <c r="A2220" s="91">
        <v>46173</v>
      </c>
      <c r="B2220" t="s">
        <v>2621</v>
      </c>
      <c r="C2220" t="s">
        <v>4619</v>
      </c>
      <c r="D2220">
        <v>529300</v>
      </c>
      <c r="E2220" t="s">
        <v>2623</v>
      </c>
      <c r="F2220">
        <v>34560</v>
      </c>
      <c r="G2220" t="s">
        <v>619</v>
      </c>
      <c r="H2220">
        <v>34560</v>
      </c>
      <c r="I2220" t="s">
        <v>2607</v>
      </c>
    </row>
    <row r="2221" spans="1:9" x14ac:dyDescent="0.25">
      <c r="A2221" s="91">
        <v>46174</v>
      </c>
      <c r="B2221" t="s">
        <v>2610</v>
      </c>
      <c r="C2221" t="s">
        <v>4620</v>
      </c>
      <c r="D2221">
        <v>131681</v>
      </c>
      <c r="E2221" t="s">
        <v>4621</v>
      </c>
      <c r="F2221">
        <v>2500</v>
      </c>
      <c r="G2221" t="s">
        <v>619</v>
      </c>
      <c r="H2221">
        <v>2500</v>
      </c>
      <c r="I2221" t="s">
        <v>2607</v>
      </c>
    </row>
    <row r="2222" spans="1:9" x14ac:dyDescent="0.25">
      <c r="A2222" s="91">
        <v>46174</v>
      </c>
      <c r="B2222" t="s">
        <v>2606</v>
      </c>
      <c r="C2222" t="s">
        <v>4622</v>
      </c>
      <c r="D2222" t="s">
        <v>4615</v>
      </c>
      <c r="E2222" t="s">
        <v>4616</v>
      </c>
      <c r="F2222">
        <v>12500</v>
      </c>
      <c r="G2222" t="s">
        <v>619</v>
      </c>
      <c r="H2222">
        <v>12500</v>
      </c>
      <c r="I2222" t="s">
        <v>2607</v>
      </c>
    </row>
    <row r="2223" spans="1:9" x14ac:dyDescent="0.25">
      <c r="A2223" s="91">
        <v>46174</v>
      </c>
      <c r="B2223" t="s">
        <v>2736</v>
      </c>
      <c r="C2223" t="s">
        <v>4623</v>
      </c>
      <c r="D2223" t="s">
        <v>2155</v>
      </c>
      <c r="E2223" t="s">
        <v>2156</v>
      </c>
      <c r="F2223">
        <v>5100</v>
      </c>
      <c r="G2223" t="s">
        <v>622</v>
      </c>
      <c r="H2223">
        <v>5100</v>
      </c>
      <c r="I2223" t="s">
        <v>2607</v>
      </c>
    </row>
    <row r="2224" spans="1:9" x14ac:dyDescent="0.25">
      <c r="A2224" s="91">
        <v>46174</v>
      </c>
      <c r="B2224" t="s">
        <v>715</v>
      </c>
      <c r="C2224" t="s">
        <v>4624</v>
      </c>
      <c r="D2224">
        <v>7185</v>
      </c>
      <c r="E2224" t="s">
        <v>717</v>
      </c>
      <c r="F2224">
        <v>55000</v>
      </c>
      <c r="G2224" t="s">
        <v>622</v>
      </c>
      <c r="H2224">
        <v>55000</v>
      </c>
      <c r="I2224" t="s">
        <v>2633</v>
      </c>
    </row>
    <row r="2225" spans="1:9" x14ac:dyDescent="0.25">
      <c r="A2225" s="91">
        <v>46174</v>
      </c>
      <c r="B2225" t="s">
        <v>2733</v>
      </c>
      <c r="C2225" t="s">
        <v>4625</v>
      </c>
      <c r="D2225">
        <v>7128</v>
      </c>
      <c r="E2225" t="s">
        <v>633</v>
      </c>
      <c r="F2225">
        <v>105000</v>
      </c>
      <c r="G2225" t="s">
        <v>622</v>
      </c>
      <c r="H2225">
        <v>105000</v>
      </c>
      <c r="I2225" t="s">
        <v>2609</v>
      </c>
    </row>
    <row r="2226" spans="1:9" x14ac:dyDescent="0.25">
      <c r="A2226" s="91">
        <v>46174</v>
      </c>
      <c r="B2226" t="s">
        <v>682</v>
      </c>
      <c r="C2226" t="s">
        <v>4626</v>
      </c>
      <c r="D2226">
        <v>7281</v>
      </c>
      <c r="E2226" t="s">
        <v>739</v>
      </c>
      <c r="F2226">
        <v>28000</v>
      </c>
      <c r="G2226" t="s">
        <v>622</v>
      </c>
      <c r="H2226">
        <v>28000</v>
      </c>
      <c r="I2226" t="s">
        <v>2633</v>
      </c>
    </row>
    <row r="2227" spans="1:9" x14ac:dyDescent="0.25">
      <c r="A2227" s="91">
        <v>46174</v>
      </c>
      <c r="B2227" t="s">
        <v>688</v>
      </c>
      <c r="C2227" t="s">
        <v>4627</v>
      </c>
      <c r="D2227">
        <v>7741</v>
      </c>
      <c r="E2227" t="s">
        <v>690</v>
      </c>
      <c r="F2227">
        <v>68000</v>
      </c>
      <c r="G2227" t="s">
        <v>622</v>
      </c>
      <c r="H2227">
        <v>68000</v>
      </c>
      <c r="I2227" t="s">
        <v>2633</v>
      </c>
    </row>
    <row r="2228" spans="1:9" x14ac:dyDescent="0.25">
      <c r="A2228" s="91">
        <v>46174</v>
      </c>
      <c r="B2228">
        <v>7002</v>
      </c>
      <c r="C2228" t="s">
        <v>4628</v>
      </c>
      <c r="D2228">
        <v>931101</v>
      </c>
      <c r="E2228" t="s">
        <v>2648</v>
      </c>
      <c r="F2228">
        <v>500</v>
      </c>
      <c r="G2228" t="s">
        <v>619</v>
      </c>
      <c r="H2228">
        <v>500</v>
      </c>
      <c r="I2228" t="s">
        <v>2607</v>
      </c>
    </row>
    <row r="2229" spans="1:9" x14ac:dyDescent="0.25">
      <c r="A2229" s="91">
        <v>46174</v>
      </c>
      <c r="B2229" t="s">
        <v>712</v>
      </c>
      <c r="C2229" t="s">
        <v>4629</v>
      </c>
      <c r="D2229">
        <v>8032</v>
      </c>
      <c r="E2229" t="s">
        <v>3598</v>
      </c>
      <c r="F2229">
        <v>50000</v>
      </c>
      <c r="G2229" t="s">
        <v>622</v>
      </c>
      <c r="H2229">
        <v>50000</v>
      </c>
      <c r="I2229" t="s">
        <v>2607</v>
      </c>
    </row>
    <row r="2230" spans="1:9" x14ac:dyDescent="0.25">
      <c r="A2230" s="91">
        <v>46175</v>
      </c>
      <c r="B2230" t="s">
        <v>2606</v>
      </c>
      <c r="C2230" t="s">
        <v>4630</v>
      </c>
      <c r="D2230" t="s">
        <v>4631</v>
      </c>
      <c r="E2230" t="s">
        <v>4632</v>
      </c>
      <c r="F2230">
        <v>12500</v>
      </c>
      <c r="G2230" t="s">
        <v>619</v>
      </c>
      <c r="H2230">
        <v>12500</v>
      </c>
      <c r="I2230" t="s">
        <v>2607</v>
      </c>
    </row>
    <row r="2231" spans="1:9" x14ac:dyDescent="0.25">
      <c r="A2231" s="91">
        <v>46175</v>
      </c>
      <c r="B2231" t="s">
        <v>2610</v>
      </c>
      <c r="C2231" t="s">
        <v>4633</v>
      </c>
      <c r="D2231">
        <v>131681</v>
      </c>
      <c r="E2231" t="s">
        <v>4621</v>
      </c>
      <c r="F2231">
        <v>2500</v>
      </c>
      <c r="G2231" t="s">
        <v>619</v>
      </c>
      <c r="H2231">
        <v>2500</v>
      </c>
      <c r="I2231" t="s">
        <v>2607</v>
      </c>
    </row>
    <row r="2232" spans="1:9" x14ac:dyDescent="0.25">
      <c r="A2232" s="91">
        <v>46175</v>
      </c>
      <c r="B2232" t="s">
        <v>2608</v>
      </c>
      <c r="C2232" t="s">
        <v>4634</v>
      </c>
      <c r="D2232">
        <v>79502</v>
      </c>
      <c r="E2232" t="s">
        <v>885</v>
      </c>
      <c r="F2232">
        <v>105000</v>
      </c>
      <c r="G2232" t="s">
        <v>622</v>
      </c>
      <c r="H2232">
        <v>105000</v>
      </c>
      <c r="I2232" t="s">
        <v>2609</v>
      </c>
    </row>
    <row r="2233" spans="1:9" x14ac:dyDescent="0.25">
      <c r="A2233" s="91">
        <v>46175</v>
      </c>
      <c r="B2233" t="s">
        <v>685</v>
      </c>
      <c r="C2233" t="s">
        <v>4635</v>
      </c>
      <c r="D2233">
        <v>7374</v>
      </c>
      <c r="E2233" t="s">
        <v>785</v>
      </c>
      <c r="F2233">
        <v>25000</v>
      </c>
      <c r="G2233" t="s">
        <v>622</v>
      </c>
      <c r="H2233">
        <v>25000</v>
      </c>
      <c r="I2233" t="s">
        <v>2633</v>
      </c>
    </row>
    <row r="2234" spans="1:9" x14ac:dyDescent="0.25">
      <c r="A2234" s="91">
        <v>46175</v>
      </c>
      <c r="B2234" t="s">
        <v>712</v>
      </c>
      <c r="C2234" t="s">
        <v>4636</v>
      </c>
      <c r="D2234">
        <v>8032</v>
      </c>
      <c r="E2234" t="s">
        <v>3598</v>
      </c>
      <c r="F2234">
        <v>50000</v>
      </c>
      <c r="G2234" t="s">
        <v>622</v>
      </c>
      <c r="H2234">
        <v>50000</v>
      </c>
      <c r="I2234" t="s">
        <v>2607</v>
      </c>
    </row>
    <row r="2235" spans="1:9" x14ac:dyDescent="0.25">
      <c r="A2235" s="91">
        <v>46175</v>
      </c>
      <c r="B2235" t="s">
        <v>679</v>
      </c>
      <c r="C2235" t="s">
        <v>4637</v>
      </c>
      <c r="D2235">
        <v>7213</v>
      </c>
      <c r="E2235" t="s">
        <v>719</v>
      </c>
      <c r="F2235">
        <v>85000</v>
      </c>
      <c r="G2235" t="s">
        <v>622</v>
      </c>
      <c r="H2235">
        <v>85000</v>
      </c>
      <c r="I2235" t="s">
        <v>2633</v>
      </c>
    </row>
    <row r="2236" spans="1:9" x14ac:dyDescent="0.25">
      <c r="A2236" s="91">
        <v>46175</v>
      </c>
      <c r="B2236" t="s">
        <v>682</v>
      </c>
      <c r="C2236" t="s">
        <v>4638</v>
      </c>
      <c r="D2236" t="s">
        <v>806</v>
      </c>
      <c r="E2236" t="s">
        <v>807</v>
      </c>
      <c r="F2236">
        <v>28000</v>
      </c>
      <c r="G2236" t="s">
        <v>622</v>
      </c>
      <c r="H2236">
        <v>28000</v>
      </c>
      <c r="I2236" t="s">
        <v>2633</v>
      </c>
    </row>
    <row r="2237" spans="1:9" x14ac:dyDescent="0.25">
      <c r="A2237" s="91">
        <v>46175</v>
      </c>
      <c r="B2237" t="s">
        <v>688</v>
      </c>
      <c r="C2237" t="s">
        <v>4639</v>
      </c>
      <c r="D2237">
        <v>7741</v>
      </c>
      <c r="E2237" t="s">
        <v>690</v>
      </c>
      <c r="F2237">
        <v>68000</v>
      </c>
      <c r="G2237" t="s">
        <v>622</v>
      </c>
      <c r="H2237">
        <v>68000</v>
      </c>
      <c r="I2237" t="s">
        <v>2633</v>
      </c>
    </row>
    <row r="2238" spans="1:9" x14ac:dyDescent="0.25">
      <c r="A2238" s="91">
        <v>46175</v>
      </c>
      <c r="B2238">
        <v>7002</v>
      </c>
      <c r="C2238" t="s">
        <v>4640</v>
      </c>
      <c r="D2238">
        <v>931101</v>
      </c>
      <c r="E2238" t="s">
        <v>2648</v>
      </c>
      <c r="F2238">
        <v>500</v>
      </c>
      <c r="G2238" t="s">
        <v>619</v>
      </c>
      <c r="H2238">
        <v>500</v>
      </c>
      <c r="I2238" t="s">
        <v>2607</v>
      </c>
    </row>
    <row r="2239" spans="1:9" x14ac:dyDescent="0.25">
      <c r="A2239" s="91">
        <v>46176</v>
      </c>
      <c r="B2239" t="s">
        <v>2610</v>
      </c>
      <c r="C2239" t="s">
        <v>4641</v>
      </c>
      <c r="D2239">
        <v>131681</v>
      </c>
      <c r="E2239" t="s">
        <v>4621</v>
      </c>
      <c r="F2239">
        <v>2500</v>
      </c>
      <c r="G2239" t="s">
        <v>619</v>
      </c>
      <c r="H2239">
        <v>2500</v>
      </c>
      <c r="I2239" t="s">
        <v>2607</v>
      </c>
    </row>
    <row r="2240" spans="1:9" x14ac:dyDescent="0.25">
      <c r="A2240" s="91">
        <v>46176</v>
      </c>
      <c r="B2240" t="s">
        <v>2608</v>
      </c>
      <c r="C2240" t="s">
        <v>4642</v>
      </c>
      <c r="D2240">
        <v>7154</v>
      </c>
      <c r="E2240" t="s">
        <v>631</v>
      </c>
      <c r="F2240">
        <v>95000</v>
      </c>
      <c r="G2240" t="s">
        <v>622</v>
      </c>
      <c r="H2240">
        <v>95000</v>
      </c>
      <c r="I2240" t="s">
        <v>2609</v>
      </c>
    </row>
    <row r="2241" spans="1:9" x14ac:dyDescent="0.25">
      <c r="A2241" s="91">
        <v>46176</v>
      </c>
      <c r="B2241" t="s">
        <v>685</v>
      </c>
      <c r="C2241" t="s">
        <v>4643</v>
      </c>
      <c r="D2241">
        <v>7374</v>
      </c>
      <c r="E2241" t="s">
        <v>785</v>
      </c>
      <c r="F2241">
        <v>25000</v>
      </c>
      <c r="G2241" t="s">
        <v>622</v>
      </c>
      <c r="H2241">
        <v>25000</v>
      </c>
      <c r="I2241" t="s">
        <v>2633</v>
      </c>
    </row>
    <row r="2242" spans="1:9" x14ac:dyDescent="0.25">
      <c r="A2242" s="91">
        <v>46176</v>
      </c>
      <c r="B2242" t="s">
        <v>693</v>
      </c>
      <c r="C2242" t="s">
        <v>4644</v>
      </c>
      <c r="D2242">
        <v>910326</v>
      </c>
      <c r="E2242" t="s">
        <v>1583</v>
      </c>
      <c r="F2242">
        <v>9120</v>
      </c>
      <c r="G2242" t="s">
        <v>619</v>
      </c>
      <c r="H2242">
        <v>9120</v>
      </c>
      <c r="I2242" t="s">
        <v>2607</v>
      </c>
    </row>
    <row r="2243" spans="1:9" x14ac:dyDescent="0.25">
      <c r="A2243" s="91">
        <v>46176</v>
      </c>
      <c r="B2243" t="s">
        <v>2606</v>
      </c>
      <c r="C2243" t="s">
        <v>4645</v>
      </c>
      <c r="D2243" t="s">
        <v>4631</v>
      </c>
      <c r="E2243" t="s">
        <v>4632</v>
      </c>
      <c r="F2243">
        <v>12500</v>
      </c>
      <c r="G2243" t="s">
        <v>619</v>
      </c>
      <c r="H2243">
        <v>12500</v>
      </c>
      <c r="I2243" t="s">
        <v>2607</v>
      </c>
    </row>
    <row r="2244" spans="1:9" x14ac:dyDescent="0.25">
      <c r="A2244" s="91">
        <v>46176</v>
      </c>
      <c r="B2244" t="s">
        <v>712</v>
      </c>
      <c r="C2244" t="s">
        <v>4646</v>
      </c>
      <c r="D2244">
        <v>8032</v>
      </c>
      <c r="E2244" t="s">
        <v>3598</v>
      </c>
      <c r="F2244">
        <v>49760</v>
      </c>
      <c r="G2244" t="s">
        <v>622</v>
      </c>
      <c r="H2244">
        <v>49760</v>
      </c>
      <c r="I2244" t="s">
        <v>2607</v>
      </c>
    </row>
    <row r="2245" spans="1:9" x14ac:dyDescent="0.25">
      <c r="A2245" s="91">
        <v>46176</v>
      </c>
      <c r="B2245" t="s">
        <v>682</v>
      </c>
      <c r="C2245" t="s">
        <v>4647</v>
      </c>
      <c r="D2245" t="s">
        <v>806</v>
      </c>
      <c r="E2245" t="s">
        <v>807</v>
      </c>
      <c r="F2245">
        <v>28000</v>
      </c>
      <c r="G2245" t="s">
        <v>622</v>
      </c>
      <c r="H2245">
        <v>28000</v>
      </c>
      <c r="I2245" t="s">
        <v>2633</v>
      </c>
    </row>
    <row r="2246" spans="1:9" x14ac:dyDescent="0.25">
      <c r="A2246" s="91">
        <v>46176</v>
      </c>
      <c r="B2246" t="s">
        <v>688</v>
      </c>
      <c r="C2246" t="s">
        <v>4648</v>
      </c>
      <c r="D2246">
        <v>7741</v>
      </c>
      <c r="E2246" t="s">
        <v>690</v>
      </c>
      <c r="F2246">
        <v>68000</v>
      </c>
      <c r="G2246" t="s">
        <v>622</v>
      </c>
      <c r="H2246">
        <v>68000</v>
      </c>
      <c r="I2246" t="s">
        <v>2633</v>
      </c>
    </row>
    <row r="2247" spans="1:9" x14ac:dyDescent="0.25">
      <c r="A2247" s="91">
        <v>46176</v>
      </c>
      <c r="B2247">
        <v>7002</v>
      </c>
      <c r="C2247" t="s">
        <v>4649</v>
      </c>
      <c r="D2247">
        <v>931101</v>
      </c>
      <c r="E2247" t="s">
        <v>2648</v>
      </c>
      <c r="F2247">
        <v>500</v>
      </c>
      <c r="G2247" t="s">
        <v>619</v>
      </c>
      <c r="H2247">
        <v>500</v>
      </c>
      <c r="I2247" t="s">
        <v>2607</v>
      </c>
    </row>
    <row r="2248" spans="1:9" x14ac:dyDescent="0.25">
      <c r="A2248" s="91">
        <v>46176</v>
      </c>
      <c r="B2248" t="s">
        <v>693</v>
      </c>
      <c r="C2248" t="s">
        <v>4650</v>
      </c>
      <c r="D2248">
        <v>910526</v>
      </c>
      <c r="E2248" t="s">
        <v>1602</v>
      </c>
      <c r="F2248">
        <v>9120</v>
      </c>
      <c r="G2248" t="s">
        <v>619</v>
      </c>
      <c r="H2248">
        <v>9120</v>
      </c>
      <c r="I2248" t="s">
        <v>2607</v>
      </c>
    </row>
    <row r="2249" spans="1:9" x14ac:dyDescent="0.25">
      <c r="A2249" s="91">
        <v>46177</v>
      </c>
      <c r="B2249">
        <v>7002</v>
      </c>
      <c r="C2249" t="s">
        <v>4651</v>
      </c>
      <c r="D2249">
        <v>931101</v>
      </c>
      <c r="E2249" t="s">
        <v>2648</v>
      </c>
      <c r="F2249">
        <v>500</v>
      </c>
      <c r="G2249" t="s">
        <v>619</v>
      </c>
      <c r="H2249">
        <v>500</v>
      </c>
      <c r="I2249" t="s">
        <v>2607</v>
      </c>
    </row>
    <row r="2250" spans="1:9" x14ac:dyDescent="0.25">
      <c r="A2250" s="91">
        <v>46177</v>
      </c>
      <c r="B2250" t="s">
        <v>688</v>
      </c>
      <c r="C2250" t="s">
        <v>4652</v>
      </c>
      <c r="D2250">
        <v>7741</v>
      </c>
      <c r="E2250" t="s">
        <v>690</v>
      </c>
      <c r="F2250">
        <v>68000</v>
      </c>
      <c r="G2250" t="s">
        <v>622</v>
      </c>
      <c r="H2250">
        <v>68000</v>
      </c>
      <c r="I2250" t="s">
        <v>2633</v>
      </c>
    </row>
    <row r="2251" spans="1:9" x14ac:dyDescent="0.25">
      <c r="A2251" s="91">
        <v>46177</v>
      </c>
      <c r="B2251" t="s">
        <v>685</v>
      </c>
      <c r="C2251" t="s">
        <v>4653</v>
      </c>
      <c r="D2251">
        <v>7373</v>
      </c>
      <c r="E2251" t="s">
        <v>783</v>
      </c>
      <c r="F2251">
        <v>25000</v>
      </c>
      <c r="G2251" t="s">
        <v>622</v>
      </c>
      <c r="H2251">
        <v>25000</v>
      </c>
      <c r="I2251" t="s">
        <v>2633</v>
      </c>
    </row>
    <row r="2252" spans="1:9" x14ac:dyDescent="0.25">
      <c r="A2252" s="91">
        <v>46177</v>
      </c>
      <c r="B2252" t="s">
        <v>2606</v>
      </c>
      <c r="C2252" t="s">
        <v>4654</v>
      </c>
      <c r="D2252" t="s">
        <v>4655</v>
      </c>
      <c r="E2252" t="s">
        <v>4656</v>
      </c>
      <c r="F2252">
        <v>12500</v>
      </c>
      <c r="G2252" t="s">
        <v>619</v>
      </c>
      <c r="H2252">
        <v>12500</v>
      </c>
      <c r="I2252" t="s">
        <v>2607</v>
      </c>
    </row>
    <row r="2253" spans="1:9" x14ac:dyDescent="0.25">
      <c r="A2253" s="91">
        <v>46177</v>
      </c>
      <c r="B2253" t="s">
        <v>2608</v>
      </c>
      <c r="C2253" t="s">
        <v>4657</v>
      </c>
      <c r="D2253">
        <v>79502</v>
      </c>
      <c r="E2253" t="s">
        <v>885</v>
      </c>
      <c r="F2253">
        <v>105000</v>
      </c>
      <c r="G2253" t="s">
        <v>622</v>
      </c>
      <c r="H2253">
        <v>105000</v>
      </c>
      <c r="I2253" t="s">
        <v>2609</v>
      </c>
    </row>
    <row r="2254" spans="1:9" x14ac:dyDescent="0.25">
      <c r="A2254" s="91">
        <v>46177</v>
      </c>
      <c r="B2254" t="s">
        <v>2610</v>
      </c>
      <c r="C2254" t="s">
        <v>4658</v>
      </c>
      <c r="D2254">
        <v>131681</v>
      </c>
      <c r="E2254" t="s">
        <v>4621</v>
      </c>
      <c r="F2254">
        <v>2500</v>
      </c>
      <c r="G2254" t="s">
        <v>619</v>
      </c>
      <c r="H2254">
        <v>2500</v>
      </c>
      <c r="I2254" t="s">
        <v>2607</v>
      </c>
    </row>
    <row r="2255" spans="1:9" x14ac:dyDescent="0.25">
      <c r="A2255" s="91">
        <v>46178</v>
      </c>
      <c r="B2255" t="s">
        <v>2610</v>
      </c>
      <c r="C2255" t="s">
        <v>4659</v>
      </c>
      <c r="D2255" t="s">
        <v>335</v>
      </c>
      <c r="E2255" t="s">
        <v>4660</v>
      </c>
      <c r="F2255">
        <v>5334</v>
      </c>
      <c r="G2255" t="s">
        <v>619</v>
      </c>
      <c r="H2255">
        <v>5334</v>
      </c>
      <c r="I2255" t="s">
        <v>2607</v>
      </c>
    </row>
    <row r="2256" spans="1:9" x14ac:dyDescent="0.25">
      <c r="A2256" s="91">
        <v>46178</v>
      </c>
      <c r="B2256" t="s">
        <v>2610</v>
      </c>
      <c r="C2256" t="s">
        <v>4661</v>
      </c>
      <c r="D2256">
        <v>131681</v>
      </c>
      <c r="E2256" t="s">
        <v>4621</v>
      </c>
      <c r="F2256">
        <v>2500</v>
      </c>
      <c r="G2256" t="s">
        <v>619</v>
      </c>
      <c r="H2256">
        <v>2500</v>
      </c>
      <c r="I2256" t="s">
        <v>2607</v>
      </c>
    </row>
    <row r="2257" spans="1:9" x14ac:dyDescent="0.25">
      <c r="A2257" s="91">
        <v>46178</v>
      </c>
      <c r="B2257" t="s">
        <v>2606</v>
      </c>
      <c r="C2257" t="s">
        <v>4662</v>
      </c>
      <c r="D2257">
        <v>7013</v>
      </c>
      <c r="E2257" t="s">
        <v>630</v>
      </c>
      <c r="F2257">
        <v>105000</v>
      </c>
      <c r="G2257" t="s">
        <v>622</v>
      </c>
      <c r="H2257">
        <v>105000</v>
      </c>
      <c r="I2257" t="s">
        <v>2609</v>
      </c>
    </row>
    <row r="2258" spans="1:9" x14ac:dyDescent="0.25">
      <c r="A2258" s="91">
        <v>46178</v>
      </c>
      <c r="B2258" t="s">
        <v>2621</v>
      </c>
      <c r="C2258" t="s">
        <v>4663</v>
      </c>
      <c r="D2258" t="s">
        <v>2713</v>
      </c>
      <c r="E2258" t="s">
        <v>2714</v>
      </c>
      <c r="F2258">
        <v>1993</v>
      </c>
      <c r="G2258" t="s">
        <v>619</v>
      </c>
      <c r="H2258">
        <v>1993</v>
      </c>
      <c r="I2258" t="s">
        <v>2607</v>
      </c>
    </row>
    <row r="2259" spans="1:9" x14ac:dyDescent="0.25">
      <c r="A2259" s="91">
        <v>46178</v>
      </c>
      <c r="B2259">
        <v>7002</v>
      </c>
      <c r="C2259" t="s">
        <v>4664</v>
      </c>
      <c r="D2259">
        <v>931101</v>
      </c>
      <c r="E2259" t="s">
        <v>2648</v>
      </c>
      <c r="F2259">
        <v>500</v>
      </c>
      <c r="G2259" t="s">
        <v>619</v>
      </c>
      <c r="H2259">
        <v>500</v>
      </c>
      <c r="I2259" t="s">
        <v>2607</v>
      </c>
    </row>
    <row r="2260" spans="1:9" x14ac:dyDescent="0.25">
      <c r="A2260" s="91">
        <v>46178</v>
      </c>
      <c r="B2260" t="s">
        <v>2606</v>
      </c>
      <c r="C2260" t="s">
        <v>4665</v>
      </c>
      <c r="D2260" t="s">
        <v>4655</v>
      </c>
      <c r="E2260" t="s">
        <v>4656</v>
      </c>
      <c r="F2260">
        <v>12500</v>
      </c>
      <c r="G2260" t="s">
        <v>619</v>
      </c>
      <c r="H2260">
        <v>12500</v>
      </c>
      <c r="I2260" t="s">
        <v>2607</v>
      </c>
    </row>
    <row r="2261" spans="1:9" x14ac:dyDescent="0.25">
      <c r="A2261" s="91">
        <v>46179</v>
      </c>
      <c r="B2261" t="s">
        <v>2610</v>
      </c>
      <c r="C2261" t="s">
        <v>4666</v>
      </c>
      <c r="D2261">
        <v>131681</v>
      </c>
      <c r="E2261" t="s">
        <v>4621</v>
      </c>
      <c r="F2261">
        <v>2500</v>
      </c>
      <c r="G2261" t="s">
        <v>619</v>
      </c>
      <c r="H2261">
        <v>2500</v>
      </c>
      <c r="I2261" t="s">
        <v>2607</v>
      </c>
    </row>
    <row r="2262" spans="1:9" x14ac:dyDescent="0.25">
      <c r="A2262" s="91">
        <v>46179</v>
      </c>
      <c r="B2262" t="s">
        <v>2611</v>
      </c>
      <c r="C2262" t="s">
        <v>4667</v>
      </c>
      <c r="D2262">
        <v>72001</v>
      </c>
      <c r="E2262" t="s">
        <v>3056</v>
      </c>
      <c r="F2262">
        <v>1371</v>
      </c>
      <c r="G2262" t="s">
        <v>619</v>
      </c>
      <c r="H2262">
        <v>1371</v>
      </c>
      <c r="I2262" t="s">
        <v>2607</v>
      </c>
    </row>
    <row r="2263" spans="1:9" x14ac:dyDescent="0.25">
      <c r="A2263" s="91">
        <v>46180</v>
      </c>
      <c r="B2263" t="s">
        <v>2665</v>
      </c>
      <c r="C2263" t="s">
        <v>4668</v>
      </c>
      <c r="D2263" t="s">
        <v>4669</v>
      </c>
      <c r="E2263" t="s">
        <v>4670</v>
      </c>
      <c r="F2263">
        <v>100</v>
      </c>
      <c r="G2263" t="s">
        <v>619</v>
      </c>
      <c r="H2263">
        <v>100</v>
      </c>
      <c r="I2263" t="s">
        <v>2607</v>
      </c>
    </row>
    <row r="2264" spans="1:9" x14ac:dyDescent="0.25">
      <c r="A2264" s="91">
        <v>46180</v>
      </c>
      <c r="B2264" t="s">
        <v>2665</v>
      </c>
      <c r="C2264" t="s">
        <v>4671</v>
      </c>
      <c r="D2264" t="s">
        <v>4672</v>
      </c>
      <c r="E2264" t="s">
        <v>4673</v>
      </c>
      <c r="F2264">
        <v>100</v>
      </c>
      <c r="G2264" t="s">
        <v>619</v>
      </c>
      <c r="H2264">
        <v>100</v>
      </c>
      <c r="I2264" t="s">
        <v>2607</v>
      </c>
    </row>
    <row r="2265" spans="1:9" x14ac:dyDescent="0.25">
      <c r="A2265" s="91">
        <v>46180</v>
      </c>
      <c r="B2265" t="s">
        <v>2665</v>
      </c>
      <c r="C2265" t="s">
        <v>4674</v>
      </c>
      <c r="D2265" t="s">
        <v>4675</v>
      </c>
      <c r="E2265" t="s">
        <v>4676</v>
      </c>
      <c r="F2265">
        <v>100</v>
      </c>
      <c r="G2265" t="s">
        <v>619</v>
      </c>
      <c r="H2265">
        <v>100</v>
      </c>
      <c r="I2265" t="s">
        <v>2607</v>
      </c>
    </row>
    <row r="2266" spans="1:9" x14ac:dyDescent="0.25">
      <c r="A2266" s="91">
        <v>46180</v>
      </c>
      <c r="B2266" t="s">
        <v>2665</v>
      </c>
      <c r="C2266" t="s">
        <v>4677</v>
      </c>
      <c r="D2266" t="s">
        <v>4678</v>
      </c>
      <c r="E2266" t="s">
        <v>4679</v>
      </c>
      <c r="F2266">
        <v>100</v>
      </c>
      <c r="G2266" t="s">
        <v>619</v>
      </c>
      <c r="H2266">
        <v>100</v>
      </c>
      <c r="I2266" t="s">
        <v>2607</v>
      </c>
    </row>
    <row r="2267" spans="1:9" x14ac:dyDescent="0.25">
      <c r="A2267" s="91">
        <v>46180</v>
      </c>
      <c r="B2267" t="s">
        <v>2665</v>
      </c>
      <c r="C2267" t="s">
        <v>4680</v>
      </c>
      <c r="D2267" t="s">
        <v>4681</v>
      </c>
      <c r="E2267" t="s">
        <v>4682</v>
      </c>
      <c r="F2267">
        <v>100</v>
      </c>
      <c r="G2267" t="s">
        <v>619</v>
      </c>
      <c r="H2267">
        <v>100</v>
      </c>
      <c r="I2267" t="s">
        <v>2607</v>
      </c>
    </row>
    <row r="2268" spans="1:9" x14ac:dyDescent="0.25">
      <c r="A2268" s="91">
        <v>46180</v>
      </c>
      <c r="B2268" t="s">
        <v>2665</v>
      </c>
      <c r="C2268" t="s">
        <v>4683</v>
      </c>
      <c r="D2268" t="s">
        <v>4684</v>
      </c>
      <c r="E2268" t="s">
        <v>4685</v>
      </c>
      <c r="F2268">
        <v>100</v>
      </c>
      <c r="G2268" t="s">
        <v>619</v>
      </c>
      <c r="H2268">
        <v>100</v>
      </c>
      <c r="I2268" t="s">
        <v>2607</v>
      </c>
    </row>
    <row r="2269" spans="1:9" x14ac:dyDescent="0.25">
      <c r="A2269" s="91">
        <v>46181</v>
      </c>
      <c r="B2269">
        <v>7002</v>
      </c>
      <c r="C2269" t="s">
        <v>4686</v>
      </c>
      <c r="D2269">
        <v>931101</v>
      </c>
      <c r="E2269" t="s">
        <v>2648</v>
      </c>
      <c r="F2269">
        <v>500</v>
      </c>
      <c r="G2269" t="s">
        <v>619</v>
      </c>
      <c r="H2269">
        <v>500</v>
      </c>
      <c r="I2269" t="s">
        <v>2607</v>
      </c>
    </row>
    <row r="2270" spans="1:9" x14ac:dyDescent="0.25">
      <c r="A2270" s="91">
        <v>46181</v>
      </c>
      <c r="B2270" t="s">
        <v>688</v>
      </c>
      <c r="C2270" t="s">
        <v>4687</v>
      </c>
      <c r="D2270">
        <v>7746</v>
      </c>
      <c r="E2270" t="s">
        <v>692</v>
      </c>
      <c r="F2270">
        <v>68000</v>
      </c>
      <c r="G2270" t="s">
        <v>622</v>
      </c>
      <c r="H2270">
        <v>68000</v>
      </c>
      <c r="I2270" t="s">
        <v>2633</v>
      </c>
    </row>
    <row r="2271" spans="1:9" x14ac:dyDescent="0.25">
      <c r="A2271" s="91">
        <v>46181</v>
      </c>
      <c r="B2271" t="s">
        <v>682</v>
      </c>
      <c r="C2271" t="s">
        <v>4688</v>
      </c>
      <c r="D2271">
        <v>7302</v>
      </c>
      <c r="E2271" t="s">
        <v>768</v>
      </c>
      <c r="F2271">
        <v>27000</v>
      </c>
      <c r="G2271" t="s">
        <v>622</v>
      </c>
      <c r="H2271">
        <v>27000</v>
      </c>
      <c r="I2271" t="s">
        <v>2633</v>
      </c>
    </row>
    <row r="2272" spans="1:9" x14ac:dyDescent="0.25">
      <c r="A2272" s="91">
        <v>46181</v>
      </c>
      <c r="B2272" t="s">
        <v>685</v>
      </c>
      <c r="C2272" t="s">
        <v>4689</v>
      </c>
      <c r="D2272" t="s">
        <v>686</v>
      </c>
      <c r="E2272" t="s">
        <v>687</v>
      </c>
      <c r="F2272">
        <v>40000</v>
      </c>
      <c r="G2272" t="s">
        <v>622</v>
      </c>
      <c r="H2272">
        <v>40000</v>
      </c>
      <c r="I2272" t="s">
        <v>2633</v>
      </c>
    </row>
    <row r="2273" spans="1:9" x14ac:dyDescent="0.25">
      <c r="A2273" s="91">
        <v>46181</v>
      </c>
      <c r="B2273" t="s">
        <v>2606</v>
      </c>
      <c r="C2273" t="s">
        <v>4690</v>
      </c>
      <c r="D2273">
        <v>7037</v>
      </c>
      <c r="E2273" t="s">
        <v>632</v>
      </c>
      <c r="F2273">
        <v>105000</v>
      </c>
      <c r="G2273" t="s">
        <v>622</v>
      </c>
      <c r="H2273">
        <v>105000</v>
      </c>
      <c r="I2273" t="s">
        <v>2609</v>
      </c>
    </row>
    <row r="2274" spans="1:9" x14ac:dyDescent="0.25">
      <c r="A2274" s="91">
        <v>46181</v>
      </c>
      <c r="B2274" t="s">
        <v>2614</v>
      </c>
      <c r="C2274" t="s">
        <v>4691</v>
      </c>
      <c r="D2274">
        <v>900105</v>
      </c>
      <c r="E2274" t="s">
        <v>2884</v>
      </c>
      <c r="F2274">
        <v>480</v>
      </c>
      <c r="G2274" t="s">
        <v>619</v>
      </c>
      <c r="H2274">
        <v>480</v>
      </c>
      <c r="I2274" t="s">
        <v>2607</v>
      </c>
    </row>
    <row r="2275" spans="1:9" x14ac:dyDescent="0.25">
      <c r="A2275" s="91">
        <v>46182</v>
      </c>
      <c r="B2275" t="s">
        <v>2608</v>
      </c>
      <c r="C2275" t="s">
        <v>4692</v>
      </c>
      <c r="D2275">
        <v>7033</v>
      </c>
      <c r="E2275" t="s">
        <v>1109</v>
      </c>
      <c r="F2275">
        <v>95000</v>
      </c>
      <c r="G2275" t="s">
        <v>622</v>
      </c>
      <c r="H2275">
        <v>95000</v>
      </c>
      <c r="I2275" t="s">
        <v>2609</v>
      </c>
    </row>
    <row r="2276" spans="1:9" x14ac:dyDescent="0.25">
      <c r="A2276" s="91">
        <v>46182</v>
      </c>
      <c r="B2276" t="s">
        <v>2614</v>
      </c>
      <c r="C2276" t="s">
        <v>4693</v>
      </c>
      <c r="D2276">
        <v>900107</v>
      </c>
      <c r="E2276" t="s">
        <v>2685</v>
      </c>
      <c r="F2276">
        <v>480</v>
      </c>
      <c r="G2276" t="s">
        <v>619</v>
      </c>
      <c r="H2276">
        <v>480</v>
      </c>
      <c r="I2276" t="s">
        <v>2607</v>
      </c>
    </row>
    <row r="2277" spans="1:9" x14ac:dyDescent="0.25">
      <c r="A2277" s="91">
        <v>46182</v>
      </c>
      <c r="B2277" t="s">
        <v>685</v>
      </c>
      <c r="C2277" t="s">
        <v>4694</v>
      </c>
      <c r="D2277">
        <v>7372</v>
      </c>
      <c r="E2277" t="s">
        <v>741</v>
      </c>
      <c r="F2277">
        <v>40000</v>
      </c>
      <c r="G2277" t="s">
        <v>622</v>
      </c>
      <c r="H2277">
        <v>40000</v>
      </c>
      <c r="I2277" t="s">
        <v>2633</v>
      </c>
    </row>
    <row r="2278" spans="1:9" x14ac:dyDescent="0.25">
      <c r="A2278" s="91">
        <v>46182</v>
      </c>
      <c r="B2278">
        <v>7002</v>
      </c>
      <c r="C2278" t="s">
        <v>4695</v>
      </c>
      <c r="D2278">
        <v>931101</v>
      </c>
      <c r="E2278" t="s">
        <v>2648</v>
      </c>
      <c r="F2278">
        <v>500</v>
      </c>
      <c r="G2278" t="s">
        <v>619</v>
      </c>
      <c r="H2278">
        <v>500</v>
      </c>
      <c r="I2278" t="s">
        <v>2607</v>
      </c>
    </row>
    <row r="2279" spans="1:9" x14ac:dyDescent="0.25">
      <c r="A2279" s="91">
        <v>46182</v>
      </c>
      <c r="B2279" t="s">
        <v>682</v>
      </c>
      <c r="C2279" t="s">
        <v>4696</v>
      </c>
      <c r="D2279">
        <v>7304</v>
      </c>
      <c r="E2279" t="s">
        <v>770</v>
      </c>
      <c r="F2279">
        <v>27000</v>
      </c>
      <c r="G2279" t="s">
        <v>622</v>
      </c>
      <c r="H2279">
        <v>27000</v>
      </c>
      <c r="I2279" t="s">
        <v>2633</v>
      </c>
    </row>
    <row r="2280" spans="1:9" x14ac:dyDescent="0.25">
      <c r="A2280" s="91">
        <v>46182</v>
      </c>
      <c r="B2280" t="s">
        <v>688</v>
      </c>
      <c r="C2280" t="s">
        <v>4697</v>
      </c>
      <c r="D2280">
        <v>7746</v>
      </c>
      <c r="E2280" t="s">
        <v>692</v>
      </c>
      <c r="F2280">
        <v>68000</v>
      </c>
      <c r="G2280" t="s">
        <v>622</v>
      </c>
      <c r="H2280">
        <v>68000</v>
      </c>
      <c r="I2280" t="s">
        <v>2633</v>
      </c>
    </row>
    <row r="2281" spans="1:9" x14ac:dyDescent="0.25">
      <c r="A2281" s="91">
        <v>46182</v>
      </c>
      <c r="B2281" t="s">
        <v>679</v>
      </c>
      <c r="C2281" t="s">
        <v>4698</v>
      </c>
      <c r="D2281">
        <v>7212</v>
      </c>
      <c r="E2281" t="s">
        <v>681</v>
      </c>
      <c r="F2281">
        <v>85000</v>
      </c>
      <c r="G2281" t="s">
        <v>622</v>
      </c>
      <c r="H2281">
        <v>85000</v>
      </c>
      <c r="I2281" t="s">
        <v>2633</v>
      </c>
    </row>
    <row r="2282" spans="1:9" x14ac:dyDescent="0.25">
      <c r="A2282" s="91">
        <v>46183</v>
      </c>
      <c r="B2282" t="s">
        <v>2614</v>
      </c>
      <c r="C2282" t="s">
        <v>4699</v>
      </c>
      <c r="D2282">
        <v>900114</v>
      </c>
      <c r="E2282" t="s">
        <v>2655</v>
      </c>
      <c r="F2282">
        <v>480</v>
      </c>
      <c r="G2282" t="s">
        <v>619</v>
      </c>
      <c r="H2282">
        <v>480</v>
      </c>
      <c r="I2282" t="s">
        <v>2607</v>
      </c>
    </row>
    <row r="2283" spans="1:9" x14ac:dyDescent="0.25">
      <c r="A2283" s="91">
        <v>46183</v>
      </c>
      <c r="B2283" t="s">
        <v>2608</v>
      </c>
      <c r="C2283" t="s">
        <v>4700</v>
      </c>
      <c r="D2283">
        <v>7010</v>
      </c>
      <c r="E2283" t="s">
        <v>621</v>
      </c>
      <c r="F2283">
        <v>105000</v>
      </c>
      <c r="G2283" t="s">
        <v>622</v>
      </c>
      <c r="H2283">
        <v>105000</v>
      </c>
      <c r="I2283" t="s">
        <v>2609</v>
      </c>
    </row>
    <row r="2284" spans="1:9" x14ac:dyDescent="0.25">
      <c r="A2284" s="91">
        <v>46183</v>
      </c>
      <c r="B2284" t="s">
        <v>715</v>
      </c>
      <c r="C2284" t="s">
        <v>4701</v>
      </c>
      <c r="D2284">
        <v>7185</v>
      </c>
      <c r="E2284" t="s">
        <v>717</v>
      </c>
      <c r="F2284">
        <v>55000</v>
      </c>
      <c r="G2284" t="s">
        <v>622</v>
      </c>
      <c r="H2284">
        <v>55000</v>
      </c>
      <c r="I2284" t="s">
        <v>2633</v>
      </c>
    </row>
    <row r="2285" spans="1:9" x14ac:dyDescent="0.25">
      <c r="A2285" s="91">
        <v>46183</v>
      </c>
      <c r="B2285" t="s">
        <v>693</v>
      </c>
      <c r="C2285" t="s">
        <v>4702</v>
      </c>
      <c r="D2285">
        <v>910326</v>
      </c>
      <c r="E2285" t="s">
        <v>1583</v>
      </c>
      <c r="F2285">
        <v>9120</v>
      </c>
      <c r="G2285" t="s">
        <v>619</v>
      </c>
      <c r="H2285">
        <v>9120</v>
      </c>
      <c r="I2285" t="s">
        <v>2607</v>
      </c>
    </row>
    <row r="2286" spans="1:9" x14ac:dyDescent="0.25">
      <c r="A2286" s="91">
        <v>46183</v>
      </c>
      <c r="B2286" t="s">
        <v>2621</v>
      </c>
      <c r="C2286" t="s">
        <v>4703</v>
      </c>
      <c r="D2286" t="s">
        <v>3785</v>
      </c>
      <c r="E2286" t="s">
        <v>3786</v>
      </c>
      <c r="F2286">
        <v>427</v>
      </c>
      <c r="G2286" t="s">
        <v>619</v>
      </c>
      <c r="H2286">
        <v>427</v>
      </c>
      <c r="I2286" t="s">
        <v>2607</v>
      </c>
    </row>
    <row r="2287" spans="1:9" x14ac:dyDescent="0.25">
      <c r="A2287" s="91">
        <v>46183</v>
      </c>
      <c r="B2287" t="s">
        <v>2621</v>
      </c>
      <c r="C2287" t="s">
        <v>4704</v>
      </c>
      <c r="D2287" t="s">
        <v>2626</v>
      </c>
      <c r="E2287" t="s">
        <v>2627</v>
      </c>
      <c r="F2287">
        <v>2871</v>
      </c>
      <c r="G2287" t="s">
        <v>619</v>
      </c>
      <c r="H2287">
        <v>2871</v>
      </c>
      <c r="I2287" t="s">
        <v>2607</v>
      </c>
    </row>
    <row r="2288" spans="1:9" x14ac:dyDescent="0.25">
      <c r="A2288" s="91">
        <v>46183</v>
      </c>
      <c r="B2288" t="s">
        <v>2621</v>
      </c>
      <c r="C2288" t="s">
        <v>4705</v>
      </c>
      <c r="D2288" t="s">
        <v>2669</v>
      </c>
      <c r="E2288" t="s">
        <v>2670</v>
      </c>
      <c r="F2288">
        <v>25058</v>
      </c>
      <c r="G2288" t="s">
        <v>619</v>
      </c>
      <c r="H2288">
        <v>25058</v>
      </c>
      <c r="I2288" t="s">
        <v>2607</v>
      </c>
    </row>
    <row r="2289" spans="1:9" x14ac:dyDescent="0.25">
      <c r="A2289" s="91">
        <v>46183</v>
      </c>
      <c r="B2289" t="s">
        <v>2621</v>
      </c>
      <c r="C2289" t="s">
        <v>4706</v>
      </c>
      <c r="D2289" t="s">
        <v>2756</v>
      </c>
      <c r="E2289" t="s">
        <v>2757</v>
      </c>
      <c r="F2289">
        <v>18348</v>
      </c>
      <c r="G2289" t="s">
        <v>619</v>
      </c>
      <c r="H2289">
        <v>18348</v>
      </c>
      <c r="I2289" t="s">
        <v>2607</v>
      </c>
    </row>
    <row r="2290" spans="1:9" x14ac:dyDescent="0.25">
      <c r="A2290" s="91">
        <v>46183</v>
      </c>
      <c r="B2290" t="s">
        <v>2621</v>
      </c>
      <c r="C2290" t="s">
        <v>4707</v>
      </c>
      <c r="D2290" t="s">
        <v>2639</v>
      </c>
      <c r="E2290" t="s">
        <v>2640</v>
      </c>
      <c r="F2290">
        <v>13536</v>
      </c>
      <c r="G2290" t="s">
        <v>619</v>
      </c>
      <c r="H2290">
        <v>13536</v>
      </c>
      <c r="I2290" t="s">
        <v>2607</v>
      </c>
    </row>
    <row r="2291" spans="1:9" x14ac:dyDescent="0.25">
      <c r="A2291" s="91">
        <v>46183</v>
      </c>
      <c r="B2291" t="s">
        <v>693</v>
      </c>
      <c r="C2291" t="s">
        <v>4708</v>
      </c>
      <c r="D2291">
        <v>910526</v>
      </c>
      <c r="E2291" t="s">
        <v>1602</v>
      </c>
      <c r="F2291">
        <v>9120</v>
      </c>
      <c r="G2291" t="s">
        <v>619</v>
      </c>
      <c r="H2291">
        <v>9120</v>
      </c>
      <c r="I2291" t="s">
        <v>2607</v>
      </c>
    </row>
    <row r="2292" spans="1:9" x14ac:dyDescent="0.25">
      <c r="A2292" s="91">
        <v>46183</v>
      </c>
      <c r="B2292" t="s">
        <v>2621</v>
      </c>
      <c r="C2292" t="s">
        <v>4709</v>
      </c>
      <c r="D2292" t="s">
        <v>3073</v>
      </c>
      <c r="E2292" t="s">
        <v>3074</v>
      </c>
      <c r="F2292">
        <v>311</v>
      </c>
      <c r="G2292" t="s">
        <v>619</v>
      </c>
      <c r="H2292">
        <v>311</v>
      </c>
      <c r="I2292" t="s">
        <v>2607</v>
      </c>
    </row>
    <row r="2293" spans="1:9" x14ac:dyDescent="0.25">
      <c r="A2293" s="91">
        <v>46183</v>
      </c>
      <c r="B2293" t="s">
        <v>2621</v>
      </c>
      <c r="C2293" t="s">
        <v>4710</v>
      </c>
      <c r="D2293" t="s">
        <v>2639</v>
      </c>
      <c r="E2293" t="s">
        <v>2640</v>
      </c>
      <c r="F2293">
        <v>5058</v>
      </c>
      <c r="G2293" t="s">
        <v>619</v>
      </c>
      <c r="H2293">
        <v>5058</v>
      </c>
      <c r="I2293" t="s">
        <v>2607</v>
      </c>
    </row>
    <row r="2294" spans="1:9" x14ac:dyDescent="0.25">
      <c r="A2294" s="91">
        <v>46183</v>
      </c>
      <c r="B2294" t="s">
        <v>2621</v>
      </c>
      <c r="C2294" t="s">
        <v>4711</v>
      </c>
      <c r="D2294" t="s">
        <v>2694</v>
      </c>
      <c r="E2294" t="s">
        <v>2695</v>
      </c>
      <c r="F2294">
        <v>1233</v>
      </c>
      <c r="G2294" t="s">
        <v>619</v>
      </c>
      <c r="H2294">
        <v>1233</v>
      </c>
      <c r="I2294" t="s">
        <v>2607</v>
      </c>
    </row>
    <row r="2295" spans="1:9" x14ac:dyDescent="0.25">
      <c r="A2295" s="91">
        <v>46183</v>
      </c>
      <c r="B2295" t="s">
        <v>2621</v>
      </c>
      <c r="C2295" t="s">
        <v>4712</v>
      </c>
      <c r="D2295" t="s">
        <v>2910</v>
      </c>
      <c r="E2295" t="s">
        <v>2911</v>
      </c>
      <c r="F2295">
        <v>4797</v>
      </c>
      <c r="G2295" t="s">
        <v>619</v>
      </c>
      <c r="H2295">
        <v>4797</v>
      </c>
      <c r="I2295" t="s">
        <v>2607</v>
      </c>
    </row>
    <row r="2296" spans="1:9" x14ac:dyDescent="0.25">
      <c r="A2296" s="91">
        <v>46183</v>
      </c>
      <c r="B2296" t="s">
        <v>2621</v>
      </c>
      <c r="C2296" t="s">
        <v>4713</v>
      </c>
      <c r="D2296" t="s">
        <v>2650</v>
      </c>
      <c r="E2296" t="s">
        <v>2651</v>
      </c>
      <c r="F2296">
        <v>619</v>
      </c>
      <c r="G2296" t="s">
        <v>619</v>
      </c>
      <c r="H2296">
        <v>619</v>
      </c>
      <c r="I2296" t="s">
        <v>2607</v>
      </c>
    </row>
    <row r="2297" spans="1:9" x14ac:dyDescent="0.25">
      <c r="A2297" s="91">
        <v>46183</v>
      </c>
      <c r="B2297" t="s">
        <v>2621</v>
      </c>
      <c r="C2297" t="s">
        <v>4714</v>
      </c>
      <c r="D2297" t="s">
        <v>2793</v>
      </c>
      <c r="E2297" t="s">
        <v>2794</v>
      </c>
      <c r="F2297">
        <v>2415</v>
      </c>
      <c r="G2297" t="s">
        <v>619</v>
      </c>
      <c r="H2297">
        <v>2415</v>
      </c>
      <c r="I2297" t="s">
        <v>2607</v>
      </c>
    </row>
    <row r="2298" spans="1:9" x14ac:dyDescent="0.25">
      <c r="A2298" s="91">
        <v>46183</v>
      </c>
      <c r="B2298" t="s">
        <v>682</v>
      </c>
      <c r="C2298" t="s">
        <v>4715</v>
      </c>
      <c r="D2298">
        <v>7552</v>
      </c>
      <c r="E2298" t="s">
        <v>2752</v>
      </c>
      <c r="F2298">
        <v>24000</v>
      </c>
      <c r="G2298" t="s">
        <v>622</v>
      </c>
      <c r="H2298">
        <v>24000</v>
      </c>
      <c r="I2298" t="s">
        <v>2633</v>
      </c>
    </row>
    <row r="2299" spans="1:9" x14ac:dyDescent="0.25">
      <c r="A2299" s="91">
        <v>46183</v>
      </c>
      <c r="B2299" t="s">
        <v>688</v>
      </c>
      <c r="C2299" t="s">
        <v>4716</v>
      </c>
      <c r="D2299">
        <v>7746</v>
      </c>
      <c r="E2299" t="s">
        <v>692</v>
      </c>
      <c r="F2299">
        <v>68000</v>
      </c>
      <c r="G2299" t="s">
        <v>622</v>
      </c>
      <c r="H2299">
        <v>68000</v>
      </c>
      <c r="I2299" t="s">
        <v>2633</v>
      </c>
    </row>
    <row r="2300" spans="1:9" x14ac:dyDescent="0.25">
      <c r="A2300" s="91">
        <v>46183</v>
      </c>
      <c r="B2300">
        <v>7002</v>
      </c>
      <c r="C2300" t="s">
        <v>4717</v>
      </c>
      <c r="D2300">
        <v>931102</v>
      </c>
      <c r="E2300" t="s">
        <v>2660</v>
      </c>
      <c r="F2300">
        <v>500</v>
      </c>
      <c r="G2300" t="s">
        <v>619</v>
      </c>
      <c r="H2300">
        <v>500</v>
      </c>
      <c r="I2300" t="s">
        <v>2607</v>
      </c>
    </row>
    <row r="2301" spans="1:9" x14ac:dyDescent="0.25">
      <c r="A2301" s="91">
        <v>46183</v>
      </c>
      <c r="B2301" t="s">
        <v>2621</v>
      </c>
      <c r="C2301" t="s">
        <v>4718</v>
      </c>
      <c r="D2301" t="s">
        <v>2643</v>
      </c>
      <c r="E2301" t="s">
        <v>2644</v>
      </c>
      <c r="F2301">
        <v>438</v>
      </c>
      <c r="G2301" t="s">
        <v>619</v>
      </c>
      <c r="H2301">
        <v>438</v>
      </c>
      <c r="I2301" t="s">
        <v>2607</v>
      </c>
    </row>
    <row r="2302" spans="1:9" x14ac:dyDescent="0.25">
      <c r="A2302" s="91">
        <v>46184</v>
      </c>
      <c r="B2302" t="s">
        <v>2608</v>
      </c>
      <c r="C2302" t="s">
        <v>4719</v>
      </c>
      <c r="D2302">
        <v>7016</v>
      </c>
      <c r="E2302" t="s">
        <v>628</v>
      </c>
      <c r="F2302">
        <v>105000</v>
      </c>
      <c r="G2302" t="s">
        <v>622</v>
      </c>
      <c r="H2302">
        <v>105000</v>
      </c>
      <c r="I2302" t="s">
        <v>2609</v>
      </c>
    </row>
    <row r="2303" spans="1:9" x14ac:dyDescent="0.25">
      <c r="A2303" s="91">
        <v>46184</v>
      </c>
      <c r="B2303" t="s">
        <v>685</v>
      </c>
      <c r="C2303" t="s">
        <v>4720</v>
      </c>
      <c r="D2303" t="s">
        <v>722</v>
      </c>
      <c r="E2303" t="s">
        <v>723</v>
      </c>
      <c r="F2303">
        <v>40000</v>
      </c>
      <c r="G2303" t="s">
        <v>622</v>
      </c>
      <c r="H2303">
        <v>40000</v>
      </c>
      <c r="I2303" t="s">
        <v>2633</v>
      </c>
    </row>
    <row r="2304" spans="1:9" x14ac:dyDescent="0.25">
      <c r="A2304" s="91">
        <v>46184</v>
      </c>
      <c r="B2304">
        <v>7002</v>
      </c>
      <c r="C2304" t="s">
        <v>4721</v>
      </c>
      <c r="D2304">
        <v>931102</v>
      </c>
      <c r="E2304" t="s">
        <v>2660</v>
      </c>
      <c r="F2304">
        <v>500</v>
      </c>
      <c r="G2304" t="s">
        <v>619</v>
      </c>
      <c r="H2304">
        <v>500</v>
      </c>
      <c r="I2304" t="s">
        <v>2607</v>
      </c>
    </row>
    <row r="2305" spans="1:9" x14ac:dyDescent="0.25">
      <c r="A2305" s="91">
        <v>46184</v>
      </c>
      <c r="B2305" t="s">
        <v>688</v>
      </c>
      <c r="C2305" t="s">
        <v>4722</v>
      </c>
      <c r="D2305">
        <v>7746</v>
      </c>
      <c r="E2305" t="s">
        <v>692</v>
      </c>
      <c r="F2305">
        <v>68000</v>
      </c>
      <c r="G2305" t="s">
        <v>622</v>
      </c>
      <c r="H2305">
        <v>68000</v>
      </c>
      <c r="I2305" t="s">
        <v>2633</v>
      </c>
    </row>
    <row r="2306" spans="1:9" x14ac:dyDescent="0.25">
      <c r="A2306" s="91">
        <v>46185</v>
      </c>
      <c r="B2306">
        <v>7002</v>
      </c>
      <c r="C2306" t="s">
        <v>4723</v>
      </c>
      <c r="D2306">
        <v>931102</v>
      </c>
      <c r="E2306" t="s">
        <v>2660</v>
      </c>
      <c r="F2306">
        <v>500</v>
      </c>
      <c r="G2306" t="s">
        <v>619</v>
      </c>
      <c r="H2306">
        <v>500</v>
      </c>
      <c r="I2306" t="s">
        <v>2607</v>
      </c>
    </row>
    <row r="2307" spans="1:9" x14ac:dyDescent="0.25">
      <c r="A2307" s="91">
        <v>46185</v>
      </c>
      <c r="B2307" t="s">
        <v>2608</v>
      </c>
      <c r="C2307" t="s">
        <v>4724</v>
      </c>
      <c r="D2307">
        <v>7076</v>
      </c>
      <c r="E2307" t="s">
        <v>634</v>
      </c>
      <c r="F2307">
        <v>95000</v>
      </c>
      <c r="G2307" t="s">
        <v>622</v>
      </c>
      <c r="H2307">
        <v>95000</v>
      </c>
      <c r="I2307" t="s">
        <v>2609</v>
      </c>
    </row>
    <row r="2308" spans="1:9" x14ac:dyDescent="0.25">
      <c r="A2308" s="91">
        <v>46187</v>
      </c>
      <c r="B2308" t="s">
        <v>2736</v>
      </c>
      <c r="C2308" t="s">
        <v>4725</v>
      </c>
      <c r="D2308" t="s">
        <v>4726</v>
      </c>
      <c r="E2308" t="s">
        <v>4727</v>
      </c>
      <c r="F2308">
        <v>1000</v>
      </c>
      <c r="G2308" t="s">
        <v>622</v>
      </c>
      <c r="H2308">
        <v>1000</v>
      </c>
      <c r="I2308" t="s">
        <v>2607</v>
      </c>
    </row>
    <row r="2309" spans="1:9" x14ac:dyDescent="0.25">
      <c r="A2309" s="91">
        <v>46188</v>
      </c>
      <c r="B2309">
        <v>7002</v>
      </c>
      <c r="C2309" t="s">
        <v>4728</v>
      </c>
      <c r="D2309">
        <v>931102</v>
      </c>
      <c r="E2309" t="s">
        <v>2660</v>
      </c>
      <c r="F2309">
        <v>500</v>
      </c>
      <c r="G2309" t="s">
        <v>619</v>
      </c>
      <c r="H2309">
        <v>500</v>
      </c>
      <c r="I2309" t="s">
        <v>2607</v>
      </c>
    </row>
    <row r="2310" spans="1:9" x14ac:dyDescent="0.25">
      <c r="A2310" s="91">
        <v>46188</v>
      </c>
      <c r="B2310" t="s">
        <v>688</v>
      </c>
      <c r="C2310" t="s">
        <v>4729</v>
      </c>
      <c r="D2310">
        <v>7741</v>
      </c>
      <c r="E2310" t="s">
        <v>690</v>
      </c>
      <c r="F2310">
        <v>68000</v>
      </c>
      <c r="G2310" t="s">
        <v>622</v>
      </c>
      <c r="H2310">
        <v>68000</v>
      </c>
      <c r="I2310" t="s">
        <v>2633</v>
      </c>
    </row>
    <row r="2311" spans="1:9" x14ac:dyDescent="0.25">
      <c r="A2311" s="91">
        <v>46188</v>
      </c>
      <c r="B2311" t="s">
        <v>693</v>
      </c>
      <c r="C2311" t="s">
        <v>4730</v>
      </c>
      <c r="D2311">
        <v>910526</v>
      </c>
      <c r="E2311" t="s">
        <v>1602</v>
      </c>
      <c r="F2311">
        <v>9120</v>
      </c>
      <c r="G2311" t="s">
        <v>619</v>
      </c>
      <c r="H2311">
        <v>9120</v>
      </c>
      <c r="I2311" t="s">
        <v>2607</v>
      </c>
    </row>
    <row r="2312" spans="1:9" x14ac:dyDescent="0.25">
      <c r="A2312" s="91">
        <v>46188</v>
      </c>
      <c r="B2312" t="s">
        <v>693</v>
      </c>
      <c r="C2312" t="s">
        <v>4731</v>
      </c>
      <c r="D2312">
        <v>910326</v>
      </c>
      <c r="E2312" t="s">
        <v>1583</v>
      </c>
      <c r="F2312">
        <v>9120</v>
      </c>
      <c r="G2312" t="s">
        <v>619</v>
      </c>
      <c r="H2312">
        <v>9120</v>
      </c>
      <c r="I2312" t="s">
        <v>2607</v>
      </c>
    </row>
    <row r="2313" spans="1:9" x14ac:dyDescent="0.25">
      <c r="A2313" s="91">
        <v>46188</v>
      </c>
      <c r="B2313" t="s">
        <v>685</v>
      </c>
      <c r="C2313" t="s">
        <v>4732</v>
      </c>
      <c r="D2313">
        <v>7374</v>
      </c>
      <c r="E2313" t="s">
        <v>785</v>
      </c>
      <c r="F2313">
        <v>25000</v>
      </c>
      <c r="G2313" t="s">
        <v>622</v>
      </c>
      <c r="H2313">
        <v>25000</v>
      </c>
      <c r="I2313" t="s">
        <v>2633</v>
      </c>
    </row>
    <row r="2314" spans="1:9" x14ac:dyDescent="0.25">
      <c r="A2314" s="91">
        <v>46188</v>
      </c>
      <c r="B2314" t="s">
        <v>2608</v>
      </c>
      <c r="C2314" t="s">
        <v>4733</v>
      </c>
      <c r="D2314">
        <v>8013210</v>
      </c>
      <c r="E2314" t="s">
        <v>4734</v>
      </c>
      <c r="F2314">
        <v>3750</v>
      </c>
      <c r="G2314" t="s">
        <v>619</v>
      </c>
      <c r="H2314">
        <v>3750</v>
      </c>
      <c r="I2314" t="s">
        <v>2607</v>
      </c>
    </row>
    <row r="2315" spans="1:9" x14ac:dyDescent="0.25">
      <c r="A2315" s="91">
        <v>46189</v>
      </c>
      <c r="B2315" t="s">
        <v>685</v>
      </c>
      <c r="C2315" t="s">
        <v>4735</v>
      </c>
      <c r="D2315">
        <v>7373</v>
      </c>
      <c r="E2315" t="s">
        <v>783</v>
      </c>
      <c r="F2315">
        <v>25000</v>
      </c>
      <c r="G2315" t="s">
        <v>622</v>
      </c>
      <c r="H2315">
        <v>25000</v>
      </c>
      <c r="I2315" t="s">
        <v>2633</v>
      </c>
    </row>
    <row r="2316" spans="1:9" x14ac:dyDescent="0.25">
      <c r="A2316" s="91">
        <v>46189</v>
      </c>
      <c r="B2316" t="s">
        <v>682</v>
      </c>
      <c r="C2316" t="s">
        <v>4736</v>
      </c>
      <c r="D2316" t="s">
        <v>806</v>
      </c>
      <c r="E2316" t="s">
        <v>807</v>
      </c>
      <c r="F2316">
        <v>28000</v>
      </c>
      <c r="G2316" t="s">
        <v>622</v>
      </c>
      <c r="H2316">
        <v>28000</v>
      </c>
      <c r="I2316" t="s">
        <v>2633</v>
      </c>
    </row>
    <row r="2317" spans="1:9" x14ac:dyDescent="0.25">
      <c r="A2317" s="91">
        <v>46189</v>
      </c>
      <c r="B2317" t="s">
        <v>2608</v>
      </c>
      <c r="C2317" t="s">
        <v>4737</v>
      </c>
      <c r="D2317">
        <v>8013255</v>
      </c>
      <c r="E2317" t="s">
        <v>3727</v>
      </c>
      <c r="F2317">
        <v>3750</v>
      </c>
      <c r="G2317" t="s">
        <v>619</v>
      </c>
      <c r="H2317">
        <v>3750</v>
      </c>
      <c r="I2317" t="s">
        <v>2607</v>
      </c>
    </row>
    <row r="2318" spans="1:9" x14ac:dyDescent="0.25">
      <c r="A2318" s="91">
        <v>46189</v>
      </c>
      <c r="B2318">
        <v>7002</v>
      </c>
      <c r="C2318" t="s">
        <v>4738</v>
      </c>
      <c r="D2318">
        <v>931102</v>
      </c>
      <c r="E2318" t="s">
        <v>2660</v>
      </c>
      <c r="F2318">
        <v>500</v>
      </c>
      <c r="G2318" t="s">
        <v>619</v>
      </c>
      <c r="H2318">
        <v>500</v>
      </c>
      <c r="I2318" t="s">
        <v>2607</v>
      </c>
    </row>
    <row r="2319" spans="1:9" x14ac:dyDescent="0.25">
      <c r="A2319" s="91">
        <v>46189</v>
      </c>
      <c r="B2319" t="s">
        <v>688</v>
      </c>
      <c r="C2319" t="s">
        <v>4739</v>
      </c>
      <c r="D2319">
        <v>7741</v>
      </c>
      <c r="E2319" t="s">
        <v>690</v>
      </c>
      <c r="F2319">
        <v>68000</v>
      </c>
      <c r="G2319" t="s">
        <v>622</v>
      </c>
      <c r="H2319">
        <v>68000</v>
      </c>
      <c r="I2319" t="s">
        <v>2633</v>
      </c>
    </row>
    <row r="2320" spans="1:9" x14ac:dyDescent="0.25">
      <c r="A2320" s="91">
        <v>46190</v>
      </c>
      <c r="B2320">
        <v>7002</v>
      </c>
      <c r="C2320" t="s">
        <v>4740</v>
      </c>
      <c r="D2320">
        <v>931102</v>
      </c>
      <c r="E2320" t="s">
        <v>2660</v>
      </c>
      <c r="F2320">
        <v>500</v>
      </c>
      <c r="G2320" t="s">
        <v>619</v>
      </c>
      <c r="H2320">
        <v>500</v>
      </c>
      <c r="I2320" t="s">
        <v>2607</v>
      </c>
    </row>
    <row r="2321" spans="1:9" x14ac:dyDescent="0.25">
      <c r="A2321" s="91">
        <v>46190</v>
      </c>
      <c r="B2321" t="s">
        <v>688</v>
      </c>
      <c r="C2321" t="s">
        <v>4741</v>
      </c>
      <c r="D2321">
        <v>7741</v>
      </c>
      <c r="E2321" t="s">
        <v>690</v>
      </c>
      <c r="F2321">
        <v>68000</v>
      </c>
      <c r="G2321" t="s">
        <v>622</v>
      </c>
      <c r="H2321">
        <v>68000</v>
      </c>
      <c r="I2321" t="s">
        <v>2633</v>
      </c>
    </row>
    <row r="2322" spans="1:9" x14ac:dyDescent="0.25">
      <c r="A2322" s="91">
        <v>46190</v>
      </c>
      <c r="B2322" t="s">
        <v>682</v>
      </c>
      <c r="C2322" t="s">
        <v>4742</v>
      </c>
      <c r="D2322">
        <v>7281</v>
      </c>
      <c r="E2322" t="s">
        <v>739</v>
      </c>
      <c r="F2322">
        <v>28000</v>
      </c>
      <c r="G2322" t="s">
        <v>622</v>
      </c>
      <c r="H2322">
        <v>28000</v>
      </c>
      <c r="I2322" t="s">
        <v>2633</v>
      </c>
    </row>
    <row r="2323" spans="1:9" x14ac:dyDescent="0.25">
      <c r="A2323" s="91">
        <v>46190</v>
      </c>
      <c r="B2323" t="s">
        <v>715</v>
      </c>
      <c r="C2323" t="s">
        <v>4743</v>
      </c>
      <c r="D2323">
        <v>7185</v>
      </c>
      <c r="E2323" t="s">
        <v>717</v>
      </c>
      <c r="F2323">
        <v>55000</v>
      </c>
      <c r="G2323" t="s">
        <v>622</v>
      </c>
      <c r="H2323">
        <v>55000</v>
      </c>
      <c r="I2323" t="s">
        <v>2633</v>
      </c>
    </row>
    <row r="2324" spans="1:9" x14ac:dyDescent="0.25">
      <c r="A2324" s="91">
        <v>46191</v>
      </c>
      <c r="B2324" t="s">
        <v>685</v>
      </c>
      <c r="C2324" t="s">
        <v>4744</v>
      </c>
      <c r="D2324">
        <v>7374</v>
      </c>
      <c r="E2324" t="s">
        <v>785</v>
      </c>
      <c r="F2324">
        <v>25000</v>
      </c>
      <c r="G2324" t="s">
        <v>622</v>
      </c>
      <c r="H2324">
        <v>25000</v>
      </c>
      <c r="I2324" t="s">
        <v>2633</v>
      </c>
    </row>
    <row r="2325" spans="1:9" x14ac:dyDescent="0.25">
      <c r="A2325" s="91">
        <v>46191</v>
      </c>
      <c r="B2325" t="s">
        <v>693</v>
      </c>
      <c r="C2325" t="s">
        <v>4745</v>
      </c>
      <c r="D2325">
        <v>910526</v>
      </c>
      <c r="E2325" t="s">
        <v>1602</v>
      </c>
      <c r="F2325">
        <v>9120</v>
      </c>
      <c r="G2325" t="s">
        <v>619</v>
      </c>
      <c r="H2325">
        <v>9120</v>
      </c>
      <c r="I2325" t="s">
        <v>2607</v>
      </c>
    </row>
    <row r="2326" spans="1:9" x14ac:dyDescent="0.25">
      <c r="A2326" s="91">
        <v>46191</v>
      </c>
      <c r="B2326" t="s">
        <v>688</v>
      </c>
      <c r="C2326" t="s">
        <v>4746</v>
      </c>
      <c r="D2326">
        <v>7741</v>
      </c>
      <c r="E2326" t="s">
        <v>690</v>
      </c>
      <c r="F2326">
        <v>68000</v>
      </c>
      <c r="G2326" t="s">
        <v>622</v>
      </c>
      <c r="H2326">
        <v>68000</v>
      </c>
      <c r="I2326" t="s">
        <v>2633</v>
      </c>
    </row>
    <row r="2327" spans="1:9" x14ac:dyDescent="0.25">
      <c r="A2327" s="91">
        <v>46191</v>
      </c>
      <c r="B2327" t="s">
        <v>693</v>
      </c>
      <c r="C2327" t="s">
        <v>4747</v>
      </c>
      <c r="D2327">
        <v>910326</v>
      </c>
      <c r="E2327" t="s">
        <v>1583</v>
      </c>
      <c r="F2327">
        <v>9120</v>
      </c>
      <c r="G2327" t="s">
        <v>619</v>
      </c>
      <c r="H2327">
        <v>9120</v>
      </c>
      <c r="I2327" t="s">
        <v>2607</v>
      </c>
    </row>
    <row r="2328" spans="1:9" x14ac:dyDescent="0.25">
      <c r="A2328" s="91">
        <v>46195</v>
      </c>
      <c r="B2328" t="s">
        <v>688</v>
      </c>
      <c r="C2328" t="s">
        <v>4748</v>
      </c>
      <c r="D2328">
        <v>7746</v>
      </c>
      <c r="E2328" t="s">
        <v>692</v>
      </c>
      <c r="F2328">
        <v>68000</v>
      </c>
      <c r="G2328" t="s">
        <v>622</v>
      </c>
      <c r="H2328">
        <v>68000</v>
      </c>
      <c r="I2328" t="s">
        <v>2633</v>
      </c>
    </row>
    <row r="2329" spans="1:9" x14ac:dyDescent="0.25">
      <c r="A2329" s="91">
        <v>46195</v>
      </c>
      <c r="B2329" t="s">
        <v>682</v>
      </c>
      <c r="C2329" t="s">
        <v>4749</v>
      </c>
      <c r="D2329">
        <v>7279</v>
      </c>
      <c r="E2329" t="s">
        <v>754</v>
      </c>
      <c r="F2329">
        <v>29000</v>
      </c>
      <c r="G2329" t="s">
        <v>622</v>
      </c>
      <c r="H2329">
        <v>29000</v>
      </c>
      <c r="I2329" t="s">
        <v>2633</v>
      </c>
    </row>
    <row r="2330" spans="1:9" x14ac:dyDescent="0.25">
      <c r="A2330" s="91">
        <v>46195</v>
      </c>
      <c r="B2330" t="s">
        <v>715</v>
      </c>
      <c r="C2330" t="s">
        <v>4750</v>
      </c>
      <c r="D2330">
        <v>7193</v>
      </c>
      <c r="E2330" t="s">
        <v>811</v>
      </c>
      <c r="F2330">
        <v>55000</v>
      </c>
      <c r="G2330" t="s">
        <v>622</v>
      </c>
      <c r="H2330">
        <v>55000</v>
      </c>
      <c r="I2330" t="s">
        <v>2633</v>
      </c>
    </row>
    <row r="2331" spans="1:9" x14ac:dyDescent="0.25">
      <c r="A2331" s="91">
        <v>46195</v>
      </c>
      <c r="B2331" t="s">
        <v>2608</v>
      </c>
      <c r="C2331" t="s">
        <v>4751</v>
      </c>
      <c r="D2331">
        <v>7018</v>
      </c>
      <c r="E2331" t="s">
        <v>1077</v>
      </c>
      <c r="F2331">
        <v>105000</v>
      </c>
      <c r="G2331" t="s">
        <v>622</v>
      </c>
      <c r="H2331">
        <v>105000</v>
      </c>
      <c r="I2331" t="s">
        <v>2609</v>
      </c>
    </row>
    <row r="2332" spans="1:9" x14ac:dyDescent="0.25">
      <c r="A2332" s="91">
        <v>46195</v>
      </c>
      <c r="B2332" t="s">
        <v>2614</v>
      </c>
      <c r="C2332" t="s">
        <v>4752</v>
      </c>
      <c r="D2332">
        <v>900400</v>
      </c>
      <c r="E2332" t="s">
        <v>2901</v>
      </c>
      <c r="F2332">
        <v>135</v>
      </c>
      <c r="G2332" t="s">
        <v>619</v>
      </c>
      <c r="H2332">
        <v>135</v>
      </c>
      <c r="I2332" t="s">
        <v>2607</v>
      </c>
    </row>
    <row r="2333" spans="1:9" x14ac:dyDescent="0.25">
      <c r="A2333" s="91">
        <v>46196</v>
      </c>
      <c r="B2333" t="s">
        <v>2606</v>
      </c>
      <c r="C2333" t="s">
        <v>4753</v>
      </c>
      <c r="D2333">
        <v>7019</v>
      </c>
      <c r="E2333" t="s">
        <v>1108</v>
      </c>
      <c r="F2333">
        <v>95000</v>
      </c>
      <c r="G2333" t="s">
        <v>622</v>
      </c>
      <c r="H2333">
        <v>95000</v>
      </c>
      <c r="I2333" t="s">
        <v>2609</v>
      </c>
    </row>
    <row r="2334" spans="1:9" x14ac:dyDescent="0.25">
      <c r="A2334" s="91">
        <v>46196</v>
      </c>
      <c r="B2334" t="s">
        <v>685</v>
      </c>
      <c r="C2334" t="s">
        <v>4754</v>
      </c>
      <c r="D2334">
        <v>7374</v>
      </c>
      <c r="E2334" t="s">
        <v>785</v>
      </c>
      <c r="F2334">
        <v>25000</v>
      </c>
      <c r="G2334" t="s">
        <v>622</v>
      </c>
      <c r="H2334">
        <v>25000</v>
      </c>
      <c r="I2334" t="s">
        <v>2633</v>
      </c>
    </row>
    <row r="2335" spans="1:9" x14ac:dyDescent="0.25">
      <c r="A2335" s="91">
        <v>46196</v>
      </c>
      <c r="B2335" t="s">
        <v>2614</v>
      </c>
      <c r="C2335" t="s">
        <v>4755</v>
      </c>
      <c r="D2335">
        <v>900400</v>
      </c>
      <c r="E2335" t="s">
        <v>2901</v>
      </c>
      <c r="F2335">
        <v>135</v>
      </c>
      <c r="G2335" t="s">
        <v>619</v>
      </c>
      <c r="H2335">
        <v>135</v>
      </c>
      <c r="I2335" t="s">
        <v>2607</v>
      </c>
    </row>
    <row r="2336" spans="1:9" x14ac:dyDescent="0.25">
      <c r="A2336" s="91">
        <v>46196</v>
      </c>
      <c r="B2336" t="s">
        <v>682</v>
      </c>
      <c r="C2336" t="s">
        <v>4756</v>
      </c>
      <c r="D2336">
        <v>7302</v>
      </c>
      <c r="E2336" t="s">
        <v>768</v>
      </c>
      <c r="F2336">
        <v>27000</v>
      </c>
      <c r="G2336" t="s">
        <v>622</v>
      </c>
      <c r="H2336">
        <v>27000</v>
      </c>
      <c r="I2336" t="s">
        <v>2633</v>
      </c>
    </row>
    <row r="2337" spans="1:9" x14ac:dyDescent="0.25">
      <c r="A2337" s="91">
        <v>46196</v>
      </c>
      <c r="B2337" t="s">
        <v>688</v>
      </c>
      <c r="C2337" t="s">
        <v>4757</v>
      </c>
      <c r="D2337">
        <v>7746</v>
      </c>
      <c r="E2337" t="s">
        <v>692</v>
      </c>
      <c r="F2337">
        <v>68000</v>
      </c>
      <c r="G2337" t="s">
        <v>622</v>
      </c>
      <c r="H2337">
        <v>68000</v>
      </c>
      <c r="I2337" t="s">
        <v>2633</v>
      </c>
    </row>
    <row r="2338" spans="1:9" x14ac:dyDescent="0.25">
      <c r="A2338" s="91">
        <v>46196</v>
      </c>
      <c r="B2338" t="s">
        <v>679</v>
      </c>
      <c r="C2338" t="s">
        <v>4758</v>
      </c>
      <c r="D2338">
        <v>7213</v>
      </c>
      <c r="E2338" t="s">
        <v>719</v>
      </c>
      <c r="F2338">
        <v>85000</v>
      </c>
      <c r="G2338" t="s">
        <v>622</v>
      </c>
      <c r="H2338">
        <v>85000</v>
      </c>
      <c r="I2338" t="s">
        <v>2633</v>
      </c>
    </row>
    <row r="2339" spans="1:9" x14ac:dyDescent="0.25">
      <c r="A2339" s="91">
        <v>46197</v>
      </c>
      <c r="B2339" t="s">
        <v>688</v>
      </c>
      <c r="C2339" t="s">
        <v>4759</v>
      </c>
      <c r="D2339">
        <v>7746</v>
      </c>
      <c r="E2339" t="s">
        <v>692</v>
      </c>
      <c r="F2339">
        <v>68000</v>
      </c>
      <c r="G2339" t="s">
        <v>622</v>
      </c>
      <c r="H2339">
        <v>68000</v>
      </c>
      <c r="I2339" t="s">
        <v>2633</v>
      </c>
    </row>
    <row r="2340" spans="1:9" x14ac:dyDescent="0.25">
      <c r="A2340" s="91">
        <v>46197</v>
      </c>
      <c r="B2340" t="s">
        <v>682</v>
      </c>
      <c r="C2340" t="s">
        <v>4760</v>
      </c>
      <c r="D2340">
        <v>7552</v>
      </c>
      <c r="E2340" t="s">
        <v>2752</v>
      </c>
      <c r="F2340">
        <v>24000</v>
      </c>
      <c r="G2340" t="s">
        <v>622</v>
      </c>
      <c r="H2340">
        <v>24000</v>
      </c>
      <c r="I2340" t="s">
        <v>2633</v>
      </c>
    </row>
    <row r="2341" spans="1:9" x14ac:dyDescent="0.25">
      <c r="A2341" s="91">
        <v>46197</v>
      </c>
      <c r="B2341" t="s">
        <v>685</v>
      </c>
      <c r="C2341" t="s">
        <v>4761</v>
      </c>
      <c r="D2341">
        <v>7374</v>
      </c>
      <c r="E2341" t="s">
        <v>785</v>
      </c>
      <c r="F2341">
        <v>25000</v>
      </c>
      <c r="G2341" t="s">
        <v>622</v>
      </c>
      <c r="H2341">
        <v>25000</v>
      </c>
      <c r="I2341" t="s">
        <v>2633</v>
      </c>
    </row>
    <row r="2342" spans="1:9" x14ac:dyDescent="0.25">
      <c r="A2342" s="91">
        <v>46198</v>
      </c>
      <c r="B2342" t="s">
        <v>688</v>
      </c>
      <c r="C2342" t="s">
        <v>4762</v>
      </c>
      <c r="D2342">
        <v>7746</v>
      </c>
      <c r="E2342" t="s">
        <v>692</v>
      </c>
      <c r="F2342">
        <v>68000</v>
      </c>
      <c r="G2342" t="s">
        <v>622</v>
      </c>
      <c r="H2342">
        <v>68000</v>
      </c>
      <c r="I2342" t="s">
        <v>2633</v>
      </c>
    </row>
    <row r="2343" spans="1:9" x14ac:dyDescent="0.25">
      <c r="A2343" s="91">
        <v>46198</v>
      </c>
      <c r="B2343" t="s">
        <v>693</v>
      </c>
      <c r="C2343" t="s">
        <v>4763</v>
      </c>
      <c r="D2343">
        <v>910526</v>
      </c>
      <c r="E2343" t="s">
        <v>1602</v>
      </c>
      <c r="F2343">
        <v>9120</v>
      </c>
      <c r="G2343" t="s">
        <v>619</v>
      </c>
      <c r="H2343">
        <v>9120</v>
      </c>
      <c r="I2343" t="s">
        <v>2607</v>
      </c>
    </row>
    <row r="2344" spans="1:9" x14ac:dyDescent="0.25">
      <c r="A2344" s="91">
        <v>46198</v>
      </c>
      <c r="B2344" t="s">
        <v>693</v>
      </c>
      <c r="C2344" t="s">
        <v>4764</v>
      </c>
      <c r="D2344">
        <v>910326</v>
      </c>
      <c r="E2344" t="s">
        <v>1583</v>
      </c>
      <c r="F2344">
        <v>9120</v>
      </c>
      <c r="G2344" t="s">
        <v>619</v>
      </c>
      <c r="H2344">
        <v>9120</v>
      </c>
      <c r="I2344" t="s">
        <v>2607</v>
      </c>
    </row>
    <row r="2345" spans="1:9" x14ac:dyDescent="0.25">
      <c r="A2345" s="91">
        <v>46198</v>
      </c>
      <c r="B2345" t="s">
        <v>685</v>
      </c>
      <c r="C2345" t="s">
        <v>4765</v>
      </c>
      <c r="D2345">
        <v>7373</v>
      </c>
      <c r="E2345" t="s">
        <v>783</v>
      </c>
      <c r="F2345">
        <v>25000</v>
      </c>
      <c r="G2345" t="s">
        <v>622</v>
      </c>
      <c r="H2345">
        <v>25000</v>
      </c>
      <c r="I2345" t="s">
        <v>2633</v>
      </c>
    </row>
    <row r="2346" spans="1:9" x14ac:dyDescent="0.25">
      <c r="A2346" s="91">
        <v>46202</v>
      </c>
      <c r="B2346" t="s">
        <v>715</v>
      </c>
      <c r="C2346" t="s">
        <v>4766</v>
      </c>
      <c r="D2346">
        <v>7185</v>
      </c>
      <c r="E2346" t="s">
        <v>717</v>
      </c>
      <c r="F2346">
        <v>55000</v>
      </c>
      <c r="G2346" t="s">
        <v>622</v>
      </c>
      <c r="H2346">
        <v>55000</v>
      </c>
      <c r="I2346" t="s">
        <v>2633</v>
      </c>
    </row>
    <row r="2347" spans="1:9" x14ac:dyDescent="0.25">
      <c r="A2347" s="91">
        <v>46202</v>
      </c>
      <c r="B2347" t="s">
        <v>688</v>
      </c>
      <c r="C2347" t="s">
        <v>4767</v>
      </c>
      <c r="D2347">
        <v>7741</v>
      </c>
      <c r="E2347" t="s">
        <v>690</v>
      </c>
      <c r="F2347">
        <v>68000</v>
      </c>
      <c r="G2347" t="s">
        <v>622</v>
      </c>
      <c r="H2347">
        <v>68000</v>
      </c>
      <c r="I2347" t="s">
        <v>2633</v>
      </c>
    </row>
    <row r="2348" spans="1:9" x14ac:dyDescent="0.25">
      <c r="A2348" s="91">
        <v>46203</v>
      </c>
      <c r="B2348" t="s">
        <v>688</v>
      </c>
      <c r="C2348" t="s">
        <v>4768</v>
      </c>
      <c r="D2348">
        <v>7741</v>
      </c>
      <c r="E2348" t="s">
        <v>690</v>
      </c>
      <c r="F2348">
        <v>68000</v>
      </c>
      <c r="G2348" t="s">
        <v>622</v>
      </c>
      <c r="H2348">
        <v>68000</v>
      </c>
      <c r="I2348" t="s">
        <v>2633</v>
      </c>
    </row>
    <row r="2349" spans="1:9" x14ac:dyDescent="0.25">
      <c r="A2349" s="91">
        <v>46203</v>
      </c>
      <c r="B2349" t="s">
        <v>682</v>
      </c>
      <c r="C2349" t="s">
        <v>4769</v>
      </c>
      <c r="D2349" t="s">
        <v>806</v>
      </c>
      <c r="E2349" t="s">
        <v>807</v>
      </c>
      <c r="F2349">
        <v>28000</v>
      </c>
      <c r="G2349" t="s">
        <v>622</v>
      </c>
      <c r="H2349">
        <v>28000</v>
      </c>
      <c r="I2349" t="s">
        <v>2633</v>
      </c>
    </row>
    <row r="2350" spans="1:9" x14ac:dyDescent="0.25">
      <c r="A2350" s="91">
        <v>46203</v>
      </c>
      <c r="B2350" t="s">
        <v>2608</v>
      </c>
      <c r="C2350" t="s">
        <v>4770</v>
      </c>
      <c r="D2350">
        <v>7121</v>
      </c>
      <c r="E2350" t="s">
        <v>635</v>
      </c>
      <c r="F2350">
        <v>95000</v>
      </c>
      <c r="G2350" t="s">
        <v>622</v>
      </c>
      <c r="H2350">
        <v>95000</v>
      </c>
      <c r="I2350" t="s">
        <v>2609</v>
      </c>
    </row>
    <row r="2351" spans="1:9" x14ac:dyDescent="0.25">
      <c r="A2351" s="91">
        <v>46204</v>
      </c>
      <c r="B2351" t="s">
        <v>688</v>
      </c>
      <c r="C2351" t="s">
        <v>4771</v>
      </c>
      <c r="D2351">
        <v>7741</v>
      </c>
      <c r="E2351" t="s">
        <v>690</v>
      </c>
      <c r="F2351">
        <v>68000</v>
      </c>
      <c r="G2351" t="s">
        <v>622</v>
      </c>
      <c r="H2351">
        <v>68000</v>
      </c>
      <c r="I2351" t="s">
        <v>2633</v>
      </c>
    </row>
    <row r="2352" spans="1:9" x14ac:dyDescent="0.25">
      <c r="A2352" s="91">
        <v>46204</v>
      </c>
      <c r="B2352" t="s">
        <v>682</v>
      </c>
      <c r="C2352" t="s">
        <v>4772</v>
      </c>
      <c r="D2352" t="s">
        <v>806</v>
      </c>
      <c r="E2352" t="s">
        <v>807</v>
      </c>
      <c r="F2352">
        <v>28000</v>
      </c>
      <c r="G2352" t="s">
        <v>622</v>
      </c>
      <c r="H2352">
        <v>28000</v>
      </c>
      <c r="I2352" t="s">
        <v>2633</v>
      </c>
    </row>
    <row r="2353" spans="1:9" x14ac:dyDescent="0.25">
      <c r="A2353" s="91">
        <v>46204</v>
      </c>
      <c r="B2353" t="s">
        <v>679</v>
      </c>
      <c r="C2353" t="s">
        <v>4773</v>
      </c>
      <c r="D2353">
        <v>7212</v>
      </c>
      <c r="E2353" t="s">
        <v>681</v>
      </c>
      <c r="F2353">
        <v>85000</v>
      </c>
      <c r="G2353" t="s">
        <v>622</v>
      </c>
      <c r="H2353">
        <v>85000</v>
      </c>
      <c r="I2353" t="s">
        <v>2633</v>
      </c>
    </row>
    <row r="2354" spans="1:9" x14ac:dyDescent="0.25">
      <c r="A2354" s="91">
        <v>46204</v>
      </c>
      <c r="B2354" t="s">
        <v>685</v>
      </c>
      <c r="C2354" t="s">
        <v>4774</v>
      </c>
      <c r="D2354">
        <v>7374</v>
      </c>
      <c r="E2354" t="s">
        <v>785</v>
      </c>
      <c r="F2354">
        <v>25000</v>
      </c>
      <c r="G2354" t="s">
        <v>622</v>
      </c>
      <c r="H2354">
        <v>25000</v>
      </c>
      <c r="I2354" t="s">
        <v>2633</v>
      </c>
    </row>
    <row r="2355" spans="1:9" x14ac:dyDescent="0.25">
      <c r="A2355" s="91">
        <v>46205</v>
      </c>
      <c r="B2355" t="s">
        <v>688</v>
      </c>
      <c r="C2355" t="s">
        <v>4775</v>
      </c>
      <c r="D2355">
        <v>7741</v>
      </c>
      <c r="E2355" t="s">
        <v>690</v>
      </c>
      <c r="F2355">
        <v>68000</v>
      </c>
      <c r="G2355" t="s">
        <v>622</v>
      </c>
      <c r="H2355">
        <v>68000</v>
      </c>
      <c r="I2355" t="s">
        <v>2633</v>
      </c>
    </row>
    <row r="2356" spans="1:9" x14ac:dyDescent="0.25">
      <c r="A2356" s="91">
        <v>46205</v>
      </c>
      <c r="B2356" t="s">
        <v>685</v>
      </c>
      <c r="C2356" t="s">
        <v>4776</v>
      </c>
      <c r="D2356">
        <v>7374</v>
      </c>
      <c r="E2356" t="s">
        <v>785</v>
      </c>
      <c r="F2356">
        <v>25000</v>
      </c>
      <c r="G2356" t="s">
        <v>622</v>
      </c>
      <c r="H2356">
        <v>25000</v>
      </c>
      <c r="I2356" t="s">
        <v>2633</v>
      </c>
    </row>
    <row r="2357" spans="1:9" x14ac:dyDescent="0.25">
      <c r="A2357" s="91">
        <v>46207</v>
      </c>
      <c r="B2357" t="s">
        <v>2606</v>
      </c>
      <c r="C2357" t="s">
        <v>4777</v>
      </c>
      <c r="D2357" t="s">
        <v>4574</v>
      </c>
      <c r="E2357" t="s">
        <v>4575</v>
      </c>
      <c r="F2357">
        <v>12500</v>
      </c>
      <c r="G2357" t="s">
        <v>619</v>
      </c>
      <c r="H2357">
        <v>12500</v>
      </c>
      <c r="I2357" t="s">
        <v>2607</v>
      </c>
    </row>
    <row r="2358" spans="1:9" x14ac:dyDescent="0.25">
      <c r="A2358" s="91">
        <v>46207</v>
      </c>
      <c r="B2358" t="s">
        <v>2608</v>
      </c>
      <c r="C2358" t="s">
        <v>4778</v>
      </c>
      <c r="D2358">
        <v>85132</v>
      </c>
      <c r="E2358" t="s">
        <v>3625</v>
      </c>
      <c r="F2358">
        <v>14585</v>
      </c>
      <c r="G2358" t="s">
        <v>619</v>
      </c>
      <c r="H2358">
        <v>14585</v>
      </c>
      <c r="I2358" t="s">
        <v>2607</v>
      </c>
    </row>
    <row r="2359" spans="1:9" x14ac:dyDescent="0.25">
      <c r="A2359" s="91">
        <v>46207</v>
      </c>
      <c r="B2359" t="s">
        <v>2606</v>
      </c>
      <c r="C2359" t="s">
        <v>4779</v>
      </c>
      <c r="D2359" t="s">
        <v>4574</v>
      </c>
      <c r="E2359" t="s">
        <v>4575</v>
      </c>
      <c r="F2359">
        <v>12500</v>
      </c>
      <c r="G2359" t="s">
        <v>619</v>
      </c>
      <c r="H2359">
        <v>12500</v>
      </c>
      <c r="I2359" t="s">
        <v>2607</v>
      </c>
    </row>
    <row r="2360" spans="1:9" x14ac:dyDescent="0.25">
      <c r="A2360" s="91">
        <v>46207</v>
      </c>
      <c r="B2360" t="s">
        <v>2606</v>
      </c>
      <c r="C2360" t="s">
        <v>4780</v>
      </c>
      <c r="D2360" t="s">
        <v>4781</v>
      </c>
      <c r="E2360" t="s">
        <v>4782</v>
      </c>
      <c r="F2360">
        <v>12500</v>
      </c>
      <c r="G2360" t="s">
        <v>619</v>
      </c>
      <c r="H2360">
        <v>12500</v>
      </c>
      <c r="I2360" t="s">
        <v>2607</v>
      </c>
    </row>
    <row r="2361" spans="1:9" x14ac:dyDescent="0.25">
      <c r="A2361" s="91">
        <v>46207</v>
      </c>
      <c r="B2361" t="s">
        <v>2606</v>
      </c>
      <c r="C2361" t="s">
        <v>4783</v>
      </c>
      <c r="D2361" t="s">
        <v>4784</v>
      </c>
      <c r="E2361" t="s">
        <v>4785</v>
      </c>
      <c r="F2361">
        <v>12500</v>
      </c>
      <c r="G2361" t="s">
        <v>619</v>
      </c>
      <c r="H2361">
        <v>12500</v>
      </c>
      <c r="I2361" t="s">
        <v>2607</v>
      </c>
    </row>
    <row r="2362" spans="1:9" x14ac:dyDescent="0.25">
      <c r="A2362" s="91">
        <v>46207</v>
      </c>
      <c r="B2362" t="s">
        <v>2606</v>
      </c>
      <c r="C2362" t="s">
        <v>4786</v>
      </c>
      <c r="D2362" t="s">
        <v>4787</v>
      </c>
      <c r="E2362" t="s">
        <v>4788</v>
      </c>
      <c r="F2362">
        <v>12500</v>
      </c>
      <c r="G2362" t="s">
        <v>619</v>
      </c>
      <c r="H2362">
        <v>12500</v>
      </c>
      <c r="I2362" t="s">
        <v>2607</v>
      </c>
    </row>
    <row r="2363" spans="1:9" x14ac:dyDescent="0.25">
      <c r="A2363" s="91">
        <v>46209</v>
      </c>
      <c r="B2363" t="s">
        <v>2611</v>
      </c>
      <c r="C2363" t="s">
        <v>4789</v>
      </c>
      <c r="D2363">
        <v>72002</v>
      </c>
      <c r="E2363" t="s">
        <v>2613</v>
      </c>
      <c r="F2363">
        <v>1371</v>
      </c>
      <c r="G2363" t="s">
        <v>619</v>
      </c>
      <c r="H2363">
        <v>1371</v>
      </c>
      <c r="I2363" t="s">
        <v>2607</v>
      </c>
    </row>
    <row r="2364" spans="1:9" x14ac:dyDescent="0.25">
      <c r="A2364" s="91">
        <v>46209</v>
      </c>
      <c r="B2364" t="s">
        <v>2611</v>
      </c>
      <c r="C2364" t="s">
        <v>4790</v>
      </c>
      <c r="D2364">
        <v>72001</v>
      </c>
      <c r="E2364" t="s">
        <v>3056</v>
      </c>
      <c r="F2364">
        <v>1714</v>
      </c>
      <c r="G2364" t="s">
        <v>619</v>
      </c>
      <c r="H2364">
        <v>1714</v>
      </c>
      <c r="I2364" t="s">
        <v>2607</v>
      </c>
    </row>
    <row r="2365" spans="1:9" x14ac:dyDescent="0.25">
      <c r="A2365" s="91">
        <v>46209</v>
      </c>
      <c r="B2365" t="s">
        <v>2606</v>
      </c>
      <c r="C2365" t="s">
        <v>4791</v>
      </c>
      <c r="D2365">
        <v>220125</v>
      </c>
      <c r="E2365" t="s">
        <v>2700</v>
      </c>
      <c r="F2365">
        <v>4250</v>
      </c>
      <c r="G2365" t="s">
        <v>619</v>
      </c>
      <c r="H2365">
        <v>4250</v>
      </c>
      <c r="I2365" t="s">
        <v>2607</v>
      </c>
    </row>
    <row r="2366" spans="1:9" x14ac:dyDescent="0.25">
      <c r="A2366" s="91">
        <v>46209</v>
      </c>
      <c r="B2366" t="s">
        <v>715</v>
      </c>
      <c r="C2366" t="s">
        <v>4792</v>
      </c>
      <c r="D2366">
        <v>7185</v>
      </c>
      <c r="E2366" t="s">
        <v>717</v>
      </c>
      <c r="F2366">
        <v>55000</v>
      </c>
      <c r="G2366" t="s">
        <v>622</v>
      </c>
      <c r="H2366">
        <v>55000</v>
      </c>
      <c r="I2366" t="s">
        <v>2633</v>
      </c>
    </row>
    <row r="2367" spans="1:9" x14ac:dyDescent="0.25">
      <c r="A2367" s="91">
        <v>46209</v>
      </c>
      <c r="B2367" t="s">
        <v>2614</v>
      </c>
      <c r="C2367" t="s">
        <v>4793</v>
      </c>
      <c r="D2367">
        <v>900101</v>
      </c>
      <c r="E2367" t="s">
        <v>2827</v>
      </c>
      <c r="F2367">
        <v>480</v>
      </c>
      <c r="G2367" t="s">
        <v>619</v>
      </c>
      <c r="H2367">
        <v>480</v>
      </c>
      <c r="I2367" t="s">
        <v>2607</v>
      </c>
    </row>
    <row r="2368" spans="1:9" x14ac:dyDescent="0.25">
      <c r="A2368" s="91">
        <v>46209</v>
      </c>
      <c r="B2368" t="s">
        <v>693</v>
      </c>
      <c r="C2368" t="s">
        <v>4794</v>
      </c>
      <c r="D2368">
        <v>910326</v>
      </c>
      <c r="E2368" t="s">
        <v>1583</v>
      </c>
      <c r="F2368">
        <v>9120</v>
      </c>
      <c r="G2368" t="s">
        <v>619</v>
      </c>
      <c r="H2368">
        <v>9120</v>
      </c>
      <c r="I2368" t="s">
        <v>2607</v>
      </c>
    </row>
    <row r="2369" spans="1:9" x14ac:dyDescent="0.25">
      <c r="A2369" s="91">
        <v>46209</v>
      </c>
      <c r="B2369" t="s">
        <v>682</v>
      </c>
      <c r="C2369" t="s">
        <v>4795</v>
      </c>
      <c r="D2369">
        <v>7304</v>
      </c>
      <c r="E2369" t="s">
        <v>770</v>
      </c>
      <c r="F2369">
        <v>27000</v>
      </c>
      <c r="G2369" t="s">
        <v>622</v>
      </c>
      <c r="H2369">
        <v>27000</v>
      </c>
      <c r="I2369" t="s">
        <v>2633</v>
      </c>
    </row>
    <row r="2370" spans="1:9" x14ac:dyDescent="0.25">
      <c r="A2370" s="91">
        <v>46209</v>
      </c>
      <c r="B2370" t="s">
        <v>688</v>
      </c>
      <c r="C2370" t="s">
        <v>4796</v>
      </c>
      <c r="D2370">
        <v>7746</v>
      </c>
      <c r="E2370" t="s">
        <v>692</v>
      </c>
      <c r="F2370">
        <v>68000</v>
      </c>
      <c r="G2370" t="s">
        <v>622</v>
      </c>
      <c r="H2370">
        <v>68000</v>
      </c>
      <c r="I2370" t="s">
        <v>2633</v>
      </c>
    </row>
    <row r="2371" spans="1:9" x14ac:dyDescent="0.25">
      <c r="A2371" s="91">
        <v>46209</v>
      </c>
      <c r="B2371" t="s">
        <v>693</v>
      </c>
      <c r="C2371" t="s">
        <v>4797</v>
      </c>
      <c r="D2371">
        <v>910526</v>
      </c>
      <c r="E2371" t="s">
        <v>1602</v>
      </c>
      <c r="F2371">
        <v>9120</v>
      </c>
      <c r="G2371" t="s">
        <v>619</v>
      </c>
      <c r="H2371">
        <v>9120</v>
      </c>
      <c r="I2371" t="s">
        <v>2607</v>
      </c>
    </row>
    <row r="2372" spans="1:9" x14ac:dyDescent="0.25">
      <c r="A2372" s="91">
        <v>46210</v>
      </c>
      <c r="B2372" t="s">
        <v>2608</v>
      </c>
      <c r="C2372" t="s">
        <v>4798</v>
      </c>
      <c r="D2372">
        <v>79500</v>
      </c>
      <c r="E2372" t="s">
        <v>625</v>
      </c>
      <c r="F2372">
        <v>105000</v>
      </c>
      <c r="G2372" t="s">
        <v>622</v>
      </c>
      <c r="H2372">
        <v>105000</v>
      </c>
      <c r="I2372" t="s">
        <v>2609</v>
      </c>
    </row>
    <row r="2373" spans="1:9" x14ac:dyDescent="0.25">
      <c r="A2373" s="91">
        <v>46210</v>
      </c>
      <c r="B2373" t="s">
        <v>688</v>
      </c>
      <c r="C2373" t="s">
        <v>4799</v>
      </c>
      <c r="D2373">
        <v>7746</v>
      </c>
      <c r="E2373" t="s">
        <v>692</v>
      </c>
      <c r="F2373">
        <v>68000</v>
      </c>
      <c r="G2373" t="s">
        <v>622</v>
      </c>
      <c r="H2373">
        <v>68000</v>
      </c>
      <c r="I2373" t="s">
        <v>2633</v>
      </c>
    </row>
    <row r="2374" spans="1:9" x14ac:dyDescent="0.25">
      <c r="A2374" s="91">
        <v>46210</v>
      </c>
      <c r="B2374" t="s">
        <v>682</v>
      </c>
      <c r="C2374" t="s">
        <v>4800</v>
      </c>
      <c r="D2374">
        <v>7297</v>
      </c>
      <c r="E2374" t="s">
        <v>684</v>
      </c>
      <c r="F2374">
        <v>30000</v>
      </c>
      <c r="G2374" t="s">
        <v>622</v>
      </c>
      <c r="H2374">
        <v>30000</v>
      </c>
      <c r="I2374" t="s">
        <v>2633</v>
      </c>
    </row>
    <row r="2375" spans="1:9" x14ac:dyDescent="0.25">
      <c r="A2375" s="91">
        <v>46210</v>
      </c>
      <c r="B2375" t="s">
        <v>679</v>
      </c>
      <c r="C2375" t="s">
        <v>4801</v>
      </c>
      <c r="D2375">
        <v>7212</v>
      </c>
      <c r="E2375" t="s">
        <v>681</v>
      </c>
      <c r="F2375">
        <v>85000</v>
      </c>
      <c r="G2375" t="s">
        <v>622</v>
      </c>
      <c r="H2375">
        <v>85000</v>
      </c>
      <c r="I2375" t="s">
        <v>2633</v>
      </c>
    </row>
    <row r="2376" spans="1:9" x14ac:dyDescent="0.25">
      <c r="A2376" s="91">
        <v>46210</v>
      </c>
      <c r="B2376" t="s">
        <v>715</v>
      </c>
      <c r="C2376" t="s">
        <v>4802</v>
      </c>
      <c r="D2376">
        <v>7193</v>
      </c>
      <c r="E2376" t="s">
        <v>811</v>
      </c>
      <c r="F2376">
        <v>55000</v>
      </c>
      <c r="G2376" t="s">
        <v>622</v>
      </c>
      <c r="H2376">
        <v>55000</v>
      </c>
      <c r="I2376" t="s">
        <v>2633</v>
      </c>
    </row>
    <row r="2377" spans="1:9" x14ac:dyDescent="0.25">
      <c r="A2377" s="91">
        <v>46210</v>
      </c>
      <c r="B2377" t="s">
        <v>2606</v>
      </c>
      <c r="C2377" t="s">
        <v>4803</v>
      </c>
      <c r="D2377">
        <v>220125</v>
      </c>
      <c r="E2377" t="s">
        <v>2700</v>
      </c>
      <c r="F2377">
        <v>4250</v>
      </c>
      <c r="G2377" t="s">
        <v>619</v>
      </c>
      <c r="H2377">
        <v>4250</v>
      </c>
      <c r="I2377" t="s">
        <v>2607</v>
      </c>
    </row>
    <row r="2378" spans="1:9" x14ac:dyDescent="0.25">
      <c r="A2378" s="91">
        <v>46211</v>
      </c>
      <c r="B2378" t="s">
        <v>685</v>
      </c>
      <c r="C2378" t="s">
        <v>4804</v>
      </c>
      <c r="D2378">
        <v>7372</v>
      </c>
      <c r="E2378" t="s">
        <v>741</v>
      </c>
      <c r="F2378">
        <v>40000</v>
      </c>
      <c r="G2378" t="s">
        <v>622</v>
      </c>
      <c r="H2378">
        <v>40000</v>
      </c>
      <c r="I2378" t="s">
        <v>2633</v>
      </c>
    </row>
    <row r="2379" spans="1:9" x14ac:dyDescent="0.25">
      <c r="A2379" s="91">
        <v>46211</v>
      </c>
      <c r="B2379" t="s">
        <v>2606</v>
      </c>
      <c r="C2379" t="s">
        <v>4805</v>
      </c>
      <c r="D2379">
        <v>220125</v>
      </c>
      <c r="E2379" t="s">
        <v>2700</v>
      </c>
      <c r="F2379">
        <v>4250</v>
      </c>
      <c r="G2379" t="s">
        <v>619</v>
      </c>
      <c r="H2379">
        <v>4250</v>
      </c>
      <c r="I2379" t="s">
        <v>2607</v>
      </c>
    </row>
    <row r="2380" spans="1:9" x14ac:dyDescent="0.25">
      <c r="A2380" s="91">
        <v>46211</v>
      </c>
      <c r="B2380" t="s">
        <v>688</v>
      </c>
      <c r="C2380" t="s">
        <v>4806</v>
      </c>
      <c r="D2380">
        <v>7746</v>
      </c>
      <c r="E2380" t="s">
        <v>692</v>
      </c>
      <c r="F2380">
        <v>68000</v>
      </c>
      <c r="G2380" t="s">
        <v>622</v>
      </c>
      <c r="H2380">
        <v>68000</v>
      </c>
      <c r="I2380" t="s">
        <v>2633</v>
      </c>
    </row>
    <row r="2381" spans="1:9" x14ac:dyDescent="0.25">
      <c r="A2381" s="91">
        <v>46211</v>
      </c>
      <c r="B2381" t="s">
        <v>682</v>
      </c>
      <c r="C2381" t="s">
        <v>4807</v>
      </c>
      <c r="D2381">
        <v>7552</v>
      </c>
      <c r="E2381" t="s">
        <v>2752</v>
      </c>
      <c r="F2381">
        <v>24000</v>
      </c>
      <c r="G2381" t="s">
        <v>622</v>
      </c>
      <c r="H2381">
        <v>24000</v>
      </c>
      <c r="I2381" t="s">
        <v>2633</v>
      </c>
    </row>
    <row r="2382" spans="1:9" x14ac:dyDescent="0.25">
      <c r="A2382" s="91">
        <v>46212</v>
      </c>
      <c r="B2382" t="s">
        <v>688</v>
      </c>
      <c r="C2382" t="s">
        <v>4808</v>
      </c>
      <c r="D2382">
        <v>7746</v>
      </c>
      <c r="E2382" t="s">
        <v>692</v>
      </c>
      <c r="F2382">
        <v>68000</v>
      </c>
      <c r="G2382" t="s">
        <v>622</v>
      </c>
      <c r="H2382">
        <v>68000</v>
      </c>
      <c r="I2382" t="s">
        <v>2633</v>
      </c>
    </row>
    <row r="2383" spans="1:9" x14ac:dyDescent="0.25">
      <c r="A2383" s="91">
        <v>46212</v>
      </c>
      <c r="B2383" t="s">
        <v>685</v>
      </c>
      <c r="C2383" t="s">
        <v>4809</v>
      </c>
      <c r="D2383" t="s">
        <v>722</v>
      </c>
      <c r="E2383" t="s">
        <v>723</v>
      </c>
      <c r="F2383">
        <v>40000</v>
      </c>
      <c r="G2383" t="s">
        <v>622</v>
      </c>
      <c r="H2383">
        <v>40000</v>
      </c>
      <c r="I2383" t="s">
        <v>2633</v>
      </c>
    </row>
    <row r="2384" spans="1:9" x14ac:dyDescent="0.25">
      <c r="A2384" s="91">
        <v>46212</v>
      </c>
      <c r="B2384" t="s">
        <v>2606</v>
      </c>
      <c r="C2384" t="s">
        <v>4810</v>
      </c>
      <c r="D2384">
        <v>220125</v>
      </c>
      <c r="E2384" t="s">
        <v>2700</v>
      </c>
      <c r="F2384">
        <v>4250</v>
      </c>
      <c r="G2384" t="s">
        <v>619</v>
      </c>
      <c r="H2384">
        <v>4250</v>
      </c>
      <c r="I2384" t="s">
        <v>2607</v>
      </c>
    </row>
    <row r="2385" spans="1:9" x14ac:dyDescent="0.25">
      <c r="A2385" s="91">
        <v>46213</v>
      </c>
      <c r="B2385" t="s">
        <v>2606</v>
      </c>
      <c r="C2385" t="s">
        <v>4811</v>
      </c>
      <c r="D2385">
        <v>220125</v>
      </c>
      <c r="E2385" t="s">
        <v>2700</v>
      </c>
      <c r="F2385">
        <v>4250</v>
      </c>
      <c r="G2385" t="s">
        <v>619</v>
      </c>
      <c r="H2385">
        <v>4250</v>
      </c>
      <c r="I2385" t="s">
        <v>2607</v>
      </c>
    </row>
    <row r="2386" spans="1:9" x14ac:dyDescent="0.25">
      <c r="A2386" s="91">
        <v>46213</v>
      </c>
      <c r="B2386" t="s">
        <v>2621</v>
      </c>
      <c r="C2386" t="s">
        <v>4812</v>
      </c>
      <c r="D2386" t="s">
        <v>2626</v>
      </c>
      <c r="E2386" t="s">
        <v>2627</v>
      </c>
      <c r="F2386">
        <v>6733</v>
      </c>
      <c r="G2386" t="s">
        <v>619</v>
      </c>
      <c r="H2386">
        <v>6733</v>
      </c>
      <c r="I2386" t="s">
        <v>2607</v>
      </c>
    </row>
    <row r="2387" spans="1:9" x14ac:dyDescent="0.25">
      <c r="A2387" s="91">
        <v>46213</v>
      </c>
      <c r="B2387" t="s">
        <v>2621</v>
      </c>
      <c r="C2387" t="s">
        <v>4813</v>
      </c>
      <c r="D2387" t="s">
        <v>2713</v>
      </c>
      <c r="E2387" t="s">
        <v>2714</v>
      </c>
      <c r="F2387">
        <v>7377</v>
      </c>
      <c r="G2387" t="s">
        <v>619</v>
      </c>
      <c r="H2387">
        <v>7377</v>
      </c>
      <c r="I2387" t="s">
        <v>2607</v>
      </c>
    </row>
    <row r="2388" spans="1:9" x14ac:dyDescent="0.25">
      <c r="A2388" s="91">
        <v>46213</v>
      </c>
      <c r="B2388" t="s">
        <v>2621</v>
      </c>
      <c r="C2388" t="s">
        <v>4814</v>
      </c>
      <c r="D2388" t="s">
        <v>2910</v>
      </c>
      <c r="E2388" t="s">
        <v>2911</v>
      </c>
      <c r="F2388">
        <v>10485</v>
      </c>
      <c r="G2388" t="s">
        <v>619</v>
      </c>
      <c r="H2388">
        <v>10485</v>
      </c>
      <c r="I2388" t="s">
        <v>2607</v>
      </c>
    </row>
    <row r="2389" spans="1:9" x14ac:dyDescent="0.25">
      <c r="A2389" s="91">
        <v>46213</v>
      </c>
      <c r="B2389" t="s">
        <v>2621</v>
      </c>
      <c r="C2389" t="s">
        <v>4815</v>
      </c>
      <c r="D2389" t="s">
        <v>3785</v>
      </c>
      <c r="E2389" t="s">
        <v>3786</v>
      </c>
      <c r="F2389">
        <v>964</v>
      </c>
      <c r="G2389" t="s">
        <v>619</v>
      </c>
      <c r="H2389">
        <v>964</v>
      </c>
      <c r="I2389" t="s">
        <v>2607</v>
      </c>
    </row>
    <row r="2390" spans="1:9" x14ac:dyDescent="0.25">
      <c r="A2390" s="91">
        <v>46213</v>
      </c>
      <c r="B2390" t="s">
        <v>2621</v>
      </c>
      <c r="C2390" t="s">
        <v>4816</v>
      </c>
      <c r="D2390" t="s">
        <v>2650</v>
      </c>
      <c r="E2390" t="s">
        <v>2651</v>
      </c>
      <c r="F2390">
        <v>1316</v>
      </c>
      <c r="G2390" t="s">
        <v>619</v>
      </c>
      <c r="H2390">
        <v>1316</v>
      </c>
      <c r="I2390" t="s">
        <v>2607</v>
      </c>
    </row>
    <row r="2391" spans="1:9" x14ac:dyDescent="0.25">
      <c r="A2391" s="91">
        <v>46213</v>
      </c>
      <c r="B2391" t="s">
        <v>2621</v>
      </c>
      <c r="C2391" t="s">
        <v>4817</v>
      </c>
      <c r="D2391" t="s">
        <v>2756</v>
      </c>
      <c r="E2391" t="s">
        <v>2757</v>
      </c>
      <c r="F2391">
        <v>19660</v>
      </c>
      <c r="G2391" t="s">
        <v>619</v>
      </c>
      <c r="H2391">
        <v>19660</v>
      </c>
      <c r="I2391" t="s">
        <v>2607</v>
      </c>
    </row>
    <row r="2392" spans="1:9" x14ac:dyDescent="0.25">
      <c r="A2392" s="91">
        <v>46213</v>
      </c>
      <c r="B2392" t="s">
        <v>2621</v>
      </c>
      <c r="C2392" t="s">
        <v>4818</v>
      </c>
      <c r="D2392" t="s">
        <v>2643</v>
      </c>
      <c r="E2392" t="s">
        <v>2644</v>
      </c>
      <c r="F2392">
        <v>433</v>
      </c>
      <c r="G2392" t="s">
        <v>619</v>
      </c>
      <c r="H2392">
        <v>433</v>
      </c>
      <c r="I2392" t="s">
        <v>2607</v>
      </c>
    </row>
    <row r="2393" spans="1:9" x14ac:dyDescent="0.25">
      <c r="A2393" s="91">
        <v>46213</v>
      </c>
      <c r="B2393" t="s">
        <v>2621</v>
      </c>
      <c r="C2393" t="s">
        <v>4819</v>
      </c>
      <c r="D2393" t="s">
        <v>2694</v>
      </c>
      <c r="E2393" t="s">
        <v>2695</v>
      </c>
      <c r="F2393">
        <v>2820</v>
      </c>
      <c r="G2393" t="s">
        <v>619</v>
      </c>
      <c r="H2393">
        <v>2820</v>
      </c>
      <c r="I2393" t="s">
        <v>2607</v>
      </c>
    </row>
    <row r="2394" spans="1:9" x14ac:dyDescent="0.25">
      <c r="A2394" s="91">
        <v>46213</v>
      </c>
      <c r="B2394" t="s">
        <v>2621</v>
      </c>
      <c r="C2394" t="s">
        <v>4820</v>
      </c>
      <c r="D2394" t="s">
        <v>3073</v>
      </c>
      <c r="E2394" t="s">
        <v>3074</v>
      </c>
      <c r="F2394">
        <v>1863</v>
      </c>
      <c r="G2394" t="s">
        <v>619</v>
      </c>
      <c r="H2394">
        <v>1863</v>
      </c>
      <c r="I2394" t="s">
        <v>2607</v>
      </c>
    </row>
    <row r="2395" spans="1:9" x14ac:dyDescent="0.25">
      <c r="A2395" s="91">
        <v>46213</v>
      </c>
      <c r="B2395" t="s">
        <v>2621</v>
      </c>
      <c r="C2395" t="s">
        <v>4821</v>
      </c>
      <c r="D2395" t="s">
        <v>2793</v>
      </c>
      <c r="E2395" t="s">
        <v>2794</v>
      </c>
      <c r="F2395">
        <v>4921</v>
      </c>
      <c r="G2395" t="s">
        <v>619</v>
      </c>
      <c r="H2395">
        <v>4921</v>
      </c>
      <c r="I2395" t="s">
        <v>2607</v>
      </c>
    </row>
    <row r="2396" spans="1:9" x14ac:dyDescent="0.25">
      <c r="A2396" s="91">
        <v>46213</v>
      </c>
      <c r="B2396" t="s">
        <v>2621</v>
      </c>
      <c r="C2396" t="s">
        <v>4822</v>
      </c>
      <c r="D2396" t="s">
        <v>2669</v>
      </c>
      <c r="E2396" t="s">
        <v>2670</v>
      </c>
      <c r="F2396">
        <v>23593</v>
      </c>
      <c r="G2396" t="s">
        <v>619</v>
      </c>
      <c r="H2396">
        <v>23593</v>
      </c>
      <c r="I2396" t="s">
        <v>2607</v>
      </c>
    </row>
    <row r="2397" spans="1:9" x14ac:dyDescent="0.25">
      <c r="A2397" s="91">
        <v>46214</v>
      </c>
      <c r="B2397" t="s">
        <v>2606</v>
      </c>
      <c r="C2397" t="s">
        <v>4823</v>
      </c>
      <c r="D2397">
        <v>220125</v>
      </c>
      <c r="E2397" t="s">
        <v>2700</v>
      </c>
      <c r="F2397">
        <v>4250</v>
      </c>
      <c r="G2397" t="s">
        <v>619</v>
      </c>
      <c r="H2397">
        <v>4250</v>
      </c>
      <c r="I2397" t="s">
        <v>2607</v>
      </c>
    </row>
    <row r="2398" spans="1:9" x14ac:dyDescent="0.25">
      <c r="A2398" s="91">
        <v>46215</v>
      </c>
      <c r="B2398" t="s">
        <v>2610</v>
      </c>
      <c r="C2398" t="s">
        <v>4824</v>
      </c>
      <c r="D2398">
        <v>517660</v>
      </c>
      <c r="E2398" t="s">
        <v>2215</v>
      </c>
      <c r="F2398">
        <v>16667</v>
      </c>
      <c r="G2398" t="s">
        <v>619</v>
      </c>
      <c r="H2398">
        <v>16667</v>
      </c>
      <c r="I2398" t="s">
        <v>2607</v>
      </c>
    </row>
    <row r="2399" spans="1:9" x14ac:dyDescent="0.25">
      <c r="A2399" s="91">
        <v>46215</v>
      </c>
      <c r="B2399" t="s">
        <v>2610</v>
      </c>
      <c r="C2399" t="s">
        <v>4825</v>
      </c>
      <c r="D2399">
        <v>520860</v>
      </c>
      <c r="E2399" t="s">
        <v>1388</v>
      </c>
      <c r="F2399">
        <v>43752</v>
      </c>
      <c r="G2399" t="s">
        <v>619</v>
      </c>
      <c r="H2399">
        <v>43752</v>
      </c>
      <c r="I2399" t="s">
        <v>2607</v>
      </c>
    </row>
    <row r="2400" spans="1:9" x14ac:dyDescent="0.25">
      <c r="A2400" s="91">
        <v>46215</v>
      </c>
      <c r="B2400" t="s">
        <v>2610</v>
      </c>
      <c r="C2400" t="s">
        <v>4826</v>
      </c>
      <c r="D2400">
        <v>517640</v>
      </c>
      <c r="E2400" t="s">
        <v>3137</v>
      </c>
      <c r="F2400">
        <v>16667</v>
      </c>
      <c r="G2400" t="s">
        <v>619</v>
      </c>
      <c r="H2400">
        <v>16667</v>
      </c>
      <c r="I2400" t="s">
        <v>2607</v>
      </c>
    </row>
    <row r="2401" spans="1:9" x14ac:dyDescent="0.25">
      <c r="A2401" s="91">
        <v>46216</v>
      </c>
      <c r="B2401" t="s">
        <v>2680</v>
      </c>
      <c r="C2401" t="s">
        <v>4827</v>
      </c>
      <c r="D2401">
        <v>900403</v>
      </c>
      <c r="E2401" t="s">
        <v>2682</v>
      </c>
      <c r="F2401">
        <v>480</v>
      </c>
      <c r="G2401" t="s">
        <v>619</v>
      </c>
      <c r="H2401">
        <v>480</v>
      </c>
      <c r="I2401" t="s">
        <v>2607</v>
      </c>
    </row>
    <row r="2402" spans="1:9" x14ac:dyDescent="0.25">
      <c r="A2402" s="91">
        <v>46216</v>
      </c>
      <c r="B2402" t="s">
        <v>693</v>
      </c>
      <c r="C2402" t="s">
        <v>4828</v>
      </c>
      <c r="D2402">
        <v>910526</v>
      </c>
      <c r="E2402" t="s">
        <v>1602</v>
      </c>
      <c r="F2402">
        <v>9120</v>
      </c>
      <c r="G2402" t="s">
        <v>619</v>
      </c>
      <c r="H2402">
        <v>9120</v>
      </c>
      <c r="I2402" t="s">
        <v>2607</v>
      </c>
    </row>
    <row r="2403" spans="1:9" x14ac:dyDescent="0.25">
      <c r="A2403" s="91">
        <v>46216</v>
      </c>
      <c r="B2403" t="s">
        <v>682</v>
      </c>
      <c r="C2403" t="s">
        <v>4829</v>
      </c>
      <c r="D2403">
        <v>7281</v>
      </c>
      <c r="E2403" t="s">
        <v>739</v>
      </c>
      <c r="F2403">
        <v>28000</v>
      </c>
      <c r="G2403" t="s">
        <v>622</v>
      </c>
      <c r="H2403">
        <v>28000</v>
      </c>
      <c r="I2403" t="s">
        <v>2633</v>
      </c>
    </row>
    <row r="2404" spans="1:9" x14ac:dyDescent="0.25">
      <c r="A2404" s="91">
        <v>46216</v>
      </c>
      <c r="B2404" t="s">
        <v>693</v>
      </c>
      <c r="C2404" t="s">
        <v>4830</v>
      </c>
      <c r="D2404">
        <v>910326</v>
      </c>
      <c r="E2404" t="s">
        <v>1583</v>
      </c>
      <c r="F2404">
        <v>9120</v>
      </c>
      <c r="G2404" t="s">
        <v>619</v>
      </c>
      <c r="H2404">
        <v>9120</v>
      </c>
      <c r="I2404" t="s">
        <v>2607</v>
      </c>
    </row>
    <row r="2405" spans="1:9" x14ac:dyDescent="0.25">
      <c r="A2405" s="91">
        <v>46216</v>
      </c>
      <c r="B2405" t="s">
        <v>688</v>
      </c>
      <c r="C2405" t="s">
        <v>4831</v>
      </c>
      <c r="D2405">
        <v>7741</v>
      </c>
      <c r="E2405" t="s">
        <v>690</v>
      </c>
      <c r="F2405">
        <v>68000</v>
      </c>
      <c r="G2405" t="s">
        <v>622</v>
      </c>
      <c r="H2405">
        <v>68000</v>
      </c>
      <c r="I2405" t="s">
        <v>2633</v>
      </c>
    </row>
    <row r="2406" spans="1:9" x14ac:dyDescent="0.25">
      <c r="A2406" s="91">
        <v>46217</v>
      </c>
      <c r="B2406" t="s">
        <v>688</v>
      </c>
      <c r="C2406" t="s">
        <v>4832</v>
      </c>
      <c r="D2406">
        <v>7741</v>
      </c>
      <c r="E2406" t="s">
        <v>690</v>
      </c>
      <c r="F2406">
        <v>68000</v>
      </c>
      <c r="G2406" t="s">
        <v>622</v>
      </c>
      <c r="H2406">
        <v>68000</v>
      </c>
      <c r="I2406" t="s">
        <v>2633</v>
      </c>
    </row>
    <row r="2407" spans="1:9" x14ac:dyDescent="0.25">
      <c r="A2407" s="91">
        <v>46217</v>
      </c>
      <c r="B2407" t="s">
        <v>682</v>
      </c>
      <c r="C2407" t="s">
        <v>4833</v>
      </c>
      <c r="D2407">
        <v>7279</v>
      </c>
      <c r="E2407" t="s">
        <v>754</v>
      </c>
      <c r="F2407">
        <v>29000</v>
      </c>
      <c r="G2407" t="s">
        <v>622</v>
      </c>
      <c r="H2407">
        <v>29000</v>
      </c>
      <c r="I2407" t="s">
        <v>2633</v>
      </c>
    </row>
    <row r="2408" spans="1:9" x14ac:dyDescent="0.25">
      <c r="A2408" s="91">
        <v>46217</v>
      </c>
      <c r="B2408" t="s">
        <v>715</v>
      </c>
      <c r="C2408" t="s">
        <v>4834</v>
      </c>
      <c r="D2408">
        <v>7185</v>
      </c>
      <c r="E2408" t="s">
        <v>717</v>
      </c>
      <c r="F2408">
        <v>55000</v>
      </c>
      <c r="G2408" t="s">
        <v>622</v>
      </c>
      <c r="H2408">
        <v>55000</v>
      </c>
      <c r="I2408" t="s">
        <v>2633</v>
      </c>
    </row>
    <row r="2409" spans="1:9" x14ac:dyDescent="0.25">
      <c r="A2409" s="91">
        <v>46217</v>
      </c>
      <c r="B2409" t="s">
        <v>2608</v>
      </c>
      <c r="C2409" t="s">
        <v>4835</v>
      </c>
      <c r="D2409">
        <v>79502</v>
      </c>
      <c r="E2409" t="s">
        <v>885</v>
      </c>
      <c r="F2409">
        <v>105000</v>
      </c>
      <c r="G2409" t="s">
        <v>622</v>
      </c>
      <c r="H2409">
        <v>105000</v>
      </c>
      <c r="I2409" t="s">
        <v>2609</v>
      </c>
    </row>
    <row r="2410" spans="1:9" x14ac:dyDescent="0.25">
      <c r="A2410" s="91">
        <v>46217</v>
      </c>
      <c r="B2410" t="s">
        <v>2680</v>
      </c>
      <c r="C2410" t="s">
        <v>4836</v>
      </c>
      <c r="D2410">
        <v>900403</v>
      </c>
      <c r="E2410" t="s">
        <v>2682</v>
      </c>
      <c r="F2410">
        <v>480</v>
      </c>
      <c r="G2410" t="s">
        <v>619</v>
      </c>
      <c r="H2410">
        <v>480</v>
      </c>
      <c r="I2410" t="s">
        <v>2607</v>
      </c>
    </row>
    <row r="2411" spans="1:9" x14ac:dyDescent="0.25">
      <c r="A2411" s="91">
        <v>46218</v>
      </c>
      <c r="B2411" t="s">
        <v>685</v>
      </c>
      <c r="C2411" t="s">
        <v>4837</v>
      </c>
      <c r="D2411">
        <v>7374</v>
      </c>
      <c r="E2411" t="s">
        <v>785</v>
      </c>
      <c r="F2411">
        <v>25000</v>
      </c>
      <c r="G2411" t="s">
        <v>622</v>
      </c>
      <c r="H2411">
        <v>25000</v>
      </c>
      <c r="I2411" t="s">
        <v>2633</v>
      </c>
    </row>
    <row r="2412" spans="1:9" x14ac:dyDescent="0.25">
      <c r="A2412" s="91">
        <v>46218</v>
      </c>
      <c r="B2412" t="s">
        <v>2608</v>
      </c>
      <c r="C2412" t="s">
        <v>4838</v>
      </c>
      <c r="D2412">
        <v>7033</v>
      </c>
      <c r="E2412" t="s">
        <v>1109</v>
      </c>
      <c r="F2412">
        <v>105000</v>
      </c>
      <c r="G2412" t="s">
        <v>622</v>
      </c>
      <c r="H2412">
        <v>105000</v>
      </c>
      <c r="I2412" t="s">
        <v>2609</v>
      </c>
    </row>
    <row r="2413" spans="1:9" x14ac:dyDescent="0.25">
      <c r="A2413" s="91">
        <v>46218</v>
      </c>
      <c r="B2413" t="s">
        <v>688</v>
      </c>
      <c r="C2413" t="s">
        <v>4839</v>
      </c>
      <c r="D2413">
        <v>7741</v>
      </c>
      <c r="E2413" t="s">
        <v>690</v>
      </c>
      <c r="F2413">
        <v>68000</v>
      </c>
      <c r="G2413" t="s">
        <v>622</v>
      </c>
      <c r="H2413">
        <v>68000</v>
      </c>
      <c r="I2413" t="s">
        <v>2633</v>
      </c>
    </row>
    <row r="2414" spans="1:9" x14ac:dyDescent="0.25">
      <c r="A2414" s="91">
        <v>46218</v>
      </c>
      <c r="B2414" t="s">
        <v>679</v>
      </c>
      <c r="C2414" t="s">
        <v>4840</v>
      </c>
      <c r="D2414">
        <v>7213</v>
      </c>
      <c r="E2414" t="s">
        <v>719</v>
      </c>
      <c r="F2414">
        <v>85000</v>
      </c>
      <c r="G2414" t="s">
        <v>622</v>
      </c>
      <c r="H2414">
        <v>85000</v>
      </c>
      <c r="I2414" t="s">
        <v>2633</v>
      </c>
    </row>
    <row r="2415" spans="1:9" x14ac:dyDescent="0.25">
      <c r="A2415" s="91">
        <v>46219</v>
      </c>
      <c r="B2415" t="s">
        <v>688</v>
      </c>
      <c r="C2415" t="s">
        <v>4841</v>
      </c>
      <c r="D2415">
        <v>7741</v>
      </c>
      <c r="E2415" t="s">
        <v>690</v>
      </c>
      <c r="F2415">
        <v>68000</v>
      </c>
      <c r="G2415" t="s">
        <v>622</v>
      </c>
      <c r="H2415">
        <v>68000</v>
      </c>
      <c r="I2415" t="s">
        <v>2633</v>
      </c>
    </row>
    <row r="2416" spans="1:9" x14ac:dyDescent="0.25">
      <c r="A2416" s="91">
        <v>46219</v>
      </c>
      <c r="B2416" t="s">
        <v>693</v>
      </c>
      <c r="C2416" t="s">
        <v>4842</v>
      </c>
      <c r="D2416">
        <v>910326</v>
      </c>
      <c r="E2416" t="s">
        <v>1583</v>
      </c>
      <c r="F2416">
        <v>9120</v>
      </c>
      <c r="G2416" t="s">
        <v>619</v>
      </c>
      <c r="H2416">
        <v>9120</v>
      </c>
      <c r="I2416" t="s">
        <v>2607</v>
      </c>
    </row>
    <row r="2417" spans="1:9" x14ac:dyDescent="0.25">
      <c r="A2417" s="91">
        <v>46219</v>
      </c>
      <c r="B2417" t="s">
        <v>693</v>
      </c>
      <c r="C2417" t="s">
        <v>4843</v>
      </c>
      <c r="D2417">
        <v>910526</v>
      </c>
      <c r="E2417" t="s">
        <v>1602</v>
      </c>
      <c r="F2417">
        <v>9120</v>
      </c>
      <c r="G2417" t="s">
        <v>619</v>
      </c>
      <c r="H2417">
        <v>9120</v>
      </c>
      <c r="I2417" t="s">
        <v>2607</v>
      </c>
    </row>
    <row r="2418" spans="1:9" x14ac:dyDescent="0.25">
      <c r="A2418" s="91">
        <v>46219</v>
      </c>
      <c r="B2418" t="s">
        <v>685</v>
      </c>
      <c r="C2418" t="s">
        <v>4844</v>
      </c>
      <c r="D2418">
        <v>7373</v>
      </c>
      <c r="E2418" t="s">
        <v>783</v>
      </c>
      <c r="F2418">
        <v>25000</v>
      </c>
      <c r="G2418" t="s">
        <v>622</v>
      </c>
      <c r="H2418">
        <v>25000</v>
      </c>
      <c r="I2418" t="s">
        <v>2633</v>
      </c>
    </row>
    <row r="2419" spans="1:9" x14ac:dyDescent="0.25">
      <c r="A2419" s="91">
        <v>46222</v>
      </c>
      <c r="B2419" t="s">
        <v>2610</v>
      </c>
      <c r="C2419" t="s">
        <v>4845</v>
      </c>
      <c r="D2419">
        <v>517700</v>
      </c>
      <c r="E2419" t="s">
        <v>1397</v>
      </c>
      <c r="F2419">
        <v>33334</v>
      </c>
      <c r="G2419" t="s">
        <v>619</v>
      </c>
      <c r="H2419">
        <v>33334</v>
      </c>
      <c r="I2419" t="s">
        <v>2607</v>
      </c>
    </row>
    <row r="2420" spans="1:9" x14ac:dyDescent="0.25">
      <c r="A2420" s="91">
        <v>46222</v>
      </c>
      <c r="B2420" t="s">
        <v>2610</v>
      </c>
      <c r="C2420" t="s">
        <v>4846</v>
      </c>
      <c r="D2420">
        <v>519200</v>
      </c>
      <c r="E2420" t="s">
        <v>2636</v>
      </c>
      <c r="F2420">
        <v>16667</v>
      </c>
      <c r="G2420" t="s">
        <v>619</v>
      </c>
      <c r="H2420">
        <v>16667</v>
      </c>
      <c r="I2420" t="s">
        <v>2607</v>
      </c>
    </row>
    <row r="2421" spans="1:9" x14ac:dyDescent="0.25">
      <c r="A2421" s="91">
        <v>46222</v>
      </c>
      <c r="B2421" t="s">
        <v>2610</v>
      </c>
      <c r="C2421" t="s">
        <v>4847</v>
      </c>
      <c r="D2421">
        <v>520880</v>
      </c>
      <c r="E2421" t="s">
        <v>1399</v>
      </c>
      <c r="F2421">
        <v>43752</v>
      </c>
      <c r="G2421" t="s">
        <v>619</v>
      </c>
      <c r="H2421">
        <v>43752</v>
      </c>
      <c r="I2421" t="s">
        <v>2607</v>
      </c>
    </row>
    <row r="2422" spans="1:9" x14ac:dyDescent="0.25">
      <c r="A2422" s="91">
        <v>46222</v>
      </c>
      <c r="B2422" t="s">
        <v>2610</v>
      </c>
      <c r="C2422" t="s">
        <v>4848</v>
      </c>
      <c r="D2422">
        <v>522260</v>
      </c>
      <c r="E2422" t="s">
        <v>2439</v>
      </c>
      <c r="F2422">
        <v>16667</v>
      </c>
      <c r="G2422" t="s">
        <v>619</v>
      </c>
      <c r="H2422">
        <v>16667</v>
      </c>
      <c r="I2422" t="s">
        <v>2607</v>
      </c>
    </row>
    <row r="2423" spans="1:9" x14ac:dyDescent="0.25">
      <c r="A2423" s="91">
        <v>46223</v>
      </c>
      <c r="B2423" t="s">
        <v>682</v>
      </c>
      <c r="C2423" t="s">
        <v>4849</v>
      </c>
      <c r="D2423" t="s">
        <v>806</v>
      </c>
      <c r="E2423" t="s">
        <v>807</v>
      </c>
      <c r="F2423">
        <v>28000</v>
      </c>
      <c r="G2423" t="s">
        <v>622</v>
      </c>
      <c r="H2423">
        <v>28000</v>
      </c>
      <c r="I2423" t="s">
        <v>2633</v>
      </c>
    </row>
    <row r="2424" spans="1:9" x14ac:dyDescent="0.25">
      <c r="A2424" s="91">
        <v>46223</v>
      </c>
      <c r="B2424" t="s">
        <v>688</v>
      </c>
      <c r="C2424" t="s">
        <v>4850</v>
      </c>
      <c r="D2424">
        <v>7746</v>
      </c>
      <c r="E2424" t="s">
        <v>692</v>
      </c>
      <c r="F2424">
        <v>68000</v>
      </c>
      <c r="G2424" t="s">
        <v>622</v>
      </c>
      <c r="H2424">
        <v>68000</v>
      </c>
      <c r="I2424" t="s">
        <v>2633</v>
      </c>
    </row>
    <row r="2425" spans="1:9" x14ac:dyDescent="0.25">
      <c r="A2425" s="91">
        <v>46223</v>
      </c>
      <c r="B2425" t="s">
        <v>2733</v>
      </c>
      <c r="C2425" t="s">
        <v>4851</v>
      </c>
      <c r="D2425">
        <v>7128</v>
      </c>
      <c r="E2425" t="s">
        <v>633</v>
      </c>
      <c r="F2425">
        <v>105000</v>
      </c>
      <c r="G2425" t="s">
        <v>622</v>
      </c>
      <c r="H2425">
        <v>105000</v>
      </c>
      <c r="I2425" t="s">
        <v>2609</v>
      </c>
    </row>
    <row r="2426" spans="1:9" x14ac:dyDescent="0.25">
      <c r="A2426" s="91">
        <v>46224</v>
      </c>
      <c r="B2426" t="s">
        <v>688</v>
      </c>
      <c r="C2426" t="s">
        <v>4852</v>
      </c>
      <c r="D2426">
        <v>7746</v>
      </c>
      <c r="E2426" t="s">
        <v>692</v>
      </c>
      <c r="F2426">
        <v>68000</v>
      </c>
      <c r="G2426" t="s">
        <v>622</v>
      </c>
      <c r="H2426">
        <v>68000</v>
      </c>
      <c r="I2426" t="s">
        <v>2633</v>
      </c>
    </row>
    <row r="2427" spans="1:9" x14ac:dyDescent="0.25">
      <c r="A2427" s="91">
        <v>46224</v>
      </c>
      <c r="B2427" t="s">
        <v>682</v>
      </c>
      <c r="C2427" t="s">
        <v>4853</v>
      </c>
      <c r="D2427">
        <v>7302</v>
      </c>
      <c r="E2427" t="s">
        <v>768</v>
      </c>
      <c r="F2427">
        <v>27000</v>
      </c>
      <c r="G2427" t="s">
        <v>622</v>
      </c>
      <c r="H2427">
        <v>27000</v>
      </c>
      <c r="I2427" t="s">
        <v>2633</v>
      </c>
    </row>
    <row r="2428" spans="1:9" x14ac:dyDescent="0.25">
      <c r="A2428" s="91">
        <v>46224</v>
      </c>
      <c r="B2428" t="s">
        <v>715</v>
      </c>
      <c r="C2428" t="s">
        <v>4854</v>
      </c>
      <c r="D2428">
        <v>7185</v>
      </c>
      <c r="E2428" t="s">
        <v>717</v>
      </c>
      <c r="F2428">
        <v>55000</v>
      </c>
      <c r="G2428" t="s">
        <v>622</v>
      </c>
      <c r="H2428">
        <v>55000</v>
      </c>
      <c r="I2428" t="s">
        <v>2633</v>
      </c>
    </row>
    <row r="2429" spans="1:9" x14ac:dyDescent="0.25">
      <c r="A2429" s="91">
        <v>46224</v>
      </c>
      <c r="B2429" t="s">
        <v>2608</v>
      </c>
      <c r="C2429" t="s">
        <v>4855</v>
      </c>
      <c r="D2429">
        <v>7121</v>
      </c>
      <c r="E2429" t="s">
        <v>635</v>
      </c>
      <c r="F2429">
        <v>95000</v>
      </c>
      <c r="G2429" t="s">
        <v>622</v>
      </c>
      <c r="H2429">
        <v>95000</v>
      </c>
      <c r="I2429" t="s">
        <v>2609</v>
      </c>
    </row>
    <row r="2430" spans="1:9" x14ac:dyDescent="0.25">
      <c r="A2430" s="91">
        <v>46225</v>
      </c>
      <c r="B2430" t="s">
        <v>688</v>
      </c>
      <c r="C2430" t="s">
        <v>4856</v>
      </c>
      <c r="D2430">
        <v>7746</v>
      </c>
      <c r="E2430" t="s">
        <v>692</v>
      </c>
      <c r="F2430">
        <v>68000</v>
      </c>
      <c r="G2430" t="s">
        <v>622</v>
      </c>
      <c r="H2430">
        <v>68000</v>
      </c>
      <c r="I2430" t="s">
        <v>2633</v>
      </c>
    </row>
    <row r="2431" spans="1:9" x14ac:dyDescent="0.25">
      <c r="A2431" s="91">
        <v>46225</v>
      </c>
      <c r="B2431" t="s">
        <v>682</v>
      </c>
      <c r="C2431" t="s">
        <v>4857</v>
      </c>
      <c r="D2431">
        <v>7552</v>
      </c>
      <c r="E2431" t="s">
        <v>2752</v>
      </c>
      <c r="F2431">
        <v>24000</v>
      </c>
      <c r="G2431" t="s">
        <v>622</v>
      </c>
      <c r="H2431">
        <v>24000</v>
      </c>
      <c r="I2431" t="s">
        <v>2633</v>
      </c>
    </row>
    <row r="2432" spans="1:9" x14ac:dyDescent="0.25">
      <c r="A2432" s="91">
        <v>46226</v>
      </c>
      <c r="B2432" t="s">
        <v>693</v>
      </c>
      <c r="C2432" t="s">
        <v>4858</v>
      </c>
      <c r="D2432">
        <v>910526</v>
      </c>
      <c r="E2432" t="s">
        <v>1602</v>
      </c>
      <c r="F2432">
        <v>9120</v>
      </c>
      <c r="G2432" t="s">
        <v>619</v>
      </c>
      <c r="H2432">
        <v>9120</v>
      </c>
      <c r="I2432" t="s">
        <v>2607</v>
      </c>
    </row>
    <row r="2433" spans="1:9" x14ac:dyDescent="0.25">
      <c r="A2433" s="91">
        <v>46226</v>
      </c>
      <c r="B2433" t="s">
        <v>693</v>
      </c>
      <c r="C2433" t="s">
        <v>4859</v>
      </c>
      <c r="D2433">
        <v>910326</v>
      </c>
      <c r="E2433" t="s">
        <v>1583</v>
      </c>
      <c r="F2433">
        <v>9120</v>
      </c>
      <c r="G2433" t="s">
        <v>619</v>
      </c>
      <c r="H2433">
        <v>9120</v>
      </c>
      <c r="I2433" t="s">
        <v>2607</v>
      </c>
    </row>
    <row r="2434" spans="1:9" x14ac:dyDescent="0.25">
      <c r="A2434" s="91">
        <v>46226</v>
      </c>
      <c r="B2434" t="s">
        <v>688</v>
      </c>
      <c r="C2434" t="s">
        <v>4860</v>
      </c>
      <c r="D2434">
        <v>7746</v>
      </c>
      <c r="E2434" t="s">
        <v>692</v>
      </c>
      <c r="F2434">
        <v>68000</v>
      </c>
      <c r="G2434" t="s">
        <v>622</v>
      </c>
      <c r="H2434">
        <v>68000</v>
      </c>
      <c r="I2434" t="s">
        <v>2633</v>
      </c>
    </row>
    <row r="2435" spans="1:9" x14ac:dyDescent="0.25">
      <c r="A2435" s="91">
        <v>46230</v>
      </c>
      <c r="B2435" t="s">
        <v>688</v>
      </c>
      <c r="C2435" t="s">
        <v>4861</v>
      </c>
      <c r="D2435">
        <v>7741</v>
      </c>
      <c r="E2435" t="s">
        <v>690</v>
      </c>
      <c r="F2435">
        <v>68000</v>
      </c>
      <c r="G2435" t="s">
        <v>622</v>
      </c>
      <c r="H2435">
        <v>68000</v>
      </c>
      <c r="I2435" t="s">
        <v>2633</v>
      </c>
    </row>
    <row r="2436" spans="1:9" x14ac:dyDescent="0.25">
      <c r="A2436" s="91">
        <v>46230</v>
      </c>
      <c r="B2436" t="s">
        <v>2608</v>
      </c>
      <c r="C2436" t="s">
        <v>4862</v>
      </c>
      <c r="D2436">
        <v>7018</v>
      </c>
      <c r="E2436" t="s">
        <v>1077</v>
      </c>
      <c r="F2436">
        <v>105000</v>
      </c>
      <c r="G2436" t="s">
        <v>622</v>
      </c>
      <c r="H2436">
        <v>105000</v>
      </c>
      <c r="I2436" t="s">
        <v>2609</v>
      </c>
    </row>
    <row r="2437" spans="1:9" x14ac:dyDescent="0.25">
      <c r="A2437" s="91">
        <v>46231</v>
      </c>
      <c r="B2437" t="s">
        <v>715</v>
      </c>
      <c r="C2437" t="s">
        <v>4863</v>
      </c>
      <c r="D2437">
        <v>7193</v>
      </c>
      <c r="E2437" t="s">
        <v>811</v>
      </c>
      <c r="F2437">
        <v>55000</v>
      </c>
      <c r="G2437" t="s">
        <v>622</v>
      </c>
      <c r="H2437">
        <v>55000</v>
      </c>
      <c r="I2437" t="s">
        <v>2633</v>
      </c>
    </row>
    <row r="2438" spans="1:9" x14ac:dyDescent="0.25">
      <c r="A2438" s="91">
        <v>46231</v>
      </c>
      <c r="B2438" t="s">
        <v>688</v>
      </c>
      <c r="C2438" t="s">
        <v>4864</v>
      </c>
      <c r="D2438">
        <v>7741</v>
      </c>
      <c r="E2438" t="s">
        <v>690</v>
      </c>
      <c r="F2438">
        <v>68000</v>
      </c>
      <c r="G2438" t="s">
        <v>622</v>
      </c>
      <c r="H2438">
        <v>68000</v>
      </c>
      <c r="I2438" t="s">
        <v>2633</v>
      </c>
    </row>
    <row r="2439" spans="1:9" x14ac:dyDescent="0.25">
      <c r="A2439" s="91">
        <v>46231</v>
      </c>
      <c r="B2439" t="s">
        <v>682</v>
      </c>
      <c r="C2439" t="s">
        <v>4865</v>
      </c>
      <c r="D2439" t="s">
        <v>806</v>
      </c>
      <c r="E2439" t="s">
        <v>807</v>
      </c>
      <c r="F2439">
        <v>28000</v>
      </c>
      <c r="G2439" t="s">
        <v>622</v>
      </c>
      <c r="H2439">
        <v>28000</v>
      </c>
      <c r="I2439" t="s">
        <v>2633</v>
      </c>
    </row>
    <row r="2440" spans="1:9" x14ac:dyDescent="0.25">
      <c r="A2440" s="91">
        <v>46231</v>
      </c>
      <c r="B2440" t="s">
        <v>693</v>
      </c>
      <c r="C2440" t="s">
        <v>4866</v>
      </c>
      <c r="D2440">
        <v>910526</v>
      </c>
      <c r="E2440" t="s">
        <v>1602</v>
      </c>
      <c r="F2440">
        <v>9120</v>
      </c>
      <c r="G2440" t="s">
        <v>619</v>
      </c>
      <c r="H2440">
        <v>9120</v>
      </c>
      <c r="I2440" t="s">
        <v>2607</v>
      </c>
    </row>
    <row r="2441" spans="1:9" x14ac:dyDescent="0.25">
      <c r="A2441" s="91">
        <v>46231</v>
      </c>
      <c r="B2441" t="s">
        <v>693</v>
      </c>
      <c r="C2441" t="s">
        <v>4867</v>
      </c>
      <c r="D2441">
        <v>910326</v>
      </c>
      <c r="E2441" t="s">
        <v>1583</v>
      </c>
      <c r="F2441">
        <v>9120</v>
      </c>
      <c r="G2441" t="s">
        <v>619</v>
      </c>
      <c r="H2441">
        <v>9120</v>
      </c>
      <c r="I2441" t="s">
        <v>2607</v>
      </c>
    </row>
    <row r="2442" spans="1:9" x14ac:dyDescent="0.25">
      <c r="A2442" s="91">
        <v>46231</v>
      </c>
      <c r="B2442" t="s">
        <v>2608</v>
      </c>
      <c r="C2442" t="s">
        <v>4868</v>
      </c>
      <c r="D2442">
        <v>79502</v>
      </c>
      <c r="E2442" t="s">
        <v>885</v>
      </c>
      <c r="F2442">
        <v>105000</v>
      </c>
      <c r="G2442" t="s">
        <v>622</v>
      </c>
      <c r="H2442">
        <v>105000</v>
      </c>
      <c r="I2442" t="s">
        <v>2609</v>
      </c>
    </row>
    <row r="2443" spans="1:9" x14ac:dyDescent="0.25">
      <c r="A2443" s="91">
        <v>46232</v>
      </c>
      <c r="B2443" t="s">
        <v>688</v>
      </c>
      <c r="C2443" t="s">
        <v>4869</v>
      </c>
      <c r="D2443">
        <v>7741</v>
      </c>
      <c r="E2443" t="s">
        <v>690</v>
      </c>
      <c r="F2443">
        <v>68000</v>
      </c>
      <c r="G2443" t="s">
        <v>622</v>
      </c>
      <c r="H2443">
        <v>68000</v>
      </c>
      <c r="I2443" t="s">
        <v>2633</v>
      </c>
    </row>
    <row r="2444" spans="1:9" x14ac:dyDescent="0.25">
      <c r="A2444" s="91">
        <v>46232</v>
      </c>
      <c r="B2444" t="s">
        <v>682</v>
      </c>
      <c r="C2444" t="s">
        <v>4870</v>
      </c>
      <c r="D2444">
        <v>7297</v>
      </c>
      <c r="E2444" t="s">
        <v>684</v>
      </c>
      <c r="F2444">
        <v>30000</v>
      </c>
      <c r="G2444" t="s">
        <v>622</v>
      </c>
      <c r="H2444">
        <v>30000</v>
      </c>
      <c r="I2444" t="s">
        <v>2633</v>
      </c>
    </row>
    <row r="2445" spans="1:9" x14ac:dyDescent="0.25">
      <c r="A2445" s="91">
        <v>46233</v>
      </c>
      <c r="B2445" t="s">
        <v>688</v>
      </c>
      <c r="C2445" t="s">
        <v>4871</v>
      </c>
      <c r="D2445">
        <v>7741</v>
      </c>
      <c r="E2445" t="s">
        <v>690</v>
      </c>
      <c r="F2445">
        <v>68000</v>
      </c>
      <c r="G2445" t="s">
        <v>622</v>
      </c>
      <c r="H2445">
        <v>68000</v>
      </c>
      <c r="I2445" t="s">
        <v>2633</v>
      </c>
    </row>
    <row r="2446" spans="1:9" x14ac:dyDescent="0.25">
      <c r="A2446" s="91">
        <v>46237</v>
      </c>
      <c r="B2446" t="s">
        <v>688</v>
      </c>
      <c r="C2446" t="s">
        <v>4872</v>
      </c>
      <c r="D2446">
        <v>7746</v>
      </c>
      <c r="E2446" t="s">
        <v>692</v>
      </c>
      <c r="F2446">
        <v>68000</v>
      </c>
      <c r="G2446" t="s">
        <v>622</v>
      </c>
      <c r="H2446">
        <v>68000</v>
      </c>
      <c r="I2446" t="s">
        <v>2633</v>
      </c>
    </row>
    <row r="2447" spans="1:9" x14ac:dyDescent="0.25">
      <c r="A2447" s="91">
        <v>46237</v>
      </c>
      <c r="B2447" t="s">
        <v>682</v>
      </c>
      <c r="C2447" t="s">
        <v>4873</v>
      </c>
      <c r="D2447">
        <v>7304</v>
      </c>
      <c r="E2447" t="s">
        <v>770</v>
      </c>
      <c r="F2447">
        <v>27000</v>
      </c>
      <c r="G2447" t="s">
        <v>622</v>
      </c>
      <c r="H2447">
        <v>27000</v>
      </c>
      <c r="I2447" t="s">
        <v>2633</v>
      </c>
    </row>
    <row r="2448" spans="1:9" x14ac:dyDescent="0.25">
      <c r="A2448" s="91">
        <v>46237</v>
      </c>
      <c r="B2448" t="s">
        <v>715</v>
      </c>
      <c r="C2448" t="s">
        <v>4874</v>
      </c>
      <c r="D2448">
        <v>7185</v>
      </c>
      <c r="E2448" t="s">
        <v>717</v>
      </c>
      <c r="F2448">
        <v>55000</v>
      </c>
      <c r="G2448" t="s">
        <v>622</v>
      </c>
      <c r="H2448">
        <v>55000</v>
      </c>
      <c r="I2448" t="s">
        <v>2633</v>
      </c>
    </row>
    <row r="2449" spans="1:9" x14ac:dyDescent="0.25">
      <c r="A2449" s="91">
        <v>46237</v>
      </c>
      <c r="B2449" t="s">
        <v>2680</v>
      </c>
      <c r="C2449" t="s">
        <v>4875</v>
      </c>
      <c r="D2449">
        <v>900401</v>
      </c>
      <c r="E2449" t="s">
        <v>2741</v>
      </c>
      <c r="F2449">
        <v>480</v>
      </c>
      <c r="G2449" t="s">
        <v>619</v>
      </c>
      <c r="H2449">
        <v>480</v>
      </c>
      <c r="I2449" t="s">
        <v>2607</v>
      </c>
    </row>
    <row r="2450" spans="1:9" x14ac:dyDescent="0.25">
      <c r="A2450" s="91">
        <v>46238</v>
      </c>
      <c r="B2450" t="s">
        <v>688</v>
      </c>
      <c r="C2450" t="s">
        <v>4876</v>
      </c>
      <c r="D2450">
        <v>7746</v>
      </c>
      <c r="E2450" t="s">
        <v>692</v>
      </c>
      <c r="F2450">
        <v>68000</v>
      </c>
      <c r="G2450" t="s">
        <v>622</v>
      </c>
      <c r="H2450">
        <v>68000</v>
      </c>
      <c r="I2450" t="s">
        <v>2633</v>
      </c>
    </row>
    <row r="2451" spans="1:9" x14ac:dyDescent="0.25">
      <c r="A2451" s="91">
        <v>46238</v>
      </c>
      <c r="B2451" t="s">
        <v>682</v>
      </c>
      <c r="C2451" t="s">
        <v>4877</v>
      </c>
      <c r="D2451">
        <v>7281</v>
      </c>
      <c r="E2451" t="s">
        <v>739</v>
      </c>
      <c r="F2451">
        <v>28000</v>
      </c>
      <c r="G2451" t="s">
        <v>622</v>
      </c>
      <c r="H2451">
        <v>28000</v>
      </c>
      <c r="I2451" t="s">
        <v>2633</v>
      </c>
    </row>
    <row r="2452" spans="1:9" x14ac:dyDescent="0.25">
      <c r="A2452" s="91">
        <v>46238</v>
      </c>
      <c r="B2452" t="s">
        <v>685</v>
      </c>
      <c r="C2452" t="s">
        <v>4878</v>
      </c>
      <c r="D2452">
        <v>7374</v>
      </c>
      <c r="E2452" t="s">
        <v>785</v>
      </c>
      <c r="F2452">
        <v>25000</v>
      </c>
      <c r="G2452" t="s">
        <v>622</v>
      </c>
      <c r="H2452">
        <v>25000</v>
      </c>
      <c r="I2452" t="s">
        <v>2633</v>
      </c>
    </row>
    <row r="2453" spans="1:9" x14ac:dyDescent="0.25">
      <c r="A2453" s="91">
        <v>46238</v>
      </c>
      <c r="B2453" t="s">
        <v>2608</v>
      </c>
      <c r="C2453" t="s">
        <v>4879</v>
      </c>
      <c r="D2453">
        <v>7010</v>
      </c>
      <c r="E2453" t="s">
        <v>621</v>
      </c>
      <c r="F2453">
        <v>105000</v>
      </c>
      <c r="G2453" t="s">
        <v>622</v>
      </c>
      <c r="H2453">
        <v>105000</v>
      </c>
      <c r="I2453" t="s">
        <v>2609</v>
      </c>
    </row>
    <row r="2454" spans="1:9" x14ac:dyDescent="0.25">
      <c r="A2454" s="91">
        <v>46238</v>
      </c>
      <c r="B2454" t="s">
        <v>2608</v>
      </c>
      <c r="C2454" t="s">
        <v>4880</v>
      </c>
      <c r="D2454">
        <v>79501</v>
      </c>
      <c r="E2454" t="s">
        <v>629</v>
      </c>
      <c r="F2454">
        <v>105000</v>
      </c>
      <c r="G2454" t="s">
        <v>622</v>
      </c>
      <c r="H2454">
        <v>105000</v>
      </c>
      <c r="I2454" t="s">
        <v>2609</v>
      </c>
    </row>
    <row r="2455" spans="1:9" x14ac:dyDescent="0.25">
      <c r="A2455" s="91">
        <v>46239</v>
      </c>
      <c r="B2455" t="s">
        <v>2606</v>
      </c>
      <c r="C2455" t="s">
        <v>4881</v>
      </c>
      <c r="D2455">
        <v>7019</v>
      </c>
      <c r="E2455" t="s">
        <v>1108</v>
      </c>
      <c r="F2455">
        <v>95000</v>
      </c>
      <c r="G2455" t="s">
        <v>622</v>
      </c>
      <c r="H2455">
        <v>95000</v>
      </c>
      <c r="I2455" t="s">
        <v>2609</v>
      </c>
    </row>
    <row r="2456" spans="1:9" x14ac:dyDescent="0.25">
      <c r="A2456" s="91">
        <v>46239</v>
      </c>
      <c r="B2456" t="s">
        <v>2606</v>
      </c>
      <c r="C2456" t="s">
        <v>4882</v>
      </c>
      <c r="D2456">
        <v>7037</v>
      </c>
      <c r="E2456" t="s">
        <v>632</v>
      </c>
      <c r="F2456">
        <v>105000</v>
      </c>
      <c r="G2456" t="s">
        <v>622</v>
      </c>
      <c r="H2456">
        <v>105000</v>
      </c>
      <c r="I2456" t="s">
        <v>2609</v>
      </c>
    </row>
    <row r="2457" spans="1:9" x14ac:dyDescent="0.25">
      <c r="A2457" s="91">
        <v>46239</v>
      </c>
      <c r="B2457" t="s">
        <v>685</v>
      </c>
      <c r="C2457" t="s">
        <v>4883</v>
      </c>
      <c r="D2457">
        <v>7374</v>
      </c>
      <c r="E2457" t="s">
        <v>785</v>
      </c>
      <c r="F2457">
        <v>25000</v>
      </c>
      <c r="G2457" t="s">
        <v>622</v>
      </c>
      <c r="H2457">
        <v>25000</v>
      </c>
      <c r="I2457" t="s">
        <v>2633</v>
      </c>
    </row>
    <row r="2458" spans="1:9" x14ac:dyDescent="0.25">
      <c r="A2458" s="91">
        <v>46239</v>
      </c>
      <c r="B2458" t="s">
        <v>693</v>
      </c>
      <c r="C2458" t="s">
        <v>4884</v>
      </c>
      <c r="D2458">
        <v>910526</v>
      </c>
      <c r="E2458" t="s">
        <v>1602</v>
      </c>
      <c r="F2458">
        <v>9121</v>
      </c>
      <c r="G2458" t="s">
        <v>619</v>
      </c>
      <c r="H2458">
        <v>9121</v>
      </c>
      <c r="I2458" t="s">
        <v>2607</v>
      </c>
    </row>
    <row r="2459" spans="1:9" x14ac:dyDescent="0.25">
      <c r="A2459" s="91">
        <v>46239</v>
      </c>
      <c r="B2459" t="s">
        <v>688</v>
      </c>
      <c r="C2459" t="s">
        <v>4885</v>
      </c>
      <c r="D2459">
        <v>7746</v>
      </c>
      <c r="E2459" t="s">
        <v>692</v>
      </c>
      <c r="F2459">
        <v>68000</v>
      </c>
      <c r="G2459" t="s">
        <v>622</v>
      </c>
      <c r="H2459">
        <v>68000</v>
      </c>
      <c r="I2459" t="s">
        <v>2633</v>
      </c>
    </row>
    <row r="2460" spans="1:9" x14ac:dyDescent="0.25">
      <c r="A2460" s="91">
        <v>46239</v>
      </c>
      <c r="B2460" t="s">
        <v>693</v>
      </c>
      <c r="C2460" t="s">
        <v>4886</v>
      </c>
      <c r="D2460">
        <v>910326</v>
      </c>
      <c r="E2460" t="s">
        <v>1583</v>
      </c>
      <c r="F2460">
        <v>9121</v>
      </c>
      <c r="G2460" t="s">
        <v>619</v>
      </c>
      <c r="H2460">
        <v>9121</v>
      </c>
      <c r="I2460" t="s">
        <v>2607</v>
      </c>
    </row>
    <row r="2461" spans="1:9" x14ac:dyDescent="0.25">
      <c r="A2461" s="91">
        <v>46240</v>
      </c>
      <c r="B2461" t="s">
        <v>688</v>
      </c>
      <c r="C2461" t="s">
        <v>4887</v>
      </c>
      <c r="D2461">
        <v>7746</v>
      </c>
      <c r="E2461" t="s">
        <v>692</v>
      </c>
      <c r="F2461">
        <v>68000</v>
      </c>
      <c r="G2461" t="s">
        <v>622</v>
      </c>
      <c r="H2461">
        <v>68000</v>
      </c>
      <c r="I2461" t="s">
        <v>2633</v>
      </c>
    </row>
    <row r="2462" spans="1:9" x14ac:dyDescent="0.25">
      <c r="A2462" s="91">
        <v>46240</v>
      </c>
      <c r="B2462" t="s">
        <v>685</v>
      </c>
      <c r="C2462" t="s">
        <v>4888</v>
      </c>
      <c r="D2462">
        <v>7373</v>
      </c>
      <c r="E2462" t="s">
        <v>783</v>
      </c>
      <c r="F2462">
        <v>25000</v>
      </c>
      <c r="G2462" t="s">
        <v>622</v>
      </c>
      <c r="H2462">
        <v>25000</v>
      </c>
      <c r="I2462" t="s">
        <v>2633</v>
      </c>
    </row>
    <row r="2463" spans="1:9" x14ac:dyDescent="0.25">
      <c r="A2463" s="91">
        <v>46240</v>
      </c>
      <c r="B2463" t="s">
        <v>2608</v>
      </c>
      <c r="C2463" t="s">
        <v>4889</v>
      </c>
      <c r="D2463">
        <v>7046</v>
      </c>
      <c r="E2463" t="s">
        <v>1110</v>
      </c>
      <c r="F2463">
        <v>105000</v>
      </c>
      <c r="G2463" t="s">
        <v>622</v>
      </c>
      <c r="H2463">
        <v>105000</v>
      </c>
      <c r="I2463" t="s">
        <v>2609</v>
      </c>
    </row>
    <row r="2464" spans="1:9" x14ac:dyDescent="0.25">
      <c r="A2464" s="91">
        <v>46243</v>
      </c>
      <c r="B2464" t="s">
        <v>688</v>
      </c>
      <c r="C2464" t="s">
        <v>4890</v>
      </c>
      <c r="D2464">
        <v>7741</v>
      </c>
      <c r="E2464" t="s">
        <v>690</v>
      </c>
      <c r="F2464">
        <v>68000</v>
      </c>
      <c r="G2464" t="s">
        <v>622</v>
      </c>
      <c r="H2464">
        <v>68000</v>
      </c>
      <c r="I2464" t="s">
        <v>2633</v>
      </c>
    </row>
    <row r="2465" spans="1:9" x14ac:dyDescent="0.25">
      <c r="A2465" s="91">
        <v>46244</v>
      </c>
      <c r="B2465" t="s">
        <v>685</v>
      </c>
      <c r="C2465" t="s">
        <v>4891</v>
      </c>
      <c r="D2465" t="s">
        <v>686</v>
      </c>
      <c r="E2465" t="s">
        <v>687</v>
      </c>
      <c r="F2465">
        <v>40000</v>
      </c>
      <c r="G2465" t="s">
        <v>622</v>
      </c>
      <c r="H2465">
        <v>40000</v>
      </c>
      <c r="I2465" t="s">
        <v>2633</v>
      </c>
    </row>
    <row r="2466" spans="1:9" x14ac:dyDescent="0.25">
      <c r="A2466" s="91">
        <v>46244</v>
      </c>
      <c r="B2466" t="s">
        <v>679</v>
      </c>
      <c r="C2466" t="s">
        <v>4892</v>
      </c>
      <c r="D2466">
        <v>7212</v>
      </c>
      <c r="E2466" t="s">
        <v>681</v>
      </c>
      <c r="F2466">
        <v>85000</v>
      </c>
      <c r="G2466" t="s">
        <v>622</v>
      </c>
      <c r="H2466">
        <v>85000</v>
      </c>
      <c r="I2466" t="s">
        <v>2633</v>
      </c>
    </row>
    <row r="2467" spans="1:9" x14ac:dyDescent="0.25">
      <c r="A2467" s="91">
        <v>46244</v>
      </c>
      <c r="B2467" t="s">
        <v>682</v>
      </c>
      <c r="C2467" t="s">
        <v>4893</v>
      </c>
      <c r="D2467">
        <v>7279</v>
      </c>
      <c r="E2467" t="s">
        <v>754</v>
      </c>
      <c r="F2467">
        <v>29000</v>
      </c>
      <c r="G2467" t="s">
        <v>622</v>
      </c>
      <c r="H2467">
        <v>29000</v>
      </c>
      <c r="I2467" t="s">
        <v>2633</v>
      </c>
    </row>
    <row r="2468" spans="1:9" x14ac:dyDescent="0.25">
      <c r="A2468" s="91">
        <v>46244</v>
      </c>
      <c r="B2468" t="s">
        <v>688</v>
      </c>
      <c r="C2468" t="s">
        <v>4894</v>
      </c>
      <c r="D2468">
        <v>7741</v>
      </c>
      <c r="E2468" t="s">
        <v>690</v>
      </c>
      <c r="F2468">
        <v>68000</v>
      </c>
      <c r="G2468" t="s">
        <v>622</v>
      </c>
      <c r="H2468">
        <v>68000</v>
      </c>
      <c r="I2468" t="s">
        <v>2633</v>
      </c>
    </row>
    <row r="2469" spans="1:9" x14ac:dyDescent="0.25">
      <c r="A2469" s="91">
        <v>46245</v>
      </c>
      <c r="B2469" t="s">
        <v>688</v>
      </c>
      <c r="C2469" t="s">
        <v>4895</v>
      </c>
      <c r="D2469">
        <v>7741</v>
      </c>
      <c r="E2469" t="s">
        <v>690</v>
      </c>
      <c r="F2469">
        <v>68000</v>
      </c>
      <c r="G2469" t="s">
        <v>622</v>
      </c>
      <c r="H2469">
        <v>68000</v>
      </c>
      <c r="I2469" t="s">
        <v>2633</v>
      </c>
    </row>
    <row r="2470" spans="1:9" x14ac:dyDescent="0.25">
      <c r="A2470" s="91">
        <v>46245</v>
      </c>
      <c r="B2470" t="s">
        <v>682</v>
      </c>
      <c r="C2470" t="s">
        <v>4896</v>
      </c>
      <c r="D2470" t="s">
        <v>806</v>
      </c>
      <c r="E2470" t="s">
        <v>807</v>
      </c>
      <c r="F2470">
        <v>28000</v>
      </c>
      <c r="G2470" t="s">
        <v>622</v>
      </c>
      <c r="H2470">
        <v>28000</v>
      </c>
      <c r="I2470" t="s">
        <v>2633</v>
      </c>
    </row>
    <row r="2471" spans="1:9" x14ac:dyDescent="0.25">
      <c r="A2471" s="91">
        <v>46245</v>
      </c>
      <c r="B2471" t="s">
        <v>685</v>
      </c>
      <c r="C2471" t="s">
        <v>4897</v>
      </c>
      <c r="D2471">
        <v>7372</v>
      </c>
      <c r="E2471" t="s">
        <v>741</v>
      </c>
      <c r="F2471">
        <v>40000</v>
      </c>
      <c r="G2471" t="s">
        <v>622</v>
      </c>
      <c r="H2471">
        <v>40000</v>
      </c>
      <c r="I2471" t="s">
        <v>2633</v>
      </c>
    </row>
    <row r="2472" spans="1:9" x14ac:dyDescent="0.25">
      <c r="A2472" s="91">
        <v>46245</v>
      </c>
      <c r="B2472" t="s">
        <v>2608</v>
      </c>
      <c r="C2472" t="s">
        <v>4898</v>
      </c>
      <c r="D2472">
        <v>79502</v>
      </c>
      <c r="E2472" t="s">
        <v>885</v>
      </c>
      <c r="F2472">
        <v>105000</v>
      </c>
      <c r="G2472" t="s">
        <v>622</v>
      </c>
      <c r="H2472">
        <v>105000</v>
      </c>
      <c r="I2472" t="s">
        <v>2609</v>
      </c>
    </row>
    <row r="2473" spans="1:9" x14ac:dyDescent="0.25">
      <c r="A2473" s="91">
        <v>46246</v>
      </c>
      <c r="B2473" t="s">
        <v>693</v>
      </c>
      <c r="C2473" t="s">
        <v>4899</v>
      </c>
      <c r="D2473">
        <v>910326</v>
      </c>
      <c r="E2473" t="s">
        <v>1583</v>
      </c>
      <c r="F2473">
        <v>9120</v>
      </c>
      <c r="G2473" t="s">
        <v>619</v>
      </c>
      <c r="H2473">
        <v>9120</v>
      </c>
      <c r="I2473" t="s">
        <v>2607</v>
      </c>
    </row>
    <row r="2474" spans="1:9" x14ac:dyDescent="0.25">
      <c r="A2474" s="91">
        <v>46246</v>
      </c>
      <c r="B2474" t="s">
        <v>693</v>
      </c>
      <c r="C2474" t="s">
        <v>4900</v>
      </c>
      <c r="D2474">
        <v>910526</v>
      </c>
      <c r="E2474" t="s">
        <v>1602</v>
      </c>
      <c r="F2474">
        <v>9120</v>
      </c>
      <c r="G2474" t="s">
        <v>619</v>
      </c>
      <c r="H2474">
        <v>9120</v>
      </c>
      <c r="I2474" t="s">
        <v>2607</v>
      </c>
    </row>
    <row r="2475" spans="1:9" x14ac:dyDescent="0.25">
      <c r="A2475" s="91">
        <v>46246</v>
      </c>
      <c r="B2475" t="s">
        <v>685</v>
      </c>
      <c r="C2475" t="s">
        <v>4901</v>
      </c>
      <c r="D2475" t="s">
        <v>722</v>
      </c>
      <c r="E2475" t="s">
        <v>723</v>
      </c>
      <c r="F2475">
        <v>40000</v>
      </c>
      <c r="G2475" t="s">
        <v>622</v>
      </c>
      <c r="H2475">
        <v>40000</v>
      </c>
      <c r="I2475" t="s">
        <v>2633</v>
      </c>
    </row>
    <row r="2476" spans="1:9" x14ac:dyDescent="0.25">
      <c r="A2476" s="91">
        <v>46247</v>
      </c>
      <c r="B2476" t="s">
        <v>685</v>
      </c>
      <c r="C2476" t="s">
        <v>4902</v>
      </c>
      <c r="D2476" t="s">
        <v>686</v>
      </c>
      <c r="E2476" t="s">
        <v>687</v>
      </c>
      <c r="F2476">
        <v>40000</v>
      </c>
      <c r="G2476" t="s">
        <v>622</v>
      </c>
      <c r="H2476">
        <v>40000</v>
      </c>
      <c r="I2476" t="s">
        <v>2633</v>
      </c>
    </row>
    <row r="2477" spans="1:9" x14ac:dyDescent="0.25">
      <c r="A2477" s="91">
        <v>46250</v>
      </c>
      <c r="B2477" t="s">
        <v>2610</v>
      </c>
      <c r="C2477" t="s">
        <v>4903</v>
      </c>
      <c r="D2477">
        <v>519180</v>
      </c>
      <c r="E2477" t="s">
        <v>1410</v>
      </c>
      <c r="F2477">
        <v>16667</v>
      </c>
      <c r="G2477" t="s">
        <v>619</v>
      </c>
      <c r="H2477">
        <v>16667</v>
      </c>
      <c r="I2477" t="s">
        <v>2607</v>
      </c>
    </row>
    <row r="2478" spans="1:9" x14ac:dyDescent="0.25">
      <c r="A2478" s="91">
        <v>46250</v>
      </c>
      <c r="B2478" t="s">
        <v>2610</v>
      </c>
      <c r="C2478" t="s">
        <v>4904</v>
      </c>
      <c r="D2478">
        <v>520860</v>
      </c>
      <c r="E2478" t="s">
        <v>1388</v>
      </c>
      <c r="F2478">
        <v>43752</v>
      </c>
      <c r="G2478" t="s">
        <v>619</v>
      </c>
      <c r="H2478">
        <v>43752</v>
      </c>
      <c r="I2478" t="s">
        <v>2607</v>
      </c>
    </row>
    <row r="2479" spans="1:9" x14ac:dyDescent="0.25">
      <c r="A2479" s="91">
        <v>46250</v>
      </c>
      <c r="B2479" t="s">
        <v>2610</v>
      </c>
      <c r="C2479" t="s">
        <v>4905</v>
      </c>
      <c r="D2479">
        <v>517700</v>
      </c>
      <c r="E2479" t="s">
        <v>1397</v>
      </c>
      <c r="F2479">
        <v>16667</v>
      </c>
      <c r="G2479" t="s">
        <v>619</v>
      </c>
      <c r="H2479">
        <v>16667</v>
      </c>
      <c r="I2479" t="s">
        <v>2607</v>
      </c>
    </row>
    <row r="2480" spans="1:9" x14ac:dyDescent="0.25">
      <c r="A2480" s="91">
        <v>46250</v>
      </c>
      <c r="B2480" t="s">
        <v>2610</v>
      </c>
      <c r="C2480" t="s">
        <v>4906</v>
      </c>
      <c r="D2480">
        <v>517660</v>
      </c>
      <c r="E2480" t="s">
        <v>2215</v>
      </c>
      <c r="F2480">
        <v>16667</v>
      </c>
      <c r="G2480" t="s">
        <v>619</v>
      </c>
      <c r="H2480">
        <v>16667</v>
      </c>
      <c r="I2480" t="s">
        <v>2607</v>
      </c>
    </row>
    <row r="2481" spans="1:9" x14ac:dyDescent="0.25">
      <c r="A2481" s="91">
        <v>46250</v>
      </c>
      <c r="B2481" t="s">
        <v>2610</v>
      </c>
      <c r="C2481" t="s">
        <v>4907</v>
      </c>
      <c r="D2481">
        <v>517640</v>
      </c>
      <c r="E2481" t="s">
        <v>3137</v>
      </c>
      <c r="F2481">
        <v>16667</v>
      </c>
      <c r="G2481" t="s">
        <v>619</v>
      </c>
      <c r="H2481">
        <v>16667</v>
      </c>
      <c r="I2481" t="s">
        <v>2607</v>
      </c>
    </row>
    <row r="2482" spans="1:9" x14ac:dyDescent="0.25">
      <c r="A2482" s="91">
        <v>46251</v>
      </c>
      <c r="B2482" t="s">
        <v>2614</v>
      </c>
      <c r="C2482" t="s">
        <v>4908</v>
      </c>
      <c r="D2482">
        <v>900114</v>
      </c>
      <c r="E2482" t="s">
        <v>2655</v>
      </c>
      <c r="F2482">
        <v>480</v>
      </c>
      <c r="G2482" t="s">
        <v>619</v>
      </c>
      <c r="H2482">
        <v>480</v>
      </c>
      <c r="I2482" t="s">
        <v>2607</v>
      </c>
    </row>
    <row r="2483" spans="1:9" x14ac:dyDescent="0.25">
      <c r="A2483" s="91">
        <v>46251</v>
      </c>
      <c r="B2483" t="s">
        <v>688</v>
      </c>
      <c r="C2483" t="s">
        <v>4909</v>
      </c>
      <c r="D2483">
        <v>7746</v>
      </c>
      <c r="E2483" t="s">
        <v>692</v>
      </c>
      <c r="F2483">
        <v>68000</v>
      </c>
      <c r="G2483" t="s">
        <v>622</v>
      </c>
      <c r="H2483">
        <v>68000</v>
      </c>
      <c r="I2483" t="s">
        <v>2633</v>
      </c>
    </row>
    <row r="2484" spans="1:9" x14ac:dyDescent="0.25">
      <c r="A2484" s="91">
        <v>46251</v>
      </c>
      <c r="B2484" t="s">
        <v>682</v>
      </c>
      <c r="C2484" t="s">
        <v>4910</v>
      </c>
      <c r="D2484">
        <v>7302</v>
      </c>
      <c r="E2484" t="s">
        <v>768</v>
      </c>
      <c r="F2484">
        <v>27000</v>
      </c>
      <c r="G2484" t="s">
        <v>622</v>
      </c>
      <c r="H2484">
        <v>27000</v>
      </c>
      <c r="I2484" t="s">
        <v>2633</v>
      </c>
    </row>
    <row r="2485" spans="1:9" x14ac:dyDescent="0.25">
      <c r="A2485" s="91">
        <v>46251</v>
      </c>
      <c r="B2485" t="s">
        <v>679</v>
      </c>
      <c r="C2485" t="s">
        <v>4911</v>
      </c>
      <c r="D2485">
        <v>7213</v>
      </c>
      <c r="E2485" t="s">
        <v>719</v>
      </c>
      <c r="F2485">
        <v>85000</v>
      </c>
      <c r="G2485" t="s">
        <v>622</v>
      </c>
      <c r="H2485">
        <v>85000</v>
      </c>
      <c r="I2485" t="s">
        <v>2633</v>
      </c>
    </row>
    <row r="2486" spans="1:9" x14ac:dyDescent="0.25">
      <c r="A2486" s="91">
        <v>46251</v>
      </c>
      <c r="B2486" t="s">
        <v>685</v>
      </c>
      <c r="C2486" t="s">
        <v>4912</v>
      </c>
      <c r="D2486">
        <v>7374</v>
      </c>
      <c r="E2486" t="s">
        <v>785</v>
      </c>
      <c r="F2486">
        <v>25000</v>
      </c>
      <c r="G2486" t="s">
        <v>622</v>
      </c>
      <c r="H2486">
        <v>25000</v>
      </c>
      <c r="I2486" t="s">
        <v>2633</v>
      </c>
    </row>
    <row r="2487" spans="1:9" x14ac:dyDescent="0.25">
      <c r="A2487" s="91">
        <v>46252</v>
      </c>
      <c r="B2487" t="s">
        <v>2614</v>
      </c>
      <c r="C2487" t="s">
        <v>4913</v>
      </c>
      <c r="D2487">
        <v>900405</v>
      </c>
      <c r="E2487" t="s">
        <v>3029</v>
      </c>
      <c r="F2487">
        <v>600</v>
      </c>
      <c r="G2487" t="s">
        <v>619</v>
      </c>
      <c r="H2487">
        <v>600</v>
      </c>
      <c r="I2487" t="s">
        <v>2607</v>
      </c>
    </row>
    <row r="2488" spans="1:9" x14ac:dyDescent="0.25">
      <c r="A2488" s="91">
        <v>46252</v>
      </c>
      <c r="B2488" t="s">
        <v>688</v>
      </c>
      <c r="C2488" t="s">
        <v>4914</v>
      </c>
      <c r="D2488">
        <v>7746</v>
      </c>
      <c r="E2488" t="s">
        <v>692</v>
      </c>
      <c r="F2488">
        <v>68000</v>
      </c>
      <c r="G2488" t="s">
        <v>622</v>
      </c>
      <c r="H2488">
        <v>68000</v>
      </c>
      <c r="I2488" t="s">
        <v>2633</v>
      </c>
    </row>
    <row r="2489" spans="1:9" x14ac:dyDescent="0.25">
      <c r="A2489" s="91">
        <v>46252</v>
      </c>
      <c r="B2489" t="s">
        <v>682</v>
      </c>
      <c r="C2489" t="s">
        <v>4915</v>
      </c>
      <c r="D2489">
        <v>7304</v>
      </c>
      <c r="E2489" t="s">
        <v>770</v>
      </c>
      <c r="F2489">
        <v>27000</v>
      </c>
      <c r="G2489" t="s">
        <v>622</v>
      </c>
      <c r="H2489">
        <v>27000</v>
      </c>
      <c r="I2489" t="s">
        <v>2633</v>
      </c>
    </row>
    <row r="2490" spans="1:9" x14ac:dyDescent="0.25">
      <c r="A2490" s="91">
        <v>46253</v>
      </c>
      <c r="B2490" t="s">
        <v>688</v>
      </c>
      <c r="C2490" t="s">
        <v>4916</v>
      </c>
      <c r="D2490">
        <v>7746</v>
      </c>
      <c r="E2490" t="s">
        <v>692</v>
      </c>
      <c r="F2490">
        <v>68000</v>
      </c>
      <c r="G2490" t="s">
        <v>622</v>
      </c>
      <c r="H2490">
        <v>68000</v>
      </c>
      <c r="I2490" t="s">
        <v>2633</v>
      </c>
    </row>
    <row r="2491" spans="1:9" x14ac:dyDescent="0.25">
      <c r="A2491" s="91">
        <v>46253</v>
      </c>
      <c r="B2491" t="s">
        <v>682</v>
      </c>
      <c r="C2491" t="s">
        <v>4917</v>
      </c>
      <c r="D2491">
        <v>7552</v>
      </c>
      <c r="E2491" t="s">
        <v>2752</v>
      </c>
      <c r="F2491">
        <v>24000</v>
      </c>
      <c r="G2491" t="s">
        <v>622</v>
      </c>
      <c r="H2491">
        <v>24000</v>
      </c>
      <c r="I2491" t="s">
        <v>2633</v>
      </c>
    </row>
    <row r="2492" spans="1:9" x14ac:dyDescent="0.25">
      <c r="A2492" s="91">
        <v>46253</v>
      </c>
      <c r="B2492" t="s">
        <v>693</v>
      </c>
      <c r="C2492" t="s">
        <v>4918</v>
      </c>
      <c r="D2492">
        <v>910326</v>
      </c>
      <c r="E2492" t="s">
        <v>1583</v>
      </c>
      <c r="F2492">
        <v>9120</v>
      </c>
      <c r="G2492" t="s">
        <v>619</v>
      </c>
      <c r="H2492">
        <v>9120</v>
      </c>
      <c r="I2492" t="s">
        <v>2607</v>
      </c>
    </row>
    <row r="2493" spans="1:9" x14ac:dyDescent="0.25">
      <c r="A2493" s="91">
        <v>46253</v>
      </c>
      <c r="B2493" t="s">
        <v>693</v>
      </c>
      <c r="C2493" t="s">
        <v>4919</v>
      </c>
      <c r="D2493">
        <v>910526</v>
      </c>
      <c r="E2493" t="s">
        <v>1602</v>
      </c>
      <c r="F2493">
        <v>9120</v>
      </c>
      <c r="G2493" t="s">
        <v>619</v>
      </c>
      <c r="H2493">
        <v>9120</v>
      </c>
      <c r="I2493" t="s">
        <v>2607</v>
      </c>
    </row>
    <row r="2494" spans="1:9" x14ac:dyDescent="0.25">
      <c r="A2494" s="91">
        <v>46253</v>
      </c>
      <c r="B2494" t="s">
        <v>2608</v>
      </c>
      <c r="C2494" t="s">
        <v>4920</v>
      </c>
      <c r="D2494">
        <v>7076</v>
      </c>
      <c r="E2494" t="s">
        <v>634</v>
      </c>
      <c r="F2494">
        <v>95000</v>
      </c>
      <c r="G2494" t="s">
        <v>622</v>
      </c>
      <c r="H2494">
        <v>95000</v>
      </c>
      <c r="I2494" t="s">
        <v>2609</v>
      </c>
    </row>
    <row r="2495" spans="1:9" x14ac:dyDescent="0.25">
      <c r="A2495" s="91">
        <v>46253</v>
      </c>
      <c r="B2495" t="s">
        <v>2610</v>
      </c>
      <c r="C2495" t="s">
        <v>4921</v>
      </c>
      <c r="D2495">
        <v>520880</v>
      </c>
      <c r="E2495" t="s">
        <v>1399</v>
      </c>
      <c r="F2495">
        <v>29168</v>
      </c>
      <c r="G2495" t="s">
        <v>619</v>
      </c>
      <c r="H2495">
        <v>29168</v>
      </c>
      <c r="I2495" t="s">
        <v>2607</v>
      </c>
    </row>
    <row r="2496" spans="1:9" x14ac:dyDescent="0.25">
      <c r="A2496" s="91">
        <v>46253</v>
      </c>
      <c r="B2496" t="s">
        <v>2610</v>
      </c>
      <c r="C2496" t="s">
        <v>4922</v>
      </c>
      <c r="D2496">
        <v>519220</v>
      </c>
      <c r="E2496" t="s">
        <v>4186</v>
      </c>
      <c r="F2496">
        <v>16667</v>
      </c>
      <c r="G2496" t="s">
        <v>619</v>
      </c>
      <c r="H2496">
        <v>16667</v>
      </c>
      <c r="I2496" t="s">
        <v>2607</v>
      </c>
    </row>
    <row r="2497" spans="1:9" x14ac:dyDescent="0.25">
      <c r="A2497" s="91">
        <v>46254</v>
      </c>
      <c r="B2497" t="s">
        <v>715</v>
      </c>
      <c r="C2497" t="s">
        <v>4923</v>
      </c>
      <c r="D2497">
        <v>7185</v>
      </c>
      <c r="E2497" t="s">
        <v>717</v>
      </c>
      <c r="F2497">
        <v>55000</v>
      </c>
      <c r="G2497" t="s">
        <v>622</v>
      </c>
      <c r="H2497">
        <v>55000</v>
      </c>
      <c r="I2497" t="s">
        <v>2633</v>
      </c>
    </row>
    <row r="2498" spans="1:9" x14ac:dyDescent="0.25">
      <c r="A2498" s="91">
        <v>46254</v>
      </c>
      <c r="B2498" t="s">
        <v>685</v>
      </c>
      <c r="C2498" t="s">
        <v>4924</v>
      </c>
      <c r="D2498">
        <v>7374</v>
      </c>
      <c r="E2498" t="s">
        <v>785</v>
      </c>
      <c r="F2498">
        <v>25000</v>
      </c>
      <c r="G2498" t="s">
        <v>622</v>
      </c>
      <c r="H2498">
        <v>25000</v>
      </c>
      <c r="I2498" t="s">
        <v>2633</v>
      </c>
    </row>
    <row r="2499" spans="1:9" x14ac:dyDescent="0.25">
      <c r="A2499" s="91">
        <v>46254</v>
      </c>
      <c r="B2499" t="s">
        <v>2621</v>
      </c>
      <c r="C2499" t="s">
        <v>4925</v>
      </c>
      <c r="D2499" t="s">
        <v>2626</v>
      </c>
      <c r="E2499" t="s">
        <v>2627</v>
      </c>
      <c r="F2499">
        <v>9015</v>
      </c>
      <c r="G2499" t="s">
        <v>619</v>
      </c>
      <c r="H2499">
        <v>9015</v>
      </c>
      <c r="I2499" t="s">
        <v>2607</v>
      </c>
    </row>
    <row r="2500" spans="1:9" x14ac:dyDescent="0.25">
      <c r="A2500" s="91">
        <v>46254</v>
      </c>
      <c r="B2500" t="s">
        <v>2621</v>
      </c>
      <c r="C2500" t="s">
        <v>4926</v>
      </c>
      <c r="D2500" t="s">
        <v>3785</v>
      </c>
      <c r="E2500" t="s">
        <v>3786</v>
      </c>
      <c r="F2500">
        <v>903</v>
      </c>
      <c r="G2500" t="s">
        <v>619</v>
      </c>
      <c r="H2500">
        <v>903</v>
      </c>
      <c r="I2500" t="s">
        <v>2607</v>
      </c>
    </row>
    <row r="2501" spans="1:9" x14ac:dyDescent="0.25">
      <c r="A2501" s="91">
        <v>46254</v>
      </c>
      <c r="B2501" t="s">
        <v>2621</v>
      </c>
      <c r="C2501" t="s">
        <v>4927</v>
      </c>
      <c r="D2501" t="s">
        <v>2650</v>
      </c>
      <c r="E2501" t="s">
        <v>2651</v>
      </c>
      <c r="F2501">
        <v>1708</v>
      </c>
      <c r="G2501" t="s">
        <v>619</v>
      </c>
      <c r="H2501">
        <v>1708</v>
      </c>
      <c r="I2501" t="s">
        <v>2607</v>
      </c>
    </row>
    <row r="2502" spans="1:9" x14ac:dyDescent="0.25">
      <c r="A2502" s="91">
        <v>46254</v>
      </c>
      <c r="B2502" t="s">
        <v>2621</v>
      </c>
      <c r="C2502" t="s">
        <v>4928</v>
      </c>
      <c r="D2502" t="s">
        <v>2910</v>
      </c>
      <c r="E2502" t="s">
        <v>2911</v>
      </c>
      <c r="F2502">
        <v>8715</v>
      </c>
      <c r="G2502" t="s">
        <v>619</v>
      </c>
      <c r="H2502">
        <v>8715</v>
      </c>
      <c r="I2502" t="s">
        <v>2607</v>
      </c>
    </row>
    <row r="2503" spans="1:9" x14ac:dyDescent="0.25">
      <c r="A2503" s="91">
        <v>46254</v>
      </c>
      <c r="B2503" t="s">
        <v>2621</v>
      </c>
      <c r="C2503" t="s">
        <v>4929</v>
      </c>
      <c r="D2503" t="s">
        <v>2793</v>
      </c>
      <c r="E2503" t="s">
        <v>2794</v>
      </c>
      <c r="F2503">
        <v>4116</v>
      </c>
      <c r="G2503" t="s">
        <v>619</v>
      </c>
      <c r="H2503">
        <v>4116</v>
      </c>
      <c r="I2503" t="s">
        <v>2607</v>
      </c>
    </row>
    <row r="2504" spans="1:9" x14ac:dyDescent="0.25">
      <c r="A2504" s="91">
        <v>46254</v>
      </c>
      <c r="B2504" t="s">
        <v>2621</v>
      </c>
      <c r="C2504" t="s">
        <v>4930</v>
      </c>
      <c r="D2504" t="s">
        <v>2756</v>
      </c>
      <c r="E2504" t="s">
        <v>2757</v>
      </c>
      <c r="F2504">
        <v>11925</v>
      </c>
      <c r="G2504" t="s">
        <v>619</v>
      </c>
      <c r="H2504">
        <v>11925</v>
      </c>
      <c r="I2504" t="s">
        <v>2607</v>
      </c>
    </row>
    <row r="2505" spans="1:9" x14ac:dyDescent="0.25">
      <c r="A2505" s="91">
        <v>46254</v>
      </c>
      <c r="B2505" t="s">
        <v>2621</v>
      </c>
      <c r="C2505" t="s">
        <v>4931</v>
      </c>
      <c r="D2505" t="s">
        <v>3073</v>
      </c>
      <c r="E2505" t="s">
        <v>3074</v>
      </c>
      <c r="F2505">
        <v>189</v>
      </c>
      <c r="G2505" t="s">
        <v>619</v>
      </c>
      <c r="H2505">
        <v>189</v>
      </c>
      <c r="I2505" t="s">
        <v>2607</v>
      </c>
    </row>
    <row r="2506" spans="1:9" x14ac:dyDescent="0.25">
      <c r="A2506" s="91">
        <v>46254</v>
      </c>
      <c r="B2506" t="s">
        <v>2621</v>
      </c>
      <c r="C2506" t="s">
        <v>4932</v>
      </c>
      <c r="D2506" t="s">
        <v>2669</v>
      </c>
      <c r="E2506" t="s">
        <v>2670</v>
      </c>
      <c r="F2506">
        <v>23550</v>
      </c>
      <c r="G2506" t="s">
        <v>619</v>
      </c>
      <c r="H2506">
        <v>23550</v>
      </c>
      <c r="I2506" t="s">
        <v>2607</v>
      </c>
    </row>
    <row r="2507" spans="1:9" x14ac:dyDescent="0.25">
      <c r="A2507" s="91">
        <v>46254</v>
      </c>
      <c r="B2507" t="s">
        <v>2621</v>
      </c>
      <c r="C2507" t="s">
        <v>4933</v>
      </c>
      <c r="D2507" t="s">
        <v>2639</v>
      </c>
      <c r="E2507" t="s">
        <v>2640</v>
      </c>
      <c r="F2507">
        <v>18300</v>
      </c>
      <c r="G2507" t="s">
        <v>619</v>
      </c>
      <c r="H2507">
        <v>18300</v>
      </c>
      <c r="I2507" t="s">
        <v>2607</v>
      </c>
    </row>
    <row r="2508" spans="1:9" x14ac:dyDescent="0.25">
      <c r="A2508" s="91">
        <v>46254</v>
      </c>
      <c r="B2508" t="s">
        <v>2621</v>
      </c>
      <c r="C2508" t="s">
        <v>4934</v>
      </c>
      <c r="D2508" t="s">
        <v>2643</v>
      </c>
      <c r="E2508" t="s">
        <v>2644</v>
      </c>
      <c r="F2508">
        <v>840</v>
      </c>
      <c r="G2508" t="s">
        <v>619</v>
      </c>
      <c r="H2508">
        <v>840</v>
      </c>
      <c r="I2508" t="s">
        <v>2607</v>
      </c>
    </row>
    <row r="2509" spans="1:9" x14ac:dyDescent="0.25">
      <c r="A2509" s="91">
        <v>46254</v>
      </c>
      <c r="B2509" t="s">
        <v>2621</v>
      </c>
      <c r="C2509" t="s">
        <v>4935</v>
      </c>
      <c r="D2509" t="s">
        <v>2713</v>
      </c>
      <c r="E2509" t="s">
        <v>2714</v>
      </c>
      <c r="F2509">
        <v>9680</v>
      </c>
      <c r="G2509" t="s">
        <v>619</v>
      </c>
      <c r="H2509">
        <v>9680</v>
      </c>
      <c r="I2509" t="s">
        <v>2607</v>
      </c>
    </row>
    <row r="2510" spans="1:9" x14ac:dyDescent="0.25">
      <c r="A2510" s="91">
        <v>46254</v>
      </c>
      <c r="B2510" t="s">
        <v>2621</v>
      </c>
      <c r="C2510" t="s">
        <v>4936</v>
      </c>
      <c r="D2510" t="s">
        <v>2694</v>
      </c>
      <c r="E2510" t="s">
        <v>2695</v>
      </c>
      <c r="F2510">
        <v>4564</v>
      </c>
      <c r="G2510" t="s">
        <v>619</v>
      </c>
      <c r="H2510">
        <v>4564</v>
      </c>
      <c r="I2510" t="s">
        <v>2607</v>
      </c>
    </row>
    <row r="2511" spans="1:9" x14ac:dyDescent="0.25">
      <c r="A2511" s="91">
        <v>46258</v>
      </c>
      <c r="B2511" t="s">
        <v>688</v>
      </c>
      <c r="C2511" t="s">
        <v>4937</v>
      </c>
      <c r="D2511">
        <v>7741</v>
      </c>
      <c r="E2511" t="s">
        <v>690</v>
      </c>
      <c r="F2511">
        <v>68000</v>
      </c>
      <c r="G2511" t="s">
        <v>622</v>
      </c>
      <c r="H2511">
        <v>68000</v>
      </c>
      <c r="I2511" t="s">
        <v>2633</v>
      </c>
    </row>
    <row r="2512" spans="1:9" x14ac:dyDescent="0.25">
      <c r="A2512" s="91">
        <v>46258</v>
      </c>
      <c r="B2512" t="s">
        <v>682</v>
      </c>
      <c r="C2512" t="s">
        <v>4938</v>
      </c>
      <c r="D2512" t="s">
        <v>806</v>
      </c>
      <c r="E2512" t="s">
        <v>807</v>
      </c>
      <c r="F2512">
        <v>28000</v>
      </c>
      <c r="G2512" t="s">
        <v>622</v>
      </c>
      <c r="H2512">
        <v>28000</v>
      </c>
      <c r="I2512" t="s">
        <v>2633</v>
      </c>
    </row>
    <row r="2513" spans="1:9" x14ac:dyDescent="0.25">
      <c r="A2513" s="91">
        <v>46259</v>
      </c>
      <c r="B2513" t="s">
        <v>688</v>
      </c>
      <c r="C2513" t="s">
        <v>4939</v>
      </c>
      <c r="D2513">
        <v>7741</v>
      </c>
      <c r="E2513" t="s">
        <v>690</v>
      </c>
      <c r="F2513">
        <v>68000</v>
      </c>
      <c r="G2513" t="s">
        <v>622</v>
      </c>
      <c r="H2513">
        <v>68000</v>
      </c>
      <c r="I2513" t="s">
        <v>2633</v>
      </c>
    </row>
    <row r="2514" spans="1:9" x14ac:dyDescent="0.25">
      <c r="A2514" s="91">
        <v>46259</v>
      </c>
      <c r="B2514" t="s">
        <v>682</v>
      </c>
      <c r="C2514" t="s">
        <v>4940</v>
      </c>
      <c r="D2514">
        <v>7281</v>
      </c>
      <c r="E2514" t="s">
        <v>739</v>
      </c>
      <c r="F2514">
        <v>28000</v>
      </c>
      <c r="G2514" t="s">
        <v>622</v>
      </c>
      <c r="H2514">
        <v>28000</v>
      </c>
      <c r="I2514" t="s">
        <v>2633</v>
      </c>
    </row>
    <row r="2515" spans="1:9" x14ac:dyDescent="0.25">
      <c r="A2515" s="91">
        <v>46260</v>
      </c>
      <c r="B2515" t="s">
        <v>693</v>
      </c>
      <c r="C2515" t="s">
        <v>4941</v>
      </c>
      <c r="D2515">
        <v>910526</v>
      </c>
      <c r="E2515" t="s">
        <v>1602</v>
      </c>
      <c r="F2515">
        <v>9120</v>
      </c>
      <c r="G2515" t="s">
        <v>619</v>
      </c>
      <c r="H2515">
        <v>9120</v>
      </c>
      <c r="I2515" t="s">
        <v>2607</v>
      </c>
    </row>
    <row r="2516" spans="1:9" x14ac:dyDescent="0.25">
      <c r="A2516" s="91">
        <v>46260</v>
      </c>
      <c r="B2516" t="s">
        <v>688</v>
      </c>
      <c r="C2516" t="s">
        <v>4942</v>
      </c>
      <c r="D2516">
        <v>7741</v>
      </c>
      <c r="E2516" t="s">
        <v>690</v>
      </c>
      <c r="F2516">
        <v>68000</v>
      </c>
      <c r="G2516" t="s">
        <v>622</v>
      </c>
      <c r="H2516">
        <v>68000</v>
      </c>
      <c r="I2516" t="s">
        <v>2633</v>
      </c>
    </row>
    <row r="2517" spans="1:9" x14ac:dyDescent="0.25">
      <c r="A2517" s="91">
        <v>46260</v>
      </c>
      <c r="B2517" t="s">
        <v>693</v>
      </c>
      <c r="C2517" t="s">
        <v>4943</v>
      </c>
      <c r="D2517">
        <v>910326</v>
      </c>
      <c r="E2517" t="s">
        <v>1583</v>
      </c>
      <c r="F2517">
        <v>9120</v>
      </c>
      <c r="G2517" t="s">
        <v>619</v>
      </c>
      <c r="H2517">
        <v>9120</v>
      </c>
      <c r="I2517" t="s">
        <v>2607</v>
      </c>
    </row>
    <row r="2518" spans="1:9" x14ac:dyDescent="0.25">
      <c r="A2518" s="91">
        <v>46261</v>
      </c>
      <c r="B2518" t="s">
        <v>2608</v>
      </c>
      <c r="C2518" t="s">
        <v>4944</v>
      </c>
      <c r="D2518">
        <v>7154</v>
      </c>
      <c r="E2518" t="s">
        <v>631</v>
      </c>
      <c r="F2518">
        <v>95000</v>
      </c>
      <c r="G2518" t="s">
        <v>622</v>
      </c>
      <c r="H2518">
        <v>95000</v>
      </c>
      <c r="I2518" t="s">
        <v>2609</v>
      </c>
    </row>
    <row r="2519" spans="1:9" x14ac:dyDescent="0.25">
      <c r="A2519" s="91">
        <v>46262</v>
      </c>
      <c r="B2519" t="s">
        <v>2608</v>
      </c>
      <c r="C2519" t="s">
        <v>4945</v>
      </c>
      <c r="D2519">
        <v>79500</v>
      </c>
      <c r="E2519" t="s">
        <v>625</v>
      </c>
      <c r="F2519">
        <v>105000</v>
      </c>
      <c r="G2519" t="s">
        <v>622</v>
      </c>
      <c r="H2519">
        <v>105000</v>
      </c>
      <c r="I2519" t="s">
        <v>2609</v>
      </c>
    </row>
    <row r="2520" spans="1:9" x14ac:dyDescent="0.25">
      <c r="A2520" s="91">
        <v>46265</v>
      </c>
      <c r="B2520" t="s">
        <v>688</v>
      </c>
      <c r="C2520" t="s">
        <v>4946</v>
      </c>
      <c r="D2520">
        <v>7746</v>
      </c>
      <c r="E2520" t="s">
        <v>692</v>
      </c>
      <c r="F2520">
        <v>68000</v>
      </c>
      <c r="G2520" t="s">
        <v>622</v>
      </c>
      <c r="H2520">
        <v>68000</v>
      </c>
      <c r="I2520" t="s">
        <v>2633</v>
      </c>
    </row>
    <row r="2521" spans="1:9" x14ac:dyDescent="0.25">
      <c r="A2521" s="91">
        <v>46265</v>
      </c>
      <c r="B2521" t="s">
        <v>682</v>
      </c>
      <c r="C2521" t="s">
        <v>4947</v>
      </c>
      <c r="D2521">
        <v>7297</v>
      </c>
      <c r="E2521" t="s">
        <v>684</v>
      </c>
      <c r="F2521">
        <v>30000</v>
      </c>
      <c r="G2521" t="s">
        <v>622</v>
      </c>
      <c r="H2521">
        <v>30000</v>
      </c>
      <c r="I2521" t="s">
        <v>2633</v>
      </c>
    </row>
    <row r="2522" spans="1:9" x14ac:dyDescent="0.25">
      <c r="A2522" s="91">
        <v>46265</v>
      </c>
      <c r="B2522" t="s">
        <v>715</v>
      </c>
      <c r="C2522" t="s">
        <v>4948</v>
      </c>
      <c r="D2522">
        <v>7193</v>
      </c>
      <c r="E2522" t="s">
        <v>811</v>
      </c>
      <c r="F2522">
        <v>55000</v>
      </c>
      <c r="G2522" t="s">
        <v>622</v>
      </c>
      <c r="H2522">
        <v>55000</v>
      </c>
      <c r="I2522" t="s">
        <v>2633</v>
      </c>
    </row>
    <row r="2523" spans="1:9" x14ac:dyDescent="0.25">
      <c r="A2523" s="91">
        <v>46265</v>
      </c>
      <c r="B2523" t="s">
        <v>2608</v>
      </c>
      <c r="C2523" t="s">
        <v>4949</v>
      </c>
      <c r="D2523">
        <v>79502</v>
      </c>
      <c r="E2523" t="s">
        <v>885</v>
      </c>
      <c r="F2523">
        <v>105000</v>
      </c>
      <c r="G2523" t="s">
        <v>622</v>
      </c>
      <c r="H2523">
        <v>105000</v>
      </c>
      <c r="I2523" t="s">
        <v>2609</v>
      </c>
    </row>
    <row r="2524" spans="1:9" x14ac:dyDescent="0.25">
      <c r="A2524" s="91">
        <v>46266</v>
      </c>
      <c r="B2524" t="s">
        <v>679</v>
      </c>
      <c r="C2524" t="s">
        <v>4950</v>
      </c>
      <c r="D2524">
        <v>7212</v>
      </c>
      <c r="E2524" t="s">
        <v>681</v>
      </c>
      <c r="F2524">
        <v>85000</v>
      </c>
      <c r="G2524" t="s">
        <v>622</v>
      </c>
      <c r="H2524">
        <v>85000</v>
      </c>
      <c r="I2524" t="s">
        <v>2633</v>
      </c>
    </row>
    <row r="2525" spans="1:9" x14ac:dyDescent="0.25">
      <c r="A2525" s="91">
        <v>46266</v>
      </c>
      <c r="B2525" t="s">
        <v>688</v>
      </c>
      <c r="C2525" t="s">
        <v>4951</v>
      </c>
      <c r="D2525">
        <v>7746</v>
      </c>
      <c r="E2525" t="s">
        <v>692</v>
      </c>
      <c r="F2525">
        <v>68000</v>
      </c>
      <c r="G2525" t="s">
        <v>622</v>
      </c>
      <c r="H2525">
        <v>68000</v>
      </c>
      <c r="I2525" t="s">
        <v>2633</v>
      </c>
    </row>
    <row r="2526" spans="1:9" x14ac:dyDescent="0.25">
      <c r="A2526" s="91">
        <v>46266</v>
      </c>
      <c r="B2526" t="s">
        <v>682</v>
      </c>
      <c r="C2526" t="s">
        <v>4952</v>
      </c>
      <c r="D2526">
        <v>7302</v>
      </c>
      <c r="E2526" t="s">
        <v>768</v>
      </c>
      <c r="F2526">
        <v>27000</v>
      </c>
      <c r="G2526" t="s">
        <v>622</v>
      </c>
      <c r="H2526">
        <v>27000</v>
      </c>
      <c r="I2526" t="s">
        <v>2633</v>
      </c>
    </row>
    <row r="2527" spans="1:9" x14ac:dyDescent="0.25">
      <c r="A2527" s="91">
        <v>46266</v>
      </c>
      <c r="B2527" t="s">
        <v>2614</v>
      </c>
      <c r="C2527" t="s">
        <v>4953</v>
      </c>
      <c r="D2527">
        <v>900106</v>
      </c>
      <c r="E2527" t="s">
        <v>2616</v>
      </c>
      <c r="F2527">
        <v>480</v>
      </c>
      <c r="G2527" t="s">
        <v>619</v>
      </c>
      <c r="H2527">
        <v>480</v>
      </c>
      <c r="I2527" t="s">
        <v>2607</v>
      </c>
    </row>
    <row r="2528" spans="1:9" x14ac:dyDescent="0.25">
      <c r="A2528" s="91">
        <v>46267</v>
      </c>
      <c r="B2528" t="s">
        <v>685</v>
      </c>
      <c r="C2528" t="s">
        <v>4954</v>
      </c>
      <c r="D2528">
        <v>7374</v>
      </c>
      <c r="E2528" t="s">
        <v>785</v>
      </c>
      <c r="F2528">
        <v>25000</v>
      </c>
      <c r="G2528" t="s">
        <v>622</v>
      </c>
      <c r="H2528">
        <v>25000</v>
      </c>
      <c r="I2528" t="s">
        <v>2633</v>
      </c>
    </row>
    <row r="2529" spans="1:9" x14ac:dyDescent="0.25">
      <c r="A2529" s="91">
        <v>46267</v>
      </c>
      <c r="B2529" t="s">
        <v>693</v>
      </c>
      <c r="C2529" t="s">
        <v>4955</v>
      </c>
      <c r="D2529">
        <v>910326</v>
      </c>
      <c r="E2529" t="s">
        <v>1583</v>
      </c>
      <c r="F2529">
        <v>9120</v>
      </c>
      <c r="G2529" t="s">
        <v>619</v>
      </c>
      <c r="H2529">
        <v>9120</v>
      </c>
      <c r="I2529" t="s">
        <v>2607</v>
      </c>
    </row>
    <row r="2530" spans="1:9" x14ac:dyDescent="0.25">
      <c r="A2530" s="91">
        <v>46267</v>
      </c>
      <c r="B2530" t="s">
        <v>688</v>
      </c>
      <c r="C2530" t="s">
        <v>4956</v>
      </c>
      <c r="D2530">
        <v>7746</v>
      </c>
      <c r="E2530" t="s">
        <v>692</v>
      </c>
      <c r="F2530">
        <v>68000</v>
      </c>
      <c r="G2530" t="s">
        <v>622</v>
      </c>
      <c r="H2530">
        <v>68000</v>
      </c>
      <c r="I2530" t="s">
        <v>2633</v>
      </c>
    </row>
    <row r="2531" spans="1:9" x14ac:dyDescent="0.25">
      <c r="A2531" s="91">
        <v>46267</v>
      </c>
      <c r="B2531" t="s">
        <v>682</v>
      </c>
      <c r="C2531" t="s">
        <v>4957</v>
      </c>
      <c r="D2531">
        <v>7552</v>
      </c>
      <c r="E2531" t="s">
        <v>2752</v>
      </c>
      <c r="F2531">
        <v>24000</v>
      </c>
      <c r="G2531" t="s">
        <v>622</v>
      </c>
      <c r="H2531">
        <v>24000</v>
      </c>
      <c r="I2531" t="s">
        <v>2633</v>
      </c>
    </row>
    <row r="2532" spans="1:9" x14ac:dyDescent="0.25">
      <c r="A2532" s="91">
        <v>46267</v>
      </c>
      <c r="B2532" t="s">
        <v>693</v>
      </c>
      <c r="C2532" t="s">
        <v>4958</v>
      </c>
      <c r="D2532">
        <v>910526</v>
      </c>
      <c r="E2532" t="s">
        <v>1602</v>
      </c>
      <c r="F2532">
        <v>9120</v>
      </c>
      <c r="G2532" t="s">
        <v>619</v>
      </c>
      <c r="H2532">
        <v>9120</v>
      </c>
      <c r="I2532" t="s">
        <v>2607</v>
      </c>
    </row>
    <row r="2533" spans="1:9" x14ac:dyDescent="0.25">
      <c r="A2533" s="91">
        <v>46268</v>
      </c>
      <c r="B2533" t="s">
        <v>685</v>
      </c>
      <c r="C2533" t="s">
        <v>4959</v>
      </c>
      <c r="D2533">
        <v>7374</v>
      </c>
      <c r="E2533" t="s">
        <v>785</v>
      </c>
      <c r="F2533">
        <v>25000</v>
      </c>
      <c r="G2533" t="s">
        <v>622</v>
      </c>
      <c r="H2533">
        <v>25000</v>
      </c>
      <c r="I2533" t="s">
        <v>2633</v>
      </c>
    </row>
    <row r="2534" spans="1:9" x14ac:dyDescent="0.25">
      <c r="A2534" s="91">
        <v>46272</v>
      </c>
      <c r="B2534" t="s">
        <v>688</v>
      </c>
      <c r="C2534" t="s">
        <v>4960</v>
      </c>
      <c r="D2534">
        <v>7741</v>
      </c>
      <c r="E2534" t="s">
        <v>690</v>
      </c>
      <c r="F2534">
        <v>68000</v>
      </c>
      <c r="G2534" t="s">
        <v>622</v>
      </c>
      <c r="H2534">
        <v>68000</v>
      </c>
      <c r="I2534" t="s">
        <v>2633</v>
      </c>
    </row>
    <row r="2535" spans="1:9" x14ac:dyDescent="0.25">
      <c r="A2535" s="91">
        <v>46273</v>
      </c>
      <c r="B2535" t="s">
        <v>688</v>
      </c>
      <c r="C2535" t="s">
        <v>4961</v>
      </c>
      <c r="D2535">
        <v>7741</v>
      </c>
      <c r="E2535" t="s">
        <v>690</v>
      </c>
      <c r="F2535">
        <v>68000</v>
      </c>
      <c r="G2535" t="s">
        <v>622</v>
      </c>
      <c r="H2535">
        <v>68000</v>
      </c>
      <c r="I2535" t="s">
        <v>2633</v>
      </c>
    </row>
    <row r="2536" spans="1:9" x14ac:dyDescent="0.25">
      <c r="A2536" s="91">
        <v>46273</v>
      </c>
      <c r="B2536" t="s">
        <v>682</v>
      </c>
      <c r="C2536" t="s">
        <v>4962</v>
      </c>
      <c r="D2536" t="s">
        <v>806</v>
      </c>
      <c r="E2536" t="s">
        <v>807</v>
      </c>
      <c r="F2536">
        <v>28000</v>
      </c>
      <c r="G2536" t="s">
        <v>622</v>
      </c>
      <c r="H2536">
        <v>28000</v>
      </c>
      <c r="I2536" t="s">
        <v>2633</v>
      </c>
    </row>
    <row r="2537" spans="1:9" x14ac:dyDescent="0.25">
      <c r="A2537" s="91">
        <v>46273</v>
      </c>
      <c r="B2537" t="s">
        <v>685</v>
      </c>
      <c r="C2537" t="s">
        <v>4963</v>
      </c>
      <c r="D2537">
        <v>7374</v>
      </c>
      <c r="E2537" t="s">
        <v>785</v>
      </c>
      <c r="F2537">
        <v>25000</v>
      </c>
      <c r="G2537" t="s">
        <v>622</v>
      </c>
      <c r="H2537">
        <v>25000</v>
      </c>
      <c r="I2537" t="s">
        <v>2633</v>
      </c>
    </row>
    <row r="2538" spans="1:9" x14ac:dyDescent="0.25">
      <c r="A2538" s="91">
        <v>46274</v>
      </c>
      <c r="B2538" t="s">
        <v>2608</v>
      </c>
      <c r="C2538" t="s">
        <v>4964</v>
      </c>
      <c r="D2538">
        <v>7018</v>
      </c>
      <c r="E2538" t="s">
        <v>1077</v>
      </c>
      <c r="F2538">
        <v>105000</v>
      </c>
      <c r="G2538" t="s">
        <v>622</v>
      </c>
      <c r="H2538">
        <v>105000</v>
      </c>
      <c r="I2538" t="s">
        <v>2609</v>
      </c>
    </row>
    <row r="2539" spans="1:9" x14ac:dyDescent="0.25">
      <c r="A2539" s="91">
        <v>46274</v>
      </c>
      <c r="B2539" t="s">
        <v>2608</v>
      </c>
      <c r="C2539" t="s">
        <v>4965</v>
      </c>
      <c r="D2539">
        <v>7016</v>
      </c>
      <c r="E2539" t="s">
        <v>628</v>
      </c>
      <c r="F2539">
        <v>105000</v>
      </c>
      <c r="G2539" t="s">
        <v>622</v>
      </c>
      <c r="H2539">
        <v>105000</v>
      </c>
      <c r="I2539" t="s">
        <v>2609</v>
      </c>
    </row>
    <row r="2540" spans="1:9" x14ac:dyDescent="0.25">
      <c r="A2540" s="91">
        <v>46274</v>
      </c>
      <c r="B2540" t="s">
        <v>715</v>
      </c>
      <c r="C2540" t="s">
        <v>4966</v>
      </c>
      <c r="D2540">
        <v>7185</v>
      </c>
      <c r="E2540" t="s">
        <v>717</v>
      </c>
      <c r="F2540">
        <v>55000</v>
      </c>
      <c r="G2540" t="s">
        <v>622</v>
      </c>
      <c r="H2540">
        <v>55000</v>
      </c>
      <c r="I2540" t="s">
        <v>2633</v>
      </c>
    </row>
    <row r="2541" spans="1:9" x14ac:dyDescent="0.25">
      <c r="A2541" s="91">
        <v>46274</v>
      </c>
      <c r="B2541" t="s">
        <v>693</v>
      </c>
      <c r="C2541" t="s">
        <v>4967</v>
      </c>
      <c r="D2541">
        <v>910526</v>
      </c>
      <c r="E2541" t="s">
        <v>1602</v>
      </c>
      <c r="F2541">
        <v>9120</v>
      </c>
      <c r="G2541" t="s">
        <v>619</v>
      </c>
      <c r="H2541">
        <v>9120</v>
      </c>
      <c r="I2541" t="s">
        <v>2607</v>
      </c>
    </row>
    <row r="2542" spans="1:9" x14ac:dyDescent="0.25">
      <c r="A2542" s="91">
        <v>46274</v>
      </c>
      <c r="B2542" t="s">
        <v>693</v>
      </c>
      <c r="C2542" t="s">
        <v>4968</v>
      </c>
      <c r="D2542">
        <v>910326</v>
      </c>
      <c r="E2542" t="s">
        <v>1583</v>
      </c>
      <c r="F2542">
        <v>9120</v>
      </c>
      <c r="G2542" t="s">
        <v>619</v>
      </c>
      <c r="H2542">
        <v>9120</v>
      </c>
      <c r="I2542" t="s">
        <v>2607</v>
      </c>
    </row>
    <row r="2543" spans="1:9" x14ac:dyDescent="0.25">
      <c r="A2543" s="91">
        <v>46274</v>
      </c>
      <c r="B2543" t="s">
        <v>682</v>
      </c>
      <c r="C2543" t="s">
        <v>4969</v>
      </c>
      <c r="D2543">
        <v>7279</v>
      </c>
      <c r="E2543" t="s">
        <v>754</v>
      </c>
      <c r="F2543">
        <v>29000</v>
      </c>
      <c r="G2543" t="s">
        <v>622</v>
      </c>
      <c r="H2543">
        <v>29000</v>
      </c>
      <c r="I2543" t="s">
        <v>2633</v>
      </c>
    </row>
    <row r="2544" spans="1:9" x14ac:dyDescent="0.25">
      <c r="A2544" s="91">
        <v>46274</v>
      </c>
      <c r="B2544" t="s">
        <v>688</v>
      </c>
      <c r="C2544" t="s">
        <v>4970</v>
      </c>
      <c r="D2544">
        <v>7741</v>
      </c>
      <c r="E2544" t="s">
        <v>690</v>
      </c>
      <c r="F2544">
        <v>68000</v>
      </c>
      <c r="G2544" t="s">
        <v>622</v>
      </c>
      <c r="H2544">
        <v>68000</v>
      </c>
      <c r="I2544" t="s">
        <v>2633</v>
      </c>
    </row>
    <row r="2545" spans="1:9" x14ac:dyDescent="0.25">
      <c r="A2545" s="91">
        <v>46275</v>
      </c>
      <c r="B2545" t="s">
        <v>679</v>
      </c>
      <c r="C2545" t="s">
        <v>4971</v>
      </c>
      <c r="D2545">
        <v>7213</v>
      </c>
      <c r="E2545" t="s">
        <v>719</v>
      </c>
      <c r="F2545">
        <v>85000</v>
      </c>
      <c r="G2545" t="s">
        <v>622</v>
      </c>
      <c r="H2545">
        <v>85000</v>
      </c>
      <c r="I2545" t="s">
        <v>2633</v>
      </c>
    </row>
    <row r="2546" spans="1:9" x14ac:dyDescent="0.25">
      <c r="A2546" s="91">
        <v>46275</v>
      </c>
      <c r="B2546" t="s">
        <v>685</v>
      </c>
      <c r="C2546" t="s">
        <v>4972</v>
      </c>
      <c r="D2546">
        <v>7373</v>
      </c>
      <c r="E2546" t="s">
        <v>783</v>
      </c>
      <c r="F2546">
        <v>25000</v>
      </c>
      <c r="G2546" t="s">
        <v>622</v>
      </c>
      <c r="H2546">
        <v>25000</v>
      </c>
      <c r="I2546" t="s">
        <v>2633</v>
      </c>
    </row>
    <row r="2547" spans="1:9" x14ac:dyDescent="0.25">
      <c r="A2547" s="91">
        <v>46279</v>
      </c>
      <c r="B2547" t="s">
        <v>2680</v>
      </c>
      <c r="C2547" t="s">
        <v>4973</v>
      </c>
      <c r="D2547">
        <v>900402</v>
      </c>
      <c r="E2547" t="s">
        <v>2886</v>
      </c>
      <c r="F2547">
        <v>480</v>
      </c>
      <c r="G2547" t="s">
        <v>619</v>
      </c>
      <c r="H2547">
        <v>480</v>
      </c>
      <c r="I2547" t="s">
        <v>2607</v>
      </c>
    </row>
    <row r="2548" spans="1:9" x14ac:dyDescent="0.25">
      <c r="A2548" s="91">
        <v>46279</v>
      </c>
      <c r="B2548" t="s">
        <v>2608</v>
      </c>
      <c r="C2548" t="s">
        <v>4974</v>
      </c>
      <c r="D2548">
        <v>79502</v>
      </c>
      <c r="E2548" t="s">
        <v>885</v>
      </c>
      <c r="F2548">
        <v>105000</v>
      </c>
      <c r="G2548" t="s">
        <v>622</v>
      </c>
      <c r="H2548">
        <v>105000</v>
      </c>
      <c r="I2548" t="s">
        <v>2609</v>
      </c>
    </row>
    <row r="2549" spans="1:9" x14ac:dyDescent="0.25">
      <c r="A2549" s="91">
        <v>46279</v>
      </c>
      <c r="B2549" t="s">
        <v>2608</v>
      </c>
      <c r="C2549" t="s">
        <v>4975</v>
      </c>
      <c r="D2549">
        <v>7033</v>
      </c>
      <c r="E2549" t="s">
        <v>1109</v>
      </c>
      <c r="F2549">
        <v>105000</v>
      </c>
      <c r="G2549" t="s">
        <v>622</v>
      </c>
      <c r="H2549">
        <v>105000</v>
      </c>
      <c r="I2549" t="s">
        <v>2609</v>
      </c>
    </row>
    <row r="2550" spans="1:9" x14ac:dyDescent="0.25">
      <c r="A2550" s="91">
        <v>46279</v>
      </c>
      <c r="B2550" t="s">
        <v>2608</v>
      </c>
      <c r="C2550" t="s">
        <v>4976</v>
      </c>
      <c r="D2550">
        <v>7046</v>
      </c>
      <c r="E2550" t="s">
        <v>1110</v>
      </c>
      <c r="F2550">
        <v>105000</v>
      </c>
      <c r="G2550" t="s">
        <v>622</v>
      </c>
      <c r="H2550">
        <v>105000</v>
      </c>
      <c r="I2550" t="s">
        <v>2609</v>
      </c>
    </row>
    <row r="2551" spans="1:9" x14ac:dyDescent="0.25">
      <c r="A2551" s="91">
        <v>46279</v>
      </c>
      <c r="B2551" t="s">
        <v>715</v>
      </c>
      <c r="C2551" t="s">
        <v>4977</v>
      </c>
      <c r="D2551">
        <v>7193</v>
      </c>
      <c r="E2551" t="s">
        <v>811</v>
      </c>
      <c r="F2551">
        <v>55000</v>
      </c>
      <c r="G2551" t="s">
        <v>622</v>
      </c>
      <c r="H2551">
        <v>55000</v>
      </c>
      <c r="I2551" t="s">
        <v>2633</v>
      </c>
    </row>
    <row r="2552" spans="1:9" x14ac:dyDescent="0.25">
      <c r="A2552" s="91">
        <v>46279</v>
      </c>
      <c r="B2552" t="s">
        <v>682</v>
      </c>
      <c r="C2552" t="s">
        <v>4978</v>
      </c>
      <c r="D2552">
        <v>7304</v>
      </c>
      <c r="E2552" t="s">
        <v>770</v>
      </c>
      <c r="F2552">
        <v>27000</v>
      </c>
      <c r="G2552" t="s">
        <v>622</v>
      </c>
      <c r="H2552">
        <v>27000</v>
      </c>
      <c r="I2552" t="s">
        <v>2633</v>
      </c>
    </row>
    <row r="2553" spans="1:9" x14ac:dyDescent="0.25">
      <c r="A2553" s="91">
        <v>46279</v>
      </c>
      <c r="B2553" t="s">
        <v>688</v>
      </c>
      <c r="C2553" t="s">
        <v>4979</v>
      </c>
      <c r="D2553">
        <v>7746</v>
      </c>
      <c r="E2553" t="s">
        <v>692</v>
      </c>
      <c r="F2553">
        <v>68000</v>
      </c>
      <c r="G2553" t="s">
        <v>622</v>
      </c>
      <c r="H2553">
        <v>68000</v>
      </c>
      <c r="I2553" t="s">
        <v>2633</v>
      </c>
    </row>
    <row r="2554" spans="1:9" x14ac:dyDescent="0.25">
      <c r="A2554" s="91">
        <v>46279</v>
      </c>
      <c r="B2554" t="s">
        <v>2733</v>
      </c>
      <c r="C2554" t="s">
        <v>4980</v>
      </c>
      <c r="D2554">
        <v>7128</v>
      </c>
      <c r="E2554" t="s">
        <v>633</v>
      </c>
      <c r="F2554">
        <v>105000</v>
      </c>
      <c r="G2554" t="s">
        <v>622</v>
      </c>
      <c r="H2554">
        <v>105000</v>
      </c>
      <c r="I2554" t="s">
        <v>2609</v>
      </c>
    </row>
    <row r="2555" spans="1:9" x14ac:dyDescent="0.25">
      <c r="A2555" s="91">
        <v>46280</v>
      </c>
      <c r="B2555" t="s">
        <v>688</v>
      </c>
      <c r="C2555" t="s">
        <v>4981</v>
      </c>
      <c r="D2555">
        <v>7746</v>
      </c>
      <c r="E2555" t="s">
        <v>692</v>
      </c>
      <c r="F2555">
        <v>68000</v>
      </c>
      <c r="G2555" t="s">
        <v>622</v>
      </c>
      <c r="H2555">
        <v>68000</v>
      </c>
      <c r="I2555" t="s">
        <v>2633</v>
      </c>
    </row>
    <row r="2556" spans="1:9" x14ac:dyDescent="0.25">
      <c r="A2556" s="91">
        <v>46280</v>
      </c>
      <c r="B2556" t="s">
        <v>682</v>
      </c>
      <c r="C2556" t="s">
        <v>4982</v>
      </c>
      <c r="D2556" t="s">
        <v>806</v>
      </c>
      <c r="E2556" t="s">
        <v>807</v>
      </c>
      <c r="F2556">
        <v>28000</v>
      </c>
      <c r="G2556" t="s">
        <v>622</v>
      </c>
      <c r="H2556">
        <v>28000</v>
      </c>
      <c r="I2556" t="s">
        <v>2633</v>
      </c>
    </row>
    <row r="2557" spans="1:9" x14ac:dyDescent="0.25">
      <c r="A2557" s="91">
        <v>46280</v>
      </c>
      <c r="B2557" t="s">
        <v>679</v>
      </c>
      <c r="C2557" t="s">
        <v>4983</v>
      </c>
      <c r="D2557">
        <v>7212</v>
      </c>
      <c r="E2557" t="s">
        <v>681</v>
      </c>
      <c r="F2557">
        <v>85000</v>
      </c>
      <c r="G2557" t="s">
        <v>622</v>
      </c>
      <c r="H2557">
        <v>85000</v>
      </c>
      <c r="I2557" t="s">
        <v>2633</v>
      </c>
    </row>
    <row r="2558" spans="1:9" x14ac:dyDescent="0.25">
      <c r="A2558" s="91">
        <v>46280</v>
      </c>
      <c r="B2558" t="s">
        <v>685</v>
      </c>
      <c r="C2558" t="s">
        <v>4984</v>
      </c>
      <c r="D2558">
        <v>7374</v>
      </c>
      <c r="E2558" t="s">
        <v>785</v>
      </c>
      <c r="F2558">
        <v>25000</v>
      </c>
      <c r="G2558" t="s">
        <v>622</v>
      </c>
      <c r="H2558">
        <v>25000</v>
      </c>
      <c r="I2558" t="s">
        <v>2633</v>
      </c>
    </row>
    <row r="2559" spans="1:9" x14ac:dyDescent="0.25">
      <c r="A2559" s="91">
        <v>46281</v>
      </c>
      <c r="B2559" t="s">
        <v>715</v>
      </c>
      <c r="C2559" t="s">
        <v>4985</v>
      </c>
      <c r="D2559">
        <v>7185</v>
      </c>
      <c r="E2559" t="s">
        <v>717</v>
      </c>
      <c r="F2559">
        <v>55000</v>
      </c>
      <c r="G2559" t="s">
        <v>622</v>
      </c>
      <c r="H2559">
        <v>55000</v>
      </c>
      <c r="I2559" t="s">
        <v>2633</v>
      </c>
    </row>
    <row r="2560" spans="1:9" x14ac:dyDescent="0.25">
      <c r="A2560" s="91">
        <v>46281</v>
      </c>
      <c r="B2560" t="s">
        <v>693</v>
      </c>
      <c r="C2560" t="s">
        <v>4986</v>
      </c>
      <c r="D2560">
        <v>910326</v>
      </c>
      <c r="E2560" t="s">
        <v>1583</v>
      </c>
      <c r="F2560">
        <v>9120</v>
      </c>
      <c r="G2560" t="s">
        <v>619</v>
      </c>
      <c r="H2560">
        <v>9120</v>
      </c>
      <c r="I2560" t="s">
        <v>2607</v>
      </c>
    </row>
    <row r="2561" spans="1:9" x14ac:dyDescent="0.25">
      <c r="A2561" s="91">
        <v>46281</v>
      </c>
      <c r="B2561" t="s">
        <v>693</v>
      </c>
      <c r="C2561" t="s">
        <v>4987</v>
      </c>
      <c r="D2561">
        <v>910526</v>
      </c>
      <c r="E2561" t="s">
        <v>1602</v>
      </c>
      <c r="F2561">
        <v>9120</v>
      </c>
      <c r="G2561" t="s">
        <v>619</v>
      </c>
      <c r="H2561">
        <v>9120</v>
      </c>
      <c r="I2561" t="s">
        <v>2607</v>
      </c>
    </row>
    <row r="2562" spans="1:9" x14ac:dyDescent="0.25">
      <c r="A2562" s="91">
        <v>46281</v>
      </c>
      <c r="B2562" t="s">
        <v>688</v>
      </c>
      <c r="C2562" t="s">
        <v>4988</v>
      </c>
      <c r="D2562">
        <v>7746</v>
      </c>
      <c r="E2562" t="s">
        <v>692</v>
      </c>
      <c r="F2562">
        <v>68000</v>
      </c>
      <c r="G2562" t="s">
        <v>622</v>
      </c>
      <c r="H2562">
        <v>68000</v>
      </c>
      <c r="I2562" t="s">
        <v>2633</v>
      </c>
    </row>
    <row r="2563" spans="1:9" x14ac:dyDescent="0.25">
      <c r="A2563" s="91">
        <v>46282</v>
      </c>
      <c r="B2563" t="s">
        <v>685</v>
      </c>
      <c r="C2563" t="s">
        <v>4989</v>
      </c>
      <c r="D2563">
        <v>7374</v>
      </c>
      <c r="E2563" t="s">
        <v>785</v>
      </c>
      <c r="F2563">
        <v>25000</v>
      </c>
      <c r="G2563" t="s">
        <v>622</v>
      </c>
      <c r="H2563">
        <v>25000</v>
      </c>
      <c r="I2563" t="s">
        <v>2633</v>
      </c>
    </row>
    <row r="2564" spans="1:9" x14ac:dyDescent="0.25">
      <c r="A2564" s="91">
        <v>46285</v>
      </c>
      <c r="B2564" t="s">
        <v>2621</v>
      </c>
      <c r="C2564" t="s">
        <v>4990</v>
      </c>
      <c r="D2564" t="s">
        <v>2910</v>
      </c>
      <c r="E2564" t="s">
        <v>2911</v>
      </c>
      <c r="F2564">
        <v>9233</v>
      </c>
      <c r="G2564" t="s">
        <v>619</v>
      </c>
      <c r="H2564">
        <v>9233</v>
      </c>
      <c r="I2564" t="s">
        <v>2607</v>
      </c>
    </row>
    <row r="2565" spans="1:9" x14ac:dyDescent="0.25">
      <c r="A2565" s="91">
        <v>46285</v>
      </c>
      <c r="B2565" t="s">
        <v>2621</v>
      </c>
      <c r="C2565" t="s">
        <v>4991</v>
      </c>
      <c r="D2565" t="s">
        <v>2626</v>
      </c>
      <c r="E2565" t="s">
        <v>2627</v>
      </c>
      <c r="F2565">
        <v>6180</v>
      </c>
      <c r="G2565" t="s">
        <v>619</v>
      </c>
      <c r="H2565">
        <v>6180</v>
      </c>
      <c r="I2565" t="s">
        <v>2607</v>
      </c>
    </row>
    <row r="2566" spans="1:9" x14ac:dyDescent="0.25">
      <c r="A2566" s="91">
        <v>46285</v>
      </c>
      <c r="B2566" t="s">
        <v>2621</v>
      </c>
      <c r="C2566" t="s">
        <v>4992</v>
      </c>
      <c r="D2566" t="s">
        <v>2669</v>
      </c>
      <c r="E2566" t="s">
        <v>2670</v>
      </c>
      <c r="F2566">
        <v>31710</v>
      </c>
      <c r="G2566" t="s">
        <v>619</v>
      </c>
      <c r="H2566">
        <v>31710</v>
      </c>
      <c r="I2566" t="s">
        <v>2607</v>
      </c>
    </row>
    <row r="2567" spans="1:9" x14ac:dyDescent="0.25">
      <c r="A2567" s="91">
        <v>46285</v>
      </c>
      <c r="B2567" t="s">
        <v>2621</v>
      </c>
      <c r="C2567" t="s">
        <v>4993</v>
      </c>
      <c r="D2567" t="s">
        <v>2650</v>
      </c>
      <c r="E2567" t="s">
        <v>2651</v>
      </c>
      <c r="F2567">
        <v>1288</v>
      </c>
      <c r="G2567" t="s">
        <v>619</v>
      </c>
      <c r="H2567">
        <v>1288</v>
      </c>
      <c r="I2567" t="s">
        <v>2607</v>
      </c>
    </row>
    <row r="2568" spans="1:9" x14ac:dyDescent="0.25">
      <c r="A2568" s="91">
        <v>46285</v>
      </c>
      <c r="B2568" t="s">
        <v>2621</v>
      </c>
      <c r="C2568" t="s">
        <v>4994</v>
      </c>
      <c r="D2568" t="s">
        <v>2793</v>
      </c>
      <c r="E2568" t="s">
        <v>2794</v>
      </c>
      <c r="F2568">
        <v>3874</v>
      </c>
      <c r="G2568" t="s">
        <v>619</v>
      </c>
      <c r="H2568">
        <v>3874</v>
      </c>
      <c r="I2568" t="s">
        <v>2607</v>
      </c>
    </row>
    <row r="2569" spans="1:9" x14ac:dyDescent="0.25">
      <c r="A2569" s="91">
        <v>46285</v>
      </c>
      <c r="B2569" t="s">
        <v>2621</v>
      </c>
      <c r="C2569" t="s">
        <v>4995</v>
      </c>
      <c r="D2569" t="s">
        <v>3785</v>
      </c>
      <c r="E2569" t="s">
        <v>3786</v>
      </c>
      <c r="F2569">
        <v>1176</v>
      </c>
      <c r="G2569" t="s">
        <v>619</v>
      </c>
      <c r="H2569">
        <v>1176</v>
      </c>
      <c r="I2569" t="s">
        <v>2607</v>
      </c>
    </row>
    <row r="2570" spans="1:9" x14ac:dyDescent="0.25">
      <c r="A2570" s="91">
        <v>46285</v>
      </c>
      <c r="B2570" t="s">
        <v>2621</v>
      </c>
      <c r="C2570" t="s">
        <v>4996</v>
      </c>
      <c r="D2570" t="s">
        <v>2756</v>
      </c>
      <c r="E2570" t="s">
        <v>2757</v>
      </c>
      <c r="F2570">
        <v>14145</v>
      </c>
      <c r="G2570" t="s">
        <v>619</v>
      </c>
      <c r="H2570">
        <v>14145</v>
      </c>
      <c r="I2570" t="s">
        <v>2607</v>
      </c>
    </row>
    <row r="2571" spans="1:9" x14ac:dyDescent="0.25">
      <c r="A2571" s="91">
        <v>46285</v>
      </c>
      <c r="B2571" t="s">
        <v>2621</v>
      </c>
      <c r="C2571" t="s">
        <v>4997</v>
      </c>
      <c r="D2571" t="s">
        <v>2694</v>
      </c>
      <c r="E2571" t="s">
        <v>2695</v>
      </c>
      <c r="F2571">
        <v>4172</v>
      </c>
      <c r="G2571" t="s">
        <v>619</v>
      </c>
      <c r="H2571">
        <v>4172</v>
      </c>
      <c r="I2571" t="s">
        <v>2607</v>
      </c>
    </row>
    <row r="2572" spans="1:9" x14ac:dyDescent="0.25">
      <c r="A2572" s="91">
        <v>46285</v>
      </c>
      <c r="B2572" t="s">
        <v>2621</v>
      </c>
      <c r="C2572" t="s">
        <v>4998</v>
      </c>
      <c r="D2572" t="s">
        <v>2639</v>
      </c>
      <c r="E2572" t="s">
        <v>2640</v>
      </c>
      <c r="F2572">
        <v>17700</v>
      </c>
      <c r="G2572" t="s">
        <v>619</v>
      </c>
      <c r="H2572">
        <v>17700</v>
      </c>
      <c r="I2572" t="s">
        <v>2607</v>
      </c>
    </row>
    <row r="2573" spans="1:9" x14ac:dyDescent="0.25">
      <c r="A2573" s="91">
        <v>46285</v>
      </c>
      <c r="B2573" t="s">
        <v>2621</v>
      </c>
      <c r="C2573" t="s">
        <v>4999</v>
      </c>
      <c r="D2573" t="s">
        <v>2643</v>
      </c>
      <c r="E2573" t="s">
        <v>2644</v>
      </c>
      <c r="F2573">
        <v>868</v>
      </c>
      <c r="G2573" t="s">
        <v>619</v>
      </c>
      <c r="H2573">
        <v>868</v>
      </c>
      <c r="I2573" t="s">
        <v>2607</v>
      </c>
    </row>
    <row r="2574" spans="1:9" x14ac:dyDescent="0.25">
      <c r="A2574" s="91">
        <v>46285</v>
      </c>
      <c r="B2574" t="s">
        <v>2621</v>
      </c>
      <c r="C2574" t="s">
        <v>5000</v>
      </c>
      <c r="D2574" t="s">
        <v>3073</v>
      </c>
      <c r="E2574" t="s">
        <v>3074</v>
      </c>
      <c r="F2574">
        <v>1204</v>
      </c>
      <c r="G2574" t="s">
        <v>619</v>
      </c>
      <c r="H2574">
        <v>1204</v>
      </c>
      <c r="I2574" t="s">
        <v>2607</v>
      </c>
    </row>
    <row r="2575" spans="1:9" x14ac:dyDescent="0.25">
      <c r="A2575" s="91">
        <v>46285</v>
      </c>
      <c r="B2575" t="s">
        <v>2621</v>
      </c>
      <c r="C2575" t="s">
        <v>5001</v>
      </c>
      <c r="D2575" t="s">
        <v>2713</v>
      </c>
      <c r="E2575" t="s">
        <v>2714</v>
      </c>
      <c r="F2575">
        <v>12719</v>
      </c>
      <c r="G2575" t="s">
        <v>619</v>
      </c>
      <c r="H2575">
        <v>12719</v>
      </c>
      <c r="I2575" t="s">
        <v>2607</v>
      </c>
    </row>
    <row r="2576" spans="1:9" x14ac:dyDescent="0.25">
      <c r="A2576" s="91">
        <v>46286</v>
      </c>
      <c r="B2576" t="s">
        <v>688</v>
      </c>
      <c r="C2576" t="s">
        <v>5002</v>
      </c>
      <c r="D2576">
        <v>7741</v>
      </c>
      <c r="E2576" t="s">
        <v>690</v>
      </c>
      <c r="F2576">
        <v>68000</v>
      </c>
      <c r="G2576" t="s">
        <v>622</v>
      </c>
      <c r="H2576">
        <v>68000</v>
      </c>
      <c r="I2576" t="s">
        <v>2633</v>
      </c>
    </row>
    <row r="2577" spans="1:9" x14ac:dyDescent="0.25">
      <c r="A2577" s="91">
        <v>46286</v>
      </c>
      <c r="B2577" t="s">
        <v>682</v>
      </c>
      <c r="C2577" t="s">
        <v>5003</v>
      </c>
      <c r="D2577">
        <v>7297</v>
      </c>
      <c r="E2577" t="s">
        <v>684</v>
      </c>
      <c r="F2577">
        <v>30000</v>
      </c>
      <c r="G2577" t="s">
        <v>622</v>
      </c>
      <c r="H2577">
        <v>30000</v>
      </c>
      <c r="I2577" t="s">
        <v>2633</v>
      </c>
    </row>
    <row r="2578" spans="1:9" x14ac:dyDescent="0.25">
      <c r="A2578" s="91">
        <v>46286</v>
      </c>
      <c r="B2578" t="s">
        <v>2606</v>
      </c>
      <c r="C2578" t="s">
        <v>5004</v>
      </c>
      <c r="D2578">
        <v>7013</v>
      </c>
      <c r="E2578" t="s">
        <v>630</v>
      </c>
      <c r="F2578">
        <v>105000</v>
      </c>
      <c r="G2578" t="s">
        <v>622</v>
      </c>
      <c r="H2578">
        <v>105000</v>
      </c>
      <c r="I2578" t="s">
        <v>2609</v>
      </c>
    </row>
    <row r="2579" spans="1:9" x14ac:dyDescent="0.25">
      <c r="A2579" s="91">
        <v>46287</v>
      </c>
      <c r="B2579" t="s">
        <v>688</v>
      </c>
      <c r="C2579" t="s">
        <v>5005</v>
      </c>
      <c r="D2579">
        <v>7741</v>
      </c>
      <c r="E2579" t="s">
        <v>690</v>
      </c>
      <c r="F2579">
        <v>68000</v>
      </c>
      <c r="G2579" t="s">
        <v>622</v>
      </c>
      <c r="H2579">
        <v>68000</v>
      </c>
      <c r="I2579" t="s">
        <v>2633</v>
      </c>
    </row>
    <row r="2580" spans="1:9" x14ac:dyDescent="0.25">
      <c r="A2580" s="91">
        <v>46287</v>
      </c>
      <c r="B2580" t="s">
        <v>682</v>
      </c>
      <c r="C2580" t="s">
        <v>5006</v>
      </c>
      <c r="D2580">
        <v>7281</v>
      </c>
      <c r="E2580" t="s">
        <v>739</v>
      </c>
      <c r="F2580">
        <v>28000</v>
      </c>
      <c r="G2580" t="s">
        <v>622</v>
      </c>
      <c r="H2580">
        <v>28000</v>
      </c>
      <c r="I2580" t="s">
        <v>2633</v>
      </c>
    </row>
    <row r="2581" spans="1:9" x14ac:dyDescent="0.25">
      <c r="A2581" s="91">
        <v>46287</v>
      </c>
      <c r="B2581" t="s">
        <v>685</v>
      </c>
      <c r="C2581" t="s">
        <v>5007</v>
      </c>
      <c r="D2581" t="s">
        <v>722</v>
      </c>
      <c r="E2581" t="s">
        <v>723</v>
      </c>
      <c r="F2581">
        <v>40000</v>
      </c>
      <c r="G2581" t="s">
        <v>622</v>
      </c>
      <c r="H2581">
        <v>40000</v>
      </c>
      <c r="I2581" t="s">
        <v>2633</v>
      </c>
    </row>
    <row r="2582" spans="1:9" x14ac:dyDescent="0.25">
      <c r="A2582" s="91">
        <v>46288</v>
      </c>
      <c r="B2582" t="s">
        <v>715</v>
      </c>
      <c r="C2582" t="s">
        <v>5008</v>
      </c>
      <c r="D2582">
        <v>7185</v>
      </c>
      <c r="E2582" t="s">
        <v>717</v>
      </c>
      <c r="F2582">
        <v>55000</v>
      </c>
      <c r="G2582" t="s">
        <v>622</v>
      </c>
      <c r="H2582">
        <v>55000</v>
      </c>
      <c r="I2582" t="s">
        <v>2633</v>
      </c>
    </row>
    <row r="2583" spans="1:9" x14ac:dyDescent="0.25">
      <c r="A2583" s="91">
        <v>46288</v>
      </c>
      <c r="B2583" t="s">
        <v>688</v>
      </c>
      <c r="C2583" t="s">
        <v>5009</v>
      </c>
      <c r="D2583">
        <v>7741</v>
      </c>
      <c r="E2583" t="s">
        <v>690</v>
      </c>
      <c r="F2583">
        <v>68000</v>
      </c>
      <c r="G2583" t="s">
        <v>622</v>
      </c>
      <c r="H2583">
        <v>68000</v>
      </c>
      <c r="I2583" t="s">
        <v>2633</v>
      </c>
    </row>
    <row r="2584" spans="1:9" x14ac:dyDescent="0.25">
      <c r="A2584" s="91">
        <v>46288</v>
      </c>
      <c r="B2584" t="s">
        <v>682</v>
      </c>
      <c r="C2584" t="s">
        <v>5010</v>
      </c>
      <c r="D2584">
        <v>7552</v>
      </c>
      <c r="E2584" t="s">
        <v>2752</v>
      </c>
      <c r="F2584">
        <v>24000</v>
      </c>
      <c r="G2584" t="s">
        <v>622</v>
      </c>
      <c r="H2584">
        <v>24000</v>
      </c>
      <c r="I2584" t="s">
        <v>2633</v>
      </c>
    </row>
    <row r="2585" spans="1:9" x14ac:dyDescent="0.25">
      <c r="A2585" s="91">
        <v>46289</v>
      </c>
      <c r="B2585" t="s">
        <v>693</v>
      </c>
      <c r="C2585" t="s">
        <v>5011</v>
      </c>
      <c r="D2585">
        <v>910526</v>
      </c>
      <c r="E2585" t="s">
        <v>1602</v>
      </c>
      <c r="F2585">
        <v>9120</v>
      </c>
      <c r="G2585" t="s">
        <v>619</v>
      </c>
      <c r="H2585">
        <v>9120</v>
      </c>
      <c r="I2585" t="s">
        <v>2607</v>
      </c>
    </row>
    <row r="2586" spans="1:9" x14ac:dyDescent="0.25">
      <c r="A2586" s="91">
        <v>46289</v>
      </c>
      <c r="B2586" t="s">
        <v>693</v>
      </c>
      <c r="C2586" t="s">
        <v>5012</v>
      </c>
      <c r="D2586">
        <v>910326</v>
      </c>
      <c r="E2586" t="s">
        <v>1583</v>
      </c>
      <c r="F2586">
        <v>9120</v>
      </c>
      <c r="G2586" t="s">
        <v>619</v>
      </c>
      <c r="H2586">
        <v>9120</v>
      </c>
      <c r="I2586" t="s">
        <v>2607</v>
      </c>
    </row>
    <row r="2587" spans="1:9" x14ac:dyDescent="0.25">
      <c r="A2587" s="91">
        <v>46289</v>
      </c>
      <c r="B2587" t="s">
        <v>685</v>
      </c>
      <c r="C2587" t="s">
        <v>5013</v>
      </c>
      <c r="D2587">
        <v>7372</v>
      </c>
      <c r="E2587" t="s">
        <v>741</v>
      </c>
      <c r="F2587">
        <v>40000</v>
      </c>
      <c r="G2587" t="s">
        <v>622</v>
      </c>
      <c r="H2587">
        <v>40000</v>
      </c>
      <c r="I2587" t="s">
        <v>2633</v>
      </c>
    </row>
    <row r="2588" spans="1:9" x14ac:dyDescent="0.25">
      <c r="A2588" s="91">
        <v>46289</v>
      </c>
      <c r="B2588" t="s">
        <v>2608</v>
      </c>
      <c r="C2588" t="s">
        <v>5014</v>
      </c>
      <c r="D2588">
        <v>7121</v>
      </c>
      <c r="E2588" t="s">
        <v>635</v>
      </c>
      <c r="F2588">
        <v>95000</v>
      </c>
      <c r="G2588" t="s">
        <v>622</v>
      </c>
      <c r="H2588">
        <v>95000</v>
      </c>
      <c r="I2588" t="s">
        <v>2609</v>
      </c>
    </row>
    <row r="2589" spans="1:9" x14ac:dyDescent="0.25">
      <c r="A2589" s="91">
        <v>46290</v>
      </c>
      <c r="B2589" t="s">
        <v>2608</v>
      </c>
      <c r="C2589" t="s">
        <v>5015</v>
      </c>
      <c r="D2589">
        <v>7010</v>
      </c>
      <c r="E2589" t="s">
        <v>621</v>
      </c>
      <c r="F2589">
        <v>105000</v>
      </c>
      <c r="G2589" t="s">
        <v>622</v>
      </c>
      <c r="H2589">
        <v>105000</v>
      </c>
      <c r="I2589" t="s">
        <v>2609</v>
      </c>
    </row>
    <row r="2590" spans="1:9" x14ac:dyDescent="0.25">
      <c r="A2590" s="91">
        <v>46293</v>
      </c>
      <c r="B2590" t="s">
        <v>2606</v>
      </c>
      <c r="C2590" t="s">
        <v>5016</v>
      </c>
      <c r="D2590">
        <v>7037</v>
      </c>
      <c r="E2590" t="s">
        <v>632</v>
      </c>
      <c r="F2590">
        <v>105000</v>
      </c>
      <c r="G2590" t="s">
        <v>622</v>
      </c>
      <c r="H2590">
        <v>105000</v>
      </c>
      <c r="I2590" t="s">
        <v>2609</v>
      </c>
    </row>
    <row r="2591" spans="1:9" x14ac:dyDescent="0.25">
      <c r="A2591" s="91">
        <v>46293</v>
      </c>
      <c r="B2591" t="s">
        <v>715</v>
      </c>
      <c r="C2591" t="s">
        <v>5017</v>
      </c>
      <c r="D2591">
        <v>7185</v>
      </c>
      <c r="E2591" t="s">
        <v>717</v>
      </c>
      <c r="F2591">
        <v>55000</v>
      </c>
      <c r="G2591" t="s">
        <v>622</v>
      </c>
      <c r="H2591">
        <v>55000</v>
      </c>
      <c r="I2591" t="s">
        <v>2633</v>
      </c>
    </row>
    <row r="2592" spans="1:9" x14ac:dyDescent="0.25">
      <c r="A2592" s="91">
        <v>46293</v>
      </c>
      <c r="B2592" t="s">
        <v>688</v>
      </c>
      <c r="C2592" t="s">
        <v>5018</v>
      </c>
      <c r="D2592">
        <v>7746</v>
      </c>
      <c r="E2592" t="s">
        <v>692</v>
      </c>
      <c r="F2592">
        <v>68000</v>
      </c>
      <c r="G2592" t="s">
        <v>622</v>
      </c>
      <c r="H2592">
        <v>68000</v>
      </c>
      <c r="I2592" t="s">
        <v>2633</v>
      </c>
    </row>
    <row r="2593" spans="1:9" x14ac:dyDescent="0.25">
      <c r="A2593" s="91">
        <v>46294</v>
      </c>
      <c r="B2593" t="s">
        <v>685</v>
      </c>
      <c r="C2593" t="s">
        <v>5019</v>
      </c>
      <c r="D2593" t="s">
        <v>686</v>
      </c>
      <c r="E2593" t="s">
        <v>687</v>
      </c>
      <c r="F2593">
        <v>40000</v>
      </c>
      <c r="G2593" t="s">
        <v>622</v>
      </c>
      <c r="H2593">
        <v>40000</v>
      </c>
      <c r="I2593" t="s">
        <v>2633</v>
      </c>
    </row>
    <row r="2594" spans="1:9" x14ac:dyDescent="0.25">
      <c r="A2594" s="91">
        <v>46294</v>
      </c>
      <c r="B2594" t="s">
        <v>679</v>
      </c>
      <c r="C2594" t="s">
        <v>5020</v>
      </c>
      <c r="D2594">
        <v>7213</v>
      </c>
      <c r="E2594" t="s">
        <v>719</v>
      </c>
      <c r="F2594">
        <v>85000</v>
      </c>
      <c r="G2594" t="s">
        <v>622</v>
      </c>
      <c r="H2594">
        <v>85000</v>
      </c>
      <c r="I2594" t="s">
        <v>2633</v>
      </c>
    </row>
    <row r="2595" spans="1:9" x14ac:dyDescent="0.25">
      <c r="A2595" s="91">
        <v>46294</v>
      </c>
      <c r="B2595" t="s">
        <v>682</v>
      </c>
      <c r="C2595" t="s">
        <v>5021</v>
      </c>
      <c r="D2595" t="s">
        <v>806</v>
      </c>
      <c r="E2595" t="s">
        <v>807</v>
      </c>
      <c r="F2595">
        <v>28000</v>
      </c>
      <c r="G2595" t="s">
        <v>622</v>
      </c>
      <c r="H2595">
        <v>28000</v>
      </c>
      <c r="I2595" t="s">
        <v>2633</v>
      </c>
    </row>
    <row r="2596" spans="1:9" x14ac:dyDescent="0.25">
      <c r="A2596" s="91">
        <v>46294</v>
      </c>
      <c r="B2596" t="s">
        <v>688</v>
      </c>
      <c r="C2596" t="s">
        <v>5022</v>
      </c>
      <c r="D2596">
        <v>7746</v>
      </c>
      <c r="E2596" t="s">
        <v>692</v>
      </c>
      <c r="F2596">
        <v>68000</v>
      </c>
      <c r="G2596" t="s">
        <v>622</v>
      </c>
      <c r="H2596">
        <v>68000</v>
      </c>
      <c r="I2596" t="s">
        <v>2633</v>
      </c>
    </row>
    <row r="2597" spans="1:9" x14ac:dyDescent="0.25">
      <c r="A2597" s="91">
        <v>46295</v>
      </c>
      <c r="B2597" t="s">
        <v>688</v>
      </c>
      <c r="C2597" t="s">
        <v>5023</v>
      </c>
      <c r="D2597">
        <v>7746</v>
      </c>
      <c r="E2597" t="s">
        <v>692</v>
      </c>
      <c r="F2597">
        <v>68000</v>
      </c>
      <c r="G2597" t="s">
        <v>622</v>
      </c>
      <c r="H2597">
        <v>68000</v>
      </c>
      <c r="I2597" t="s">
        <v>2633</v>
      </c>
    </row>
    <row r="2598" spans="1:9" x14ac:dyDescent="0.25">
      <c r="A2598" s="91">
        <v>46295</v>
      </c>
      <c r="B2598" t="s">
        <v>682</v>
      </c>
      <c r="C2598" t="s">
        <v>5024</v>
      </c>
      <c r="D2598">
        <v>7302</v>
      </c>
      <c r="E2598" t="s">
        <v>768</v>
      </c>
      <c r="F2598">
        <v>27000</v>
      </c>
      <c r="G2598" t="s">
        <v>622</v>
      </c>
      <c r="H2598">
        <v>27000</v>
      </c>
      <c r="I2598" t="s">
        <v>2633</v>
      </c>
    </row>
    <row r="2599" spans="1:9" x14ac:dyDescent="0.25">
      <c r="A2599" s="91">
        <v>46296</v>
      </c>
      <c r="B2599" t="s">
        <v>2606</v>
      </c>
      <c r="C2599" t="s">
        <v>5025</v>
      </c>
      <c r="D2599">
        <v>7019</v>
      </c>
      <c r="E2599" t="s">
        <v>1108</v>
      </c>
      <c r="F2599">
        <v>95000</v>
      </c>
      <c r="G2599" t="s">
        <v>622</v>
      </c>
      <c r="H2599">
        <v>95000</v>
      </c>
      <c r="I2599" t="s">
        <v>2609</v>
      </c>
    </row>
    <row r="2600" spans="1:9" x14ac:dyDescent="0.25">
      <c r="A2600" s="91">
        <v>46300</v>
      </c>
      <c r="B2600" t="s">
        <v>688</v>
      </c>
      <c r="C2600" t="s">
        <v>5026</v>
      </c>
      <c r="D2600">
        <v>7741</v>
      </c>
      <c r="E2600" t="s">
        <v>690</v>
      </c>
      <c r="F2600">
        <v>68000</v>
      </c>
      <c r="G2600" t="s">
        <v>622</v>
      </c>
      <c r="H2600">
        <v>68000</v>
      </c>
      <c r="I2600" t="s">
        <v>2633</v>
      </c>
    </row>
    <row r="2601" spans="1:9" x14ac:dyDescent="0.25">
      <c r="A2601" s="91">
        <v>46300</v>
      </c>
      <c r="B2601" t="s">
        <v>682</v>
      </c>
      <c r="C2601" t="s">
        <v>5027</v>
      </c>
      <c r="D2601">
        <v>7279</v>
      </c>
      <c r="E2601" t="s">
        <v>754</v>
      </c>
      <c r="F2601">
        <v>29000</v>
      </c>
      <c r="G2601" t="s">
        <v>622</v>
      </c>
      <c r="H2601">
        <v>29000</v>
      </c>
      <c r="I2601" t="s">
        <v>2633</v>
      </c>
    </row>
    <row r="2602" spans="1:9" x14ac:dyDescent="0.25">
      <c r="A2602" s="91">
        <v>46300</v>
      </c>
      <c r="B2602" t="s">
        <v>693</v>
      </c>
      <c r="C2602" t="s">
        <v>5028</v>
      </c>
      <c r="D2602">
        <v>910526</v>
      </c>
      <c r="E2602" t="s">
        <v>1602</v>
      </c>
      <c r="F2602">
        <v>9120</v>
      </c>
      <c r="G2602" t="s">
        <v>619</v>
      </c>
      <c r="H2602">
        <v>9120</v>
      </c>
      <c r="I2602" t="s">
        <v>2607</v>
      </c>
    </row>
    <row r="2603" spans="1:9" x14ac:dyDescent="0.25">
      <c r="A2603" s="91">
        <v>46300</v>
      </c>
      <c r="B2603" t="s">
        <v>693</v>
      </c>
      <c r="C2603" t="s">
        <v>5029</v>
      </c>
      <c r="D2603">
        <v>910326</v>
      </c>
      <c r="E2603" t="s">
        <v>1583</v>
      </c>
      <c r="F2603">
        <v>9120</v>
      </c>
      <c r="G2603" t="s">
        <v>619</v>
      </c>
      <c r="H2603">
        <v>9120</v>
      </c>
      <c r="I2603" t="s">
        <v>2607</v>
      </c>
    </row>
    <row r="2604" spans="1:9" x14ac:dyDescent="0.25">
      <c r="A2604" s="91">
        <v>46301</v>
      </c>
      <c r="B2604" t="s">
        <v>685</v>
      </c>
      <c r="C2604" t="s">
        <v>5030</v>
      </c>
      <c r="D2604">
        <v>7374</v>
      </c>
      <c r="E2604" t="s">
        <v>785</v>
      </c>
      <c r="F2604">
        <v>25000</v>
      </c>
      <c r="G2604" t="s">
        <v>622</v>
      </c>
      <c r="H2604">
        <v>25000</v>
      </c>
      <c r="I2604" t="s">
        <v>2633</v>
      </c>
    </row>
    <row r="2605" spans="1:9" x14ac:dyDescent="0.25">
      <c r="A2605" s="91">
        <v>46301</v>
      </c>
      <c r="B2605" t="s">
        <v>679</v>
      </c>
      <c r="C2605" t="s">
        <v>5031</v>
      </c>
      <c r="D2605">
        <v>7212</v>
      </c>
      <c r="E2605" t="s">
        <v>681</v>
      </c>
      <c r="F2605">
        <v>85000</v>
      </c>
      <c r="G2605" t="s">
        <v>622</v>
      </c>
      <c r="H2605">
        <v>85000</v>
      </c>
      <c r="I2605" t="s">
        <v>2633</v>
      </c>
    </row>
    <row r="2606" spans="1:9" x14ac:dyDescent="0.25">
      <c r="A2606" s="91">
        <v>46301</v>
      </c>
      <c r="B2606" t="s">
        <v>688</v>
      </c>
      <c r="C2606" t="s">
        <v>5032</v>
      </c>
      <c r="D2606">
        <v>7741</v>
      </c>
      <c r="E2606" t="s">
        <v>690</v>
      </c>
      <c r="F2606">
        <v>68000</v>
      </c>
      <c r="G2606" t="s">
        <v>622</v>
      </c>
      <c r="H2606">
        <v>68000</v>
      </c>
      <c r="I2606" t="s">
        <v>2633</v>
      </c>
    </row>
    <row r="2607" spans="1:9" x14ac:dyDescent="0.25">
      <c r="A2607" s="91">
        <v>46301</v>
      </c>
      <c r="B2607" t="s">
        <v>682</v>
      </c>
      <c r="C2607" t="s">
        <v>5033</v>
      </c>
      <c r="D2607" t="s">
        <v>806</v>
      </c>
      <c r="E2607" t="s">
        <v>807</v>
      </c>
      <c r="F2607">
        <v>28000</v>
      </c>
      <c r="G2607" t="s">
        <v>622</v>
      </c>
      <c r="H2607">
        <v>28000</v>
      </c>
      <c r="I2607" t="s">
        <v>2633</v>
      </c>
    </row>
    <row r="2608" spans="1:9" x14ac:dyDescent="0.25">
      <c r="A2608" s="91">
        <v>46302</v>
      </c>
      <c r="B2608" t="s">
        <v>688</v>
      </c>
      <c r="C2608" t="s">
        <v>5034</v>
      </c>
      <c r="D2608">
        <v>7741</v>
      </c>
      <c r="E2608" t="s">
        <v>690</v>
      </c>
      <c r="F2608">
        <v>68000</v>
      </c>
      <c r="G2608" t="s">
        <v>622</v>
      </c>
      <c r="H2608">
        <v>68000</v>
      </c>
      <c r="I2608" t="s">
        <v>2633</v>
      </c>
    </row>
    <row r="2609" spans="1:9" x14ac:dyDescent="0.25">
      <c r="A2609" s="91">
        <v>46302</v>
      </c>
      <c r="B2609" t="s">
        <v>715</v>
      </c>
      <c r="C2609" t="s">
        <v>5035</v>
      </c>
      <c r="D2609">
        <v>7193</v>
      </c>
      <c r="E2609" t="s">
        <v>811</v>
      </c>
      <c r="F2609">
        <v>55000</v>
      </c>
      <c r="G2609" t="s">
        <v>622</v>
      </c>
      <c r="H2609">
        <v>55000</v>
      </c>
      <c r="I2609" t="s">
        <v>2633</v>
      </c>
    </row>
    <row r="2610" spans="1:9" x14ac:dyDescent="0.25">
      <c r="A2610" s="91">
        <v>46302</v>
      </c>
      <c r="B2610" t="s">
        <v>685</v>
      </c>
      <c r="C2610" t="s">
        <v>5036</v>
      </c>
      <c r="D2610">
        <v>7374</v>
      </c>
      <c r="E2610" t="s">
        <v>785</v>
      </c>
      <c r="F2610">
        <v>25000</v>
      </c>
      <c r="G2610" t="s">
        <v>622</v>
      </c>
      <c r="H2610">
        <v>25000</v>
      </c>
      <c r="I2610" t="s">
        <v>2633</v>
      </c>
    </row>
    <row r="2611" spans="1:9" x14ac:dyDescent="0.25">
      <c r="A2611" s="91">
        <v>46303</v>
      </c>
      <c r="B2611" t="s">
        <v>685</v>
      </c>
      <c r="C2611" t="s">
        <v>5037</v>
      </c>
      <c r="D2611">
        <v>7373</v>
      </c>
      <c r="E2611" t="s">
        <v>783</v>
      </c>
      <c r="F2611">
        <v>25000</v>
      </c>
      <c r="G2611" t="s">
        <v>622</v>
      </c>
      <c r="H2611">
        <v>25000</v>
      </c>
      <c r="I2611" t="s">
        <v>2633</v>
      </c>
    </row>
    <row r="2612" spans="1:9" x14ac:dyDescent="0.25">
      <c r="A2612" s="91">
        <v>46307</v>
      </c>
      <c r="B2612" t="s">
        <v>2608</v>
      </c>
      <c r="C2612" t="s">
        <v>5038</v>
      </c>
      <c r="D2612">
        <v>79500</v>
      </c>
      <c r="E2612" t="s">
        <v>625</v>
      </c>
      <c r="F2612">
        <v>105000</v>
      </c>
      <c r="G2612" t="s">
        <v>622</v>
      </c>
      <c r="H2612">
        <v>105000</v>
      </c>
      <c r="I2612" t="s">
        <v>2609</v>
      </c>
    </row>
    <row r="2613" spans="1:9" x14ac:dyDescent="0.25">
      <c r="A2613" s="91">
        <v>46307</v>
      </c>
      <c r="B2613" t="s">
        <v>685</v>
      </c>
      <c r="C2613" t="s">
        <v>5039</v>
      </c>
      <c r="D2613">
        <v>7374</v>
      </c>
      <c r="E2613" t="s">
        <v>785</v>
      </c>
      <c r="F2613">
        <v>25000</v>
      </c>
      <c r="G2613" t="s">
        <v>622</v>
      </c>
      <c r="H2613">
        <v>25000</v>
      </c>
      <c r="I2613" t="s">
        <v>2633</v>
      </c>
    </row>
    <row r="2614" spans="1:9" x14ac:dyDescent="0.25">
      <c r="A2614" s="91">
        <v>46307</v>
      </c>
      <c r="B2614" t="s">
        <v>682</v>
      </c>
      <c r="C2614" t="s">
        <v>5040</v>
      </c>
      <c r="D2614">
        <v>7304</v>
      </c>
      <c r="E2614" t="s">
        <v>770</v>
      </c>
      <c r="F2614">
        <v>27000</v>
      </c>
      <c r="G2614" t="s">
        <v>622</v>
      </c>
      <c r="H2614">
        <v>27000</v>
      </c>
      <c r="I2614" t="s">
        <v>2633</v>
      </c>
    </row>
    <row r="2615" spans="1:9" x14ac:dyDescent="0.25">
      <c r="A2615" s="91">
        <v>46307</v>
      </c>
      <c r="B2615" t="s">
        <v>688</v>
      </c>
      <c r="C2615" t="s">
        <v>5041</v>
      </c>
      <c r="D2615">
        <v>7746</v>
      </c>
      <c r="E2615" t="s">
        <v>692</v>
      </c>
      <c r="F2615">
        <v>68000</v>
      </c>
      <c r="G2615" t="s">
        <v>622</v>
      </c>
      <c r="H2615">
        <v>68000</v>
      </c>
      <c r="I2615" t="s">
        <v>2633</v>
      </c>
    </row>
    <row r="2616" spans="1:9" x14ac:dyDescent="0.25">
      <c r="A2616" s="91">
        <v>46307</v>
      </c>
      <c r="B2616" t="s">
        <v>679</v>
      </c>
      <c r="C2616" t="s">
        <v>5042</v>
      </c>
      <c r="D2616">
        <v>7212</v>
      </c>
      <c r="E2616" t="s">
        <v>681</v>
      </c>
      <c r="F2616">
        <v>85000</v>
      </c>
      <c r="G2616" t="s">
        <v>622</v>
      </c>
      <c r="H2616">
        <v>85000</v>
      </c>
      <c r="I2616" t="s">
        <v>2633</v>
      </c>
    </row>
    <row r="2617" spans="1:9" x14ac:dyDescent="0.25">
      <c r="A2617" s="91">
        <v>46308</v>
      </c>
      <c r="B2617" t="s">
        <v>688</v>
      </c>
      <c r="C2617" t="s">
        <v>5043</v>
      </c>
      <c r="D2617">
        <v>7746</v>
      </c>
      <c r="E2617" t="s">
        <v>692</v>
      </c>
      <c r="F2617">
        <v>68000</v>
      </c>
      <c r="G2617" t="s">
        <v>622</v>
      </c>
      <c r="H2617">
        <v>68000</v>
      </c>
      <c r="I2617" t="s">
        <v>2633</v>
      </c>
    </row>
    <row r="2618" spans="1:9" x14ac:dyDescent="0.25">
      <c r="A2618" s="91">
        <v>46308</v>
      </c>
      <c r="B2618" t="s">
        <v>682</v>
      </c>
      <c r="C2618" t="s">
        <v>5044</v>
      </c>
      <c r="D2618">
        <v>7281</v>
      </c>
      <c r="E2618" t="s">
        <v>739</v>
      </c>
      <c r="F2618">
        <v>28000</v>
      </c>
      <c r="G2618" t="s">
        <v>622</v>
      </c>
      <c r="H2618">
        <v>28000</v>
      </c>
      <c r="I2618" t="s">
        <v>2633</v>
      </c>
    </row>
    <row r="2619" spans="1:9" x14ac:dyDescent="0.25">
      <c r="A2619" s="91">
        <v>46308</v>
      </c>
      <c r="B2619" t="s">
        <v>693</v>
      </c>
      <c r="C2619" t="s">
        <v>5045</v>
      </c>
      <c r="D2619">
        <v>910326</v>
      </c>
      <c r="E2619" t="s">
        <v>1583</v>
      </c>
      <c r="F2619">
        <v>9120</v>
      </c>
      <c r="G2619" t="s">
        <v>619</v>
      </c>
      <c r="H2619">
        <v>9120</v>
      </c>
      <c r="I2619" t="s">
        <v>2607</v>
      </c>
    </row>
    <row r="2620" spans="1:9" x14ac:dyDescent="0.25">
      <c r="A2620" s="91">
        <v>46308</v>
      </c>
      <c r="B2620" t="s">
        <v>693</v>
      </c>
      <c r="C2620" t="s">
        <v>5046</v>
      </c>
      <c r="D2620">
        <v>910526</v>
      </c>
      <c r="E2620" t="s">
        <v>1602</v>
      </c>
      <c r="F2620">
        <v>9120</v>
      </c>
      <c r="G2620" t="s">
        <v>619</v>
      </c>
      <c r="H2620">
        <v>9120</v>
      </c>
      <c r="I2620" t="s">
        <v>2607</v>
      </c>
    </row>
    <row r="2621" spans="1:9" x14ac:dyDescent="0.25">
      <c r="A2621" s="91">
        <v>46308</v>
      </c>
      <c r="B2621" t="s">
        <v>715</v>
      </c>
      <c r="C2621" t="s">
        <v>5047</v>
      </c>
      <c r="D2621">
        <v>7185</v>
      </c>
      <c r="E2621" t="s">
        <v>717</v>
      </c>
      <c r="F2621">
        <v>55000</v>
      </c>
      <c r="G2621" t="s">
        <v>622</v>
      </c>
      <c r="H2621">
        <v>55000</v>
      </c>
      <c r="I2621" t="s">
        <v>2633</v>
      </c>
    </row>
    <row r="2622" spans="1:9" x14ac:dyDescent="0.25">
      <c r="A2622" s="91">
        <v>46309</v>
      </c>
      <c r="B2622" t="s">
        <v>682</v>
      </c>
      <c r="C2622" t="s">
        <v>5048</v>
      </c>
      <c r="D2622">
        <v>7552</v>
      </c>
      <c r="E2622" t="s">
        <v>2752</v>
      </c>
      <c r="F2622">
        <v>24000</v>
      </c>
      <c r="G2622" t="s">
        <v>622</v>
      </c>
      <c r="H2622">
        <v>24000</v>
      </c>
      <c r="I2622" t="s">
        <v>2633</v>
      </c>
    </row>
    <row r="2623" spans="1:9" x14ac:dyDescent="0.25">
      <c r="A2623" s="91">
        <v>46309</v>
      </c>
      <c r="B2623" t="s">
        <v>685</v>
      </c>
      <c r="C2623" t="s">
        <v>5049</v>
      </c>
      <c r="D2623">
        <v>7374</v>
      </c>
      <c r="E2623" t="s">
        <v>785</v>
      </c>
      <c r="F2623">
        <v>25000</v>
      </c>
      <c r="G2623" t="s">
        <v>622</v>
      </c>
      <c r="H2623">
        <v>25000</v>
      </c>
      <c r="I2623" t="s">
        <v>2633</v>
      </c>
    </row>
    <row r="2624" spans="1:9" x14ac:dyDescent="0.25">
      <c r="A2624" s="91">
        <v>46309</v>
      </c>
      <c r="B2624" t="s">
        <v>688</v>
      </c>
      <c r="C2624" t="s">
        <v>5050</v>
      </c>
      <c r="D2624">
        <v>7746</v>
      </c>
      <c r="E2624" t="s">
        <v>692</v>
      </c>
      <c r="F2624">
        <v>68000</v>
      </c>
      <c r="G2624" t="s">
        <v>622</v>
      </c>
      <c r="H2624">
        <v>68000</v>
      </c>
      <c r="I2624" t="s">
        <v>2633</v>
      </c>
    </row>
    <row r="2625" spans="1:9" x14ac:dyDescent="0.25">
      <c r="A2625" s="91">
        <v>46310</v>
      </c>
      <c r="B2625" t="s">
        <v>685</v>
      </c>
      <c r="C2625" t="s">
        <v>5051</v>
      </c>
      <c r="D2625">
        <v>7373</v>
      </c>
      <c r="E2625" t="s">
        <v>783</v>
      </c>
      <c r="F2625">
        <v>25000</v>
      </c>
      <c r="G2625" t="s">
        <v>622</v>
      </c>
      <c r="H2625">
        <v>25000</v>
      </c>
      <c r="I2625" t="s">
        <v>2633</v>
      </c>
    </row>
    <row r="2626" spans="1:9" x14ac:dyDescent="0.25">
      <c r="A2626" s="91">
        <v>46314</v>
      </c>
      <c r="B2626" t="s">
        <v>688</v>
      </c>
      <c r="C2626" t="s">
        <v>5052</v>
      </c>
      <c r="D2626">
        <v>7741</v>
      </c>
      <c r="E2626" t="s">
        <v>690</v>
      </c>
      <c r="F2626">
        <v>68000</v>
      </c>
      <c r="G2626" t="s">
        <v>622</v>
      </c>
      <c r="H2626">
        <v>68000</v>
      </c>
      <c r="I2626" t="s">
        <v>2633</v>
      </c>
    </row>
    <row r="2627" spans="1:9" x14ac:dyDescent="0.25">
      <c r="A2627" s="91">
        <v>46314</v>
      </c>
      <c r="B2627" t="s">
        <v>682</v>
      </c>
      <c r="C2627" t="s">
        <v>5053</v>
      </c>
      <c r="D2627">
        <v>7297</v>
      </c>
      <c r="E2627" t="s">
        <v>684</v>
      </c>
      <c r="F2627">
        <v>30000</v>
      </c>
      <c r="G2627" t="s">
        <v>622</v>
      </c>
      <c r="H2627">
        <v>30000</v>
      </c>
      <c r="I2627" t="s">
        <v>2633</v>
      </c>
    </row>
    <row r="2628" spans="1:9" x14ac:dyDescent="0.25">
      <c r="A2628" s="91">
        <v>46314</v>
      </c>
      <c r="B2628" t="s">
        <v>679</v>
      </c>
      <c r="C2628" t="s">
        <v>5054</v>
      </c>
      <c r="D2628">
        <v>7213</v>
      </c>
      <c r="E2628" t="s">
        <v>719</v>
      </c>
      <c r="F2628">
        <v>85000</v>
      </c>
      <c r="G2628" t="s">
        <v>622</v>
      </c>
      <c r="H2628">
        <v>85000</v>
      </c>
      <c r="I2628" t="s">
        <v>2633</v>
      </c>
    </row>
    <row r="2629" spans="1:9" x14ac:dyDescent="0.25">
      <c r="A2629" s="91">
        <v>46315</v>
      </c>
      <c r="B2629" t="s">
        <v>688</v>
      </c>
      <c r="C2629" t="s">
        <v>5055</v>
      </c>
      <c r="D2629">
        <v>7741</v>
      </c>
      <c r="E2629" t="s">
        <v>690</v>
      </c>
      <c r="F2629">
        <v>68000</v>
      </c>
      <c r="G2629" t="s">
        <v>622</v>
      </c>
      <c r="H2629">
        <v>68000</v>
      </c>
      <c r="I2629" t="s">
        <v>2633</v>
      </c>
    </row>
    <row r="2630" spans="1:9" x14ac:dyDescent="0.25">
      <c r="A2630" s="91">
        <v>46315</v>
      </c>
      <c r="B2630" t="s">
        <v>682</v>
      </c>
      <c r="C2630" t="s">
        <v>5056</v>
      </c>
      <c r="D2630" t="s">
        <v>806</v>
      </c>
      <c r="E2630" t="s">
        <v>807</v>
      </c>
      <c r="F2630">
        <v>28000</v>
      </c>
      <c r="G2630" t="s">
        <v>622</v>
      </c>
      <c r="H2630">
        <v>28000</v>
      </c>
      <c r="I2630" t="s">
        <v>2633</v>
      </c>
    </row>
    <row r="2631" spans="1:9" x14ac:dyDescent="0.25">
      <c r="A2631" s="91">
        <v>46315</v>
      </c>
      <c r="B2631" t="s">
        <v>685</v>
      </c>
      <c r="C2631" t="s">
        <v>5057</v>
      </c>
      <c r="D2631" t="s">
        <v>722</v>
      </c>
      <c r="E2631" t="s">
        <v>723</v>
      </c>
      <c r="F2631">
        <v>40000</v>
      </c>
      <c r="G2631" t="s">
        <v>622</v>
      </c>
      <c r="H2631">
        <v>40000</v>
      </c>
      <c r="I2631" t="s">
        <v>2633</v>
      </c>
    </row>
    <row r="2632" spans="1:9" x14ac:dyDescent="0.25">
      <c r="A2632" s="91">
        <v>46315</v>
      </c>
      <c r="B2632" t="s">
        <v>2608</v>
      </c>
      <c r="C2632" t="s">
        <v>5058</v>
      </c>
      <c r="D2632">
        <v>7121</v>
      </c>
      <c r="E2632" t="s">
        <v>635</v>
      </c>
      <c r="F2632">
        <v>95000</v>
      </c>
      <c r="G2632" t="s">
        <v>622</v>
      </c>
      <c r="H2632">
        <v>95000</v>
      </c>
      <c r="I2632" t="s">
        <v>2609</v>
      </c>
    </row>
    <row r="2633" spans="1:9" x14ac:dyDescent="0.25">
      <c r="A2633" s="91">
        <v>46316</v>
      </c>
      <c r="B2633" t="s">
        <v>2608</v>
      </c>
      <c r="C2633" t="s">
        <v>5059</v>
      </c>
      <c r="D2633">
        <v>7076</v>
      </c>
      <c r="E2633" t="s">
        <v>634</v>
      </c>
      <c r="F2633">
        <v>95000</v>
      </c>
      <c r="G2633" t="s">
        <v>622</v>
      </c>
      <c r="H2633">
        <v>95000</v>
      </c>
      <c r="I2633" t="s">
        <v>2609</v>
      </c>
    </row>
    <row r="2634" spans="1:9" x14ac:dyDescent="0.25">
      <c r="A2634" s="91">
        <v>46316</v>
      </c>
      <c r="B2634" t="s">
        <v>693</v>
      </c>
      <c r="C2634" t="s">
        <v>5060</v>
      </c>
      <c r="D2634">
        <v>910326</v>
      </c>
      <c r="E2634" t="s">
        <v>1583</v>
      </c>
      <c r="F2634">
        <v>9120</v>
      </c>
      <c r="G2634" t="s">
        <v>619</v>
      </c>
      <c r="H2634">
        <v>9120</v>
      </c>
      <c r="I2634" t="s">
        <v>2607</v>
      </c>
    </row>
    <row r="2635" spans="1:9" x14ac:dyDescent="0.25">
      <c r="A2635" s="91">
        <v>46316</v>
      </c>
      <c r="B2635" t="s">
        <v>715</v>
      </c>
      <c r="C2635" t="s">
        <v>5061</v>
      </c>
      <c r="D2635">
        <v>7185</v>
      </c>
      <c r="E2635" t="s">
        <v>717</v>
      </c>
      <c r="F2635">
        <v>55000</v>
      </c>
      <c r="G2635" t="s">
        <v>622</v>
      </c>
      <c r="H2635">
        <v>55000</v>
      </c>
      <c r="I2635" t="s">
        <v>2633</v>
      </c>
    </row>
    <row r="2636" spans="1:9" x14ac:dyDescent="0.25">
      <c r="A2636" s="91">
        <v>46316</v>
      </c>
      <c r="B2636" t="s">
        <v>688</v>
      </c>
      <c r="C2636" t="s">
        <v>5062</v>
      </c>
      <c r="D2636">
        <v>7741</v>
      </c>
      <c r="E2636" t="s">
        <v>690</v>
      </c>
      <c r="F2636">
        <v>68000</v>
      </c>
      <c r="G2636" t="s">
        <v>622</v>
      </c>
      <c r="H2636">
        <v>68000</v>
      </c>
      <c r="I2636" t="s">
        <v>2633</v>
      </c>
    </row>
    <row r="2637" spans="1:9" x14ac:dyDescent="0.25">
      <c r="A2637" s="91">
        <v>46316</v>
      </c>
      <c r="B2637" t="s">
        <v>693</v>
      </c>
      <c r="C2637" t="s">
        <v>5063</v>
      </c>
      <c r="D2637">
        <v>910526</v>
      </c>
      <c r="E2637" t="s">
        <v>1602</v>
      </c>
      <c r="F2637">
        <v>9120</v>
      </c>
      <c r="G2637" t="s">
        <v>619</v>
      </c>
      <c r="H2637">
        <v>9120</v>
      </c>
      <c r="I2637" t="s">
        <v>2607</v>
      </c>
    </row>
    <row r="2638" spans="1:9" x14ac:dyDescent="0.25">
      <c r="A2638" s="91">
        <v>46317</v>
      </c>
      <c r="B2638" t="s">
        <v>685</v>
      </c>
      <c r="C2638" t="s">
        <v>5064</v>
      </c>
      <c r="D2638" t="s">
        <v>686</v>
      </c>
      <c r="E2638" t="s">
        <v>687</v>
      </c>
      <c r="F2638">
        <v>40000</v>
      </c>
      <c r="G2638" t="s">
        <v>622</v>
      </c>
      <c r="H2638">
        <v>40000</v>
      </c>
      <c r="I2638" t="s">
        <v>2633</v>
      </c>
    </row>
    <row r="2639" spans="1:9" x14ac:dyDescent="0.25">
      <c r="A2639" s="91">
        <v>46317</v>
      </c>
      <c r="B2639" t="s">
        <v>2608</v>
      </c>
      <c r="C2639" t="s">
        <v>5065</v>
      </c>
      <c r="D2639">
        <v>79502</v>
      </c>
      <c r="E2639" t="s">
        <v>885</v>
      </c>
      <c r="F2639">
        <v>105000</v>
      </c>
      <c r="G2639" t="s">
        <v>622</v>
      </c>
      <c r="H2639">
        <v>105000</v>
      </c>
      <c r="I2639" t="s">
        <v>2609</v>
      </c>
    </row>
    <row r="2640" spans="1:9" x14ac:dyDescent="0.25">
      <c r="A2640" s="91">
        <v>46317</v>
      </c>
      <c r="B2640" t="s">
        <v>2608</v>
      </c>
      <c r="C2640" t="s">
        <v>5066</v>
      </c>
      <c r="D2640">
        <v>7154</v>
      </c>
      <c r="E2640" t="s">
        <v>631</v>
      </c>
      <c r="F2640">
        <v>105000</v>
      </c>
      <c r="G2640" t="s">
        <v>622</v>
      </c>
      <c r="H2640">
        <v>105000</v>
      </c>
      <c r="I2640" t="s">
        <v>2609</v>
      </c>
    </row>
    <row r="2641" spans="1:9" x14ac:dyDescent="0.25">
      <c r="A2641" s="91">
        <v>46321</v>
      </c>
      <c r="B2641" t="s">
        <v>688</v>
      </c>
      <c r="C2641" t="s">
        <v>5067</v>
      </c>
      <c r="D2641">
        <v>7746</v>
      </c>
      <c r="E2641" t="s">
        <v>692</v>
      </c>
      <c r="F2641">
        <v>68000</v>
      </c>
      <c r="G2641" t="s">
        <v>622</v>
      </c>
      <c r="H2641">
        <v>68000</v>
      </c>
      <c r="I2641" t="s">
        <v>2633</v>
      </c>
    </row>
    <row r="2642" spans="1:9" x14ac:dyDescent="0.25">
      <c r="A2642" s="91">
        <v>46321</v>
      </c>
      <c r="B2642" t="s">
        <v>682</v>
      </c>
      <c r="C2642" t="s">
        <v>5068</v>
      </c>
      <c r="D2642">
        <v>7279</v>
      </c>
      <c r="E2642" t="s">
        <v>754</v>
      </c>
      <c r="F2642">
        <v>29000</v>
      </c>
      <c r="G2642" t="s">
        <v>622</v>
      </c>
      <c r="H2642">
        <v>29000</v>
      </c>
      <c r="I2642" t="s">
        <v>2633</v>
      </c>
    </row>
    <row r="2643" spans="1:9" x14ac:dyDescent="0.25">
      <c r="A2643" s="91">
        <v>46321</v>
      </c>
      <c r="B2643" t="s">
        <v>2608</v>
      </c>
      <c r="C2643" t="s">
        <v>5069</v>
      </c>
      <c r="D2643">
        <v>79501</v>
      </c>
      <c r="E2643" t="s">
        <v>629</v>
      </c>
      <c r="F2643">
        <v>105000</v>
      </c>
      <c r="G2643" t="s">
        <v>622</v>
      </c>
      <c r="H2643">
        <v>105000</v>
      </c>
      <c r="I2643" t="s">
        <v>2609</v>
      </c>
    </row>
    <row r="2644" spans="1:9" x14ac:dyDescent="0.25">
      <c r="A2644" s="91">
        <v>46322</v>
      </c>
      <c r="B2644" t="s">
        <v>679</v>
      </c>
      <c r="C2644" t="s">
        <v>5070</v>
      </c>
      <c r="D2644">
        <v>7212</v>
      </c>
      <c r="E2644" t="s">
        <v>681</v>
      </c>
      <c r="F2644">
        <v>85000</v>
      </c>
      <c r="G2644" t="s">
        <v>622</v>
      </c>
      <c r="H2644">
        <v>85000</v>
      </c>
      <c r="I2644" t="s">
        <v>2633</v>
      </c>
    </row>
    <row r="2645" spans="1:9" x14ac:dyDescent="0.25">
      <c r="A2645" s="91">
        <v>46322</v>
      </c>
      <c r="B2645" t="s">
        <v>685</v>
      </c>
      <c r="C2645" t="s">
        <v>5071</v>
      </c>
      <c r="D2645">
        <v>7372</v>
      </c>
      <c r="E2645" t="s">
        <v>741</v>
      </c>
      <c r="F2645">
        <v>40000</v>
      </c>
      <c r="G2645" t="s">
        <v>622</v>
      </c>
      <c r="H2645">
        <v>40000</v>
      </c>
      <c r="I2645" t="s">
        <v>2633</v>
      </c>
    </row>
    <row r="2646" spans="1:9" x14ac:dyDescent="0.25">
      <c r="A2646" s="91">
        <v>46322</v>
      </c>
      <c r="B2646" t="s">
        <v>693</v>
      </c>
      <c r="C2646" t="s">
        <v>5072</v>
      </c>
      <c r="D2646">
        <v>910326</v>
      </c>
      <c r="E2646" t="s">
        <v>1583</v>
      </c>
      <c r="F2646">
        <v>9120</v>
      </c>
      <c r="G2646" t="s">
        <v>619</v>
      </c>
      <c r="H2646">
        <v>9120</v>
      </c>
      <c r="I2646" t="s">
        <v>2607</v>
      </c>
    </row>
    <row r="2647" spans="1:9" x14ac:dyDescent="0.25">
      <c r="A2647" s="91">
        <v>46322</v>
      </c>
      <c r="B2647" t="s">
        <v>682</v>
      </c>
      <c r="C2647" t="s">
        <v>5073</v>
      </c>
      <c r="D2647">
        <v>7302</v>
      </c>
      <c r="E2647" t="s">
        <v>768</v>
      </c>
      <c r="F2647">
        <v>27000</v>
      </c>
      <c r="G2647" t="s">
        <v>622</v>
      </c>
      <c r="H2647">
        <v>27000</v>
      </c>
      <c r="I2647" t="s">
        <v>2633</v>
      </c>
    </row>
    <row r="2648" spans="1:9" x14ac:dyDescent="0.25">
      <c r="A2648" s="91">
        <v>46322</v>
      </c>
      <c r="B2648" t="s">
        <v>688</v>
      </c>
      <c r="C2648" t="s">
        <v>5074</v>
      </c>
      <c r="D2648">
        <v>7746</v>
      </c>
      <c r="E2648" t="s">
        <v>692</v>
      </c>
      <c r="F2648">
        <v>68000</v>
      </c>
      <c r="G2648" t="s">
        <v>622</v>
      </c>
      <c r="H2648">
        <v>68000</v>
      </c>
      <c r="I2648" t="s">
        <v>2633</v>
      </c>
    </row>
    <row r="2649" spans="1:9" x14ac:dyDescent="0.25">
      <c r="A2649" s="91">
        <v>46322</v>
      </c>
      <c r="B2649" t="s">
        <v>693</v>
      </c>
      <c r="C2649" t="s">
        <v>5075</v>
      </c>
      <c r="D2649">
        <v>910526</v>
      </c>
      <c r="E2649" t="s">
        <v>1602</v>
      </c>
      <c r="F2649">
        <v>9120</v>
      </c>
      <c r="G2649" t="s">
        <v>619</v>
      </c>
      <c r="H2649">
        <v>9120</v>
      </c>
      <c r="I2649" t="s">
        <v>2607</v>
      </c>
    </row>
    <row r="2650" spans="1:9" x14ac:dyDescent="0.25">
      <c r="A2650" s="91">
        <v>46323</v>
      </c>
      <c r="B2650" t="s">
        <v>688</v>
      </c>
      <c r="C2650" t="s">
        <v>5076</v>
      </c>
      <c r="D2650">
        <v>7746</v>
      </c>
      <c r="E2650" t="s">
        <v>692</v>
      </c>
      <c r="F2650">
        <v>68000</v>
      </c>
      <c r="G2650" t="s">
        <v>622</v>
      </c>
      <c r="H2650">
        <v>68000</v>
      </c>
      <c r="I2650" t="s">
        <v>2633</v>
      </c>
    </row>
    <row r="2651" spans="1:9" x14ac:dyDescent="0.25">
      <c r="A2651" s="91">
        <v>46323</v>
      </c>
      <c r="B2651" t="s">
        <v>682</v>
      </c>
      <c r="C2651" t="s">
        <v>5077</v>
      </c>
      <c r="D2651">
        <v>7552</v>
      </c>
      <c r="E2651" t="s">
        <v>2752</v>
      </c>
      <c r="F2651">
        <v>24000</v>
      </c>
      <c r="G2651" t="s">
        <v>622</v>
      </c>
      <c r="H2651">
        <v>24000</v>
      </c>
      <c r="I2651" t="s">
        <v>2633</v>
      </c>
    </row>
    <row r="2652" spans="1:9" x14ac:dyDescent="0.25">
      <c r="A2652" s="91">
        <v>46324</v>
      </c>
      <c r="B2652" t="s">
        <v>715</v>
      </c>
      <c r="C2652" t="s">
        <v>5078</v>
      </c>
      <c r="D2652">
        <v>7193</v>
      </c>
      <c r="E2652" t="s">
        <v>811</v>
      </c>
      <c r="F2652">
        <v>55000</v>
      </c>
      <c r="G2652" t="s">
        <v>622</v>
      </c>
      <c r="H2652">
        <v>55000</v>
      </c>
      <c r="I2652" t="s">
        <v>2633</v>
      </c>
    </row>
    <row r="2653" spans="1:9" x14ac:dyDescent="0.25">
      <c r="A2653" s="91">
        <v>46328</v>
      </c>
      <c r="B2653" t="s">
        <v>688</v>
      </c>
      <c r="C2653" t="s">
        <v>5079</v>
      </c>
      <c r="D2653">
        <v>7741</v>
      </c>
      <c r="E2653" t="s">
        <v>690</v>
      </c>
      <c r="F2653">
        <v>68000</v>
      </c>
      <c r="G2653" t="s">
        <v>622</v>
      </c>
      <c r="H2653">
        <v>68000</v>
      </c>
      <c r="I2653" t="s">
        <v>2633</v>
      </c>
    </row>
    <row r="2654" spans="1:9" x14ac:dyDescent="0.25">
      <c r="A2654" s="91">
        <v>46328</v>
      </c>
      <c r="B2654" t="s">
        <v>715</v>
      </c>
      <c r="C2654" t="s">
        <v>5080</v>
      </c>
      <c r="D2654">
        <v>7185</v>
      </c>
      <c r="E2654" t="s">
        <v>717</v>
      </c>
      <c r="F2654">
        <v>55000</v>
      </c>
      <c r="G2654" t="s">
        <v>622</v>
      </c>
      <c r="H2654">
        <v>55000</v>
      </c>
      <c r="I2654" t="s">
        <v>2633</v>
      </c>
    </row>
    <row r="2655" spans="1:9" x14ac:dyDescent="0.25">
      <c r="A2655" s="91">
        <v>46329</v>
      </c>
      <c r="B2655" t="s">
        <v>693</v>
      </c>
      <c r="C2655" t="s">
        <v>5081</v>
      </c>
      <c r="D2655">
        <v>910526</v>
      </c>
      <c r="E2655" t="s">
        <v>1602</v>
      </c>
      <c r="F2655">
        <v>9121</v>
      </c>
      <c r="G2655" t="s">
        <v>619</v>
      </c>
      <c r="H2655">
        <v>9121</v>
      </c>
      <c r="I2655" t="s">
        <v>2607</v>
      </c>
    </row>
    <row r="2656" spans="1:9" x14ac:dyDescent="0.25">
      <c r="A2656" s="91">
        <v>46329</v>
      </c>
      <c r="B2656" t="s">
        <v>685</v>
      </c>
      <c r="C2656" t="s">
        <v>5082</v>
      </c>
      <c r="D2656">
        <v>7374</v>
      </c>
      <c r="E2656" t="s">
        <v>785</v>
      </c>
      <c r="F2656">
        <v>25000</v>
      </c>
      <c r="G2656" t="s">
        <v>622</v>
      </c>
      <c r="H2656">
        <v>25000</v>
      </c>
      <c r="I2656" t="s">
        <v>2633</v>
      </c>
    </row>
    <row r="2657" spans="1:9" x14ac:dyDescent="0.25">
      <c r="A2657" s="91">
        <v>46329</v>
      </c>
      <c r="B2657" t="s">
        <v>693</v>
      </c>
      <c r="C2657" t="s">
        <v>5083</v>
      </c>
      <c r="D2657">
        <v>910326</v>
      </c>
      <c r="E2657" t="s">
        <v>1583</v>
      </c>
      <c r="F2657">
        <v>9121</v>
      </c>
      <c r="G2657" t="s">
        <v>619</v>
      </c>
      <c r="H2657">
        <v>9121</v>
      </c>
      <c r="I2657" t="s">
        <v>2607</v>
      </c>
    </row>
    <row r="2658" spans="1:9" x14ac:dyDescent="0.25">
      <c r="A2658" s="91">
        <v>46329</v>
      </c>
      <c r="B2658" t="s">
        <v>2733</v>
      </c>
      <c r="C2658" t="s">
        <v>5084</v>
      </c>
      <c r="D2658">
        <v>7128</v>
      </c>
      <c r="E2658" t="s">
        <v>633</v>
      </c>
      <c r="F2658">
        <v>105000</v>
      </c>
      <c r="G2658" t="s">
        <v>622</v>
      </c>
      <c r="H2658">
        <v>105000</v>
      </c>
      <c r="I2658" t="s">
        <v>2609</v>
      </c>
    </row>
    <row r="2659" spans="1:9" x14ac:dyDescent="0.25">
      <c r="A2659" s="91">
        <v>46329</v>
      </c>
      <c r="B2659" t="s">
        <v>688</v>
      </c>
      <c r="C2659" t="s">
        <v>5085</v>
      </c>
      <c r="D2659">
        <v>7741</v>
      </c>
      <c r="E2659" t="s">
        <v>690</v>
      </c>
      <c r="F2659">
        <v>68000</v>
      </c>
      <c r="G2659" t="s">
        <v>622</v>
      </c>
      <c r="H2659">
        <v>68000</v>
      </c>
      <c r="I2659" t="s">
        <v>2633</v>
      </c>
    </row>
    <row r="2660" spans="1:9" x14ac:dyDescent="0.25">
      <c r="A2660" s="91">
        <v>46329</v>
      </c>
      <c r="B2660" t="s">
        <v>682</v>
      </c>
      <c r="C2660" t="s">
        <v>5086</v>
      </c>
      <c r="D2660">
        <v>7552</v>
      </c>
      <c r="E2660" t="s">
        <v>2752</v>
      </c>
      <c r="F2660">
        <v>24000</v>
      </c>
      <c r="G2660" t="s">
        <v>622</v>
      </c>
      <c r="H2660">
        <v>24000</v>
      </c>
      <c r="I2660" t="s">
        <v>2633</v>
      </c>
    </row>
    <row r="2661" spans="1:9" x14ac:dyDescent="0.25">
      <c r="A2661" s="91">
        <v>46330</v>
      </c>
      <c r="B2661" t="s">
        <v>688</v>
      </c>
      <c r="C2661" t="s">
        <v>5087</v>
      </c>
      <c r="D2661">
        <v>7741</v>
      </c>
      <c r="E2661" t="s">
        <v>690</v>
      </c>
      <c r="F2661">
        <v>68000</v>
      </c>
      <c r="G2661" t="s">
        <v>622</v>
      </c>
      <c r="H2661">
        <v>68000</v>
      </c>
      <c r="I2661" t="s">
        <v>2633</v>
      </c>
    </row>
    <row r="2662" spans="1:9" x14ac:dyDescent="0.25">
      <c r="A2662" s="91">
        <v>46331</v>
      </c>
      <c r="B2662" t="s">
        <v>685</v>
      </c>
      <c r="C2662" t="s">
        <v>5088</v>
      </c>
      <c r="D2662">
        <v>7374</v>
      </c>
      <c r="E2662" t="s">
        <v>785</v>
      </c>
      <c r="F2662">
        <v>25000</v>
      </c>
      <c r="G2662" t="s">
        <v>622</v>
      </c>
      <c r="H2662">
        <v>25000</v>
      </c>
      <c r="I2662" t="s">
        <v>2633</v>
      </c>
    </row>
    <row r="2663" spans="1:9" x14ac:dyDescent="0.25">
      <c r="A2663" s="91">
        <v>46335</v>
      </c>
      <c r="B2663" t="s">
        <v>2608</v>
      </c>
      <c r="C2663" t="s">
        <v>5089</v>
      </c>
      <c r="D2663">
        <v>7033</v>
      </c>
      <c r="E2663" t="s">
        <v>1109</v>
      </c>
      <c r="F2663">
        <v>105000</v>
      </c>
      <c r="G2663" t="s">
        <v>622</v>
      </c>
      <c r="H2663">
        <v>105000</v>
      </c>
      <c r="I2663" t="s">
        <v>2609</v>
      </c>
    </row>
    <row r="2664" spans="1:9" x14ac:dyDescent="0.25">
      <c r="A2664" s="91">
        <v>46335</v>
      </c>
      <c r="B2664" t="s">
        <v>2608</v>
      </c>
      <c r="C2664" t="s">
        <v>5090</v>
      </c>
      <c r="D2664">
        <v>79502</v>
      </c>
      <c r="E2664" t="s">
        <v>885</v>
      </c>
      <c r="F2664">
        <v>105000</v>
      </c>
      <c r="G2664" t="s">
        <v>622</v>
      </c>
      <c r="H2664">
        <v>105000</v>
      </c>
      <c r="I2664" t="s">
        <v>2609</v>
      </c>
    </row>
    <row r="2665" spans="1:9" x14ac:dyDescent="0.25">
      <c r="A2665" s="91">
        <v>46335</v>
      </c>
      <c r="B2665" t="s">
        <v>2608</v>
      </c>
      <c r="C2665" t="s">
        <v>5091</v>
      </c>
      <c r="D2665">
        <v>7016</v>
      </c>
      <c r="E2665" t="s">
        <v>628</v>
      </c>
      <c r="F2665">
        <v>105000</v>
      </c>
      <c r="G2665" t="s">
        <v>622</v>
      </c>
      <c r="H2665">
        <v>105000</v>
      </c>
      <c r="I2665" t="s">
        <v>2609</v>
      </c>
    </row>
    <row r="2666" spans="1:9" x14ac:dyDescent="0.25">
      <c r="A2666" s="91">
        <v>46335</v>
      </c>
      <c r="B2666" t="s">
        <v>688</v>
      </c>
      <c r="C2666" t="s">
        <v>5092</v>
      </c>
      <c r="D2666">
        <v>7746</v>
      </c>
      <c r="E2666" t="s">
        <v>692</v>
      </c>
      <c r="F2666">
        <v>68000</v>
      </c>
      <c r="G2666" t="s">
        <v>622</v>
      </c>
      <c r="H2666">
        <v>68000</v>
      </c>
      <c r="I2666" t="s">
        <v>2633</v>
      </c>
    </row>
    <row r="2667" spans="1:9" x14ac:dyDescent="0.25">
      <c r="A2667" s="91">
        <v>46335</v>
      </c>
      <c r="B2667" t="s">
        <v>685</v>
      </c>
      <c r="C2667" t="s">
        <v>5093</v>
      </c>
      <c r="D2667">
        <v>7373</v>
      </c>
      <c r="E2667" t="s">
        <v>783</v>
      </c>
      <c r="F2667">
        <v>25000</v>
      </c>
      <c r="G2667" t="s">
        <v>622</v>
      </c>
      <c r="H2667">
        <v>25000</v>
      </c>
      <c r="I2667" t="s">
        <v>2633</v>
      </c>
    </row>
    <row r="2668" spans="1:9" x14ac:dyDescent="0.25">
      <c r="A2668" s="91">
        <v>46336</v>
      </c>
      <c r="B2668" t="s">
        <v>688</v>
      </c>
      <c r="C2668" t="s">
        <v>5094</v>
      </c>
      <c r="D2668">
        <v>7746</v>
      </c>
      <c r="E2668" t="s">
        <v>692</v>
      </c>
      <c r="F2668">
        <v>68000</v>
      </c>
      <c r="G2668" t="s">
        <v>622</v>
      </c>
      <c r="H2668">
        <v>68000</v>
      </c>
      <c r="I2668" t="s">
        <v>2633</v>
      </c>
    </row>
    <row r="2669" spans="1:9" x14ac:dyDescent="0.25">
      <c r="A2669" s="91">
        <v>46336</v>
      </c>
      <c r="B2669" t="s">
        <v>693</v>
      </c>
      <c r="C2669" t="s">
        <v>5095</v>
      </c>
      <c r="D2669">
        <v>910526</v>
      </c>
      <c r="E2669" t="s">
        <v>1602</v>
      </c>
      <c r="F2669">
        <v>9120</v>
      </c>
      <c r="G2669" t="s">
        <v>619</v>
      </c>
      <c r="H2669">
        <v>9120</v>
      </c>
      <c r="I2669" t="s">
        <v>2607</v>
      </c>
    </row>
    <row r="2670" spans="1:9" x14ac:dyDescent="0.25">
      <c r="A2670" s="91">
        <v>46336</v>
      </c>
      <c r="B2670" t="s">
        <v>693</v>
      </c>
      <c r="C2670" t="s">
        <v>5096</v>
      </c>
      <c r="D2670">
        <v>910326</v>
      </c>
      <c r="E2670" t="s">
        <v>1583</v>
      </c>
      <c r="F2670">
        <v>9120</v>
      </c>
      <c r="G2670" t="s">
        <v>619</v>
      </c>
      <c r="H2670">
        <v>9120</v>
      </c>
      <c r="I2670" t="s">
        <v>2607</v>
      </c>
    </row>
    <row r="2671" spans="1:9" x14ac:dyDescent="0.25">
      <c r="A2671" s="91">
        <v>46336</v>
      </c>
      <c r="B2671" t="s">
        <v>685</v>
      </c>
      <c r="C2671" t="s">
        <v>5097</v>
      </c>
      <c r="D2671">
        <v>7374</v>
      </c>
      <c r="E2671" t="s">
        <v>785</v>
      </c>
      <c r="F2671">
        <v>25000</v>
      </c>
      <c r="G2671" t="s">
        <v>622</v>
      </c>
      <c r="H2671">
        <v>25000</v>
      </c>
      <c r="I2671" t="s">
        <v>2633</v>
      </c>
    </row>
    <row r="2672" spans="1:9" x14ac:dyDescent="0.25">
      <c r="A2672" s="91">
        <v>46336</v>
      </c>
      <c r="B2672" t="s">
        <v>2606</v>
      </c>
      <c r="C2672" t="s">
        <v>5098</v>
      </c>
      <c r="D2672">
        <v>7013</v>
      </c>
      <c r="E2672" t="s">
        <v>630</v>
      </c>
      <c r="F2672">
        <v>105000</v>
      </c>
      <c r="G2672" t="s">
        <v>622</v>
      </c>
      <c r="H2672">
        <v>105000</v>
      </c>
      <c r="I2672" t="s">
        <v>2609</v>
      </c>
    </row>
    <row r="2673" spans="1:9" x14ac:dyDescent="0.25">
      <c r="A2673" s="91">
        <v>46336</v>
      </c>
      <c r="B2673" t="s">
        <v>2608</v>
      </c>
      <c r="C2673" t="s">
        <v>5099</v>
      </c>
      <c r="D2673">
        <v>7018</v>
      </c>
      <c r="E2673" t="s">
        <v>1077</v>
      </c>
      <c r="F2673">
        <v>105000</v>
      </c>
      <c r="G2673" t="s">
        <v>622</v>
      </c>
      <c r="H2673">
        <v>105000</v>
      </c>
      <c r="I2673" t="s">
        <v>2609</v>
      </c>
    </row>
    <row r="2674" spans="1:9" x14ac:dyDescent="0.25">
      <c r="A2674" s="91">
        <v>46337</v>
      </c>
      <c r="B2674" t="s">
        <v>715</v>
      </c>
      <c r="C2674" t="s">
        <v>5100</v>
      </c>
      <c r="D2674">
        <v>7193</v>
      </c>
      <c r="E2674" t="s">
        <v>811</v>
      </c>
      <c r="F2674">
        <v>55000</v>
      </c>
      <c r="G2674" t="s">
        <v>622</v>
      </c>
      <c r="H2674">
        <v>55000</v>
      </c>
      <c r="I2674" t="s">
        <v>2633</v>
      </c>
    </row>
    <row r="2675" spans="1:9" x14ac:dyDescent="0.25">
      <c r="A2675" s="91">
        <v>46337</v>
      </c>
      <c r="B2675" t="s">
        <v>688</v>
      </c>
      <c r="C2675" t="s">
        <v>5101</v>
      </c>
      <c r="D2675">
        <v>7746</v>
      </c>
      <c r="E2675" t="s">
        <v>692</v>
      </c>
      <c r="F2675">
        <v>68000</v>
      </c>
      <c r="G2675" t="s">
        <v>622</v>
      </c>
      <c r="H2675">
        <v>68000</v>
      </c>
      <c r="I2675" t="s">
        <v>2633</v>
      </c>
    </row>
    <row r="2676" spans="1:9" x14ac:dyDescent="0.25">
      <c r="A2676" s="91">
        <v>46337</v>
      </c>
      <c r="B2676" t="s">
        <v>2606</v>
      </c>
      <c r="C2676" t="s">
        <v>5102</v>
      </c>
      <c r="D2676">
        <v>7037</v>
      </c>
      <c r="E2676" t="s">
        <v>632</v>
      </c>
      <c r="F2676">
        <v>105000</v>
      </c>
      <c r="G2676" t="s">
        <v>622</v>
      </c>
      <c r="H2676">
        <v>105000</v>
      </c>
      <c r="I2676" t="s">
        <v>2609</v>
      </c>
    </row>
    <row r="2677" spans="1:9" x14ac:dyDescent="0.25">
      <c r="A2677" s="91">
        <v>46338</v>
      </c>
      <c r="B2677" t="s">
        <v>715</v>
      </c>
      <c r="C2677" t="s">
        <v>5103</v>
      </c>
      <c r="D2677">
        <v>7185</v>
      </c>
      <c r="E2677" t="s">
        <v>717</v>
      </c>
      <c r="F2677">
        <v>55000</v>
      </c>
      <c r="G2677" t="s">
        <v>622</v>
      </c>
      <c r="H2677">
        <v>55000</v>
      </c>
      <c r="I2677" t="s">
        <v>2633</v>
      </c>
    </row>
    <row r="2678" spans="1:9" x14ac:dyDescent="0.25">
      <c r="A2678" s="91">
        <v>46339</v>
      </c>
      <c r="B2678" t="s">
        <v>2606</v>
      </c>
      <c r="C2678" t="s">
        <v>5104</v>
      </c>
      <c r="D2678">
        <v>7019</v>
      </c>
      <c r="E2678" t="s">
        <v>1108</v>
      </c>
      <c r="F2678">
        <v>95000</v>
      </c>
      <c r="G2678" t="s">
        <v>622</v>
      </c>
      <c r="H2678">
        <v>95000</v>
      </c>
      <c r="I2678" t="s">
        <v>2609</v>
      </c>
    </row>
    <row r="2679" spans="1:9" x14ac:dyDescent="0.25">
      <c r="A2679" s="91">
        <v>46342</v>
      </c>
      <c r="B2679" t="s">
        <v>688</v>
      </c>
      <c r="C2679" t="s">
        <v>5105</v>
      </c>
      <c r="D2679">
        <v>7741</v>
      </c>
      <c r="E2679" t="s">
        <v>690</v>
      </c>
      <c r="F2679">
        <v>68000</v>
      </c>
      <c r="G2679" t="s">
        <v>622</v>
      </c>
      <c r="H2679">
        <v>68000</v>
      </c>
      <c r="I2679" t="s">
        <v>2633</v>
      </c>
    </row>
    <row r="2680" spans="1:9" x14ac:dyDescent="0.25">
      <c r="A2680" s="91">
        <v>46342</v>
      </c>
      <c r="B2680" t="s">
        <v>2608</v>
      </c>
      <c r="C2680" t="s">
        <v>5106</v>
      </c>
      <c r="D2680">
        <v>7010</v>
      </c>
      <c r="E2680" t="s">
        <v>621</v>
      </c>
      <c r="F2680">
        <v>105000</v>
      </c>
      <c r="G2680" t="s">
        <v>622</v>
      </c>
      <c r="H2680">
        <v>105000</v>
      </c>
      <c r="I2680" t="s">
        <v>2609</v>
      </c>
    </row>
    <row r="2681" spans="1:9" x14ac:dyDescent="0.25">
      <c r="A2681" s="91">
        <v>46343</v>
      </c>
      <c r="B2681" t="s">
        <v>688</v>
      </c>
      <c r="C2681" t="s">
        <v>5107</v>
      </c>
      <c r="D2681">
        <v>7741</v>
      </c>
      <c r="E2681" t="s">
        <v>690</v>
      </c>
      <c r="F2681">
        <v>68000</v>
      </c>
      <c r="G2681" t="s">
        <v>622</v>
      </c>
      <c r="H2681">
        <v>68000</v>
      </c>
      <c r="I2681" t="s">
        <v>2633</v>
      </c>
    </row>
    <row r="2682" spans="1:9" x14ac:dyDescent="0.25">
      <c r="A2682" s="91">
        <v>46343</v>
      </c>
      <c r="B2682" t="s">
        <v>693</v>
      </c>
      <c r="C2682" t="s">
        <v>5108</v>
      </c>
      <c r="D2682">
        <v>910526</v>
      </c>
      <c r="E2682" t="s">
        <v>1602</v>
      </c>
      <c r="F2682">
        <v>9120</v>
      </c>
      <c r="G2682" t="s">
        <v>619</v>
      </c>
      <c r="H2682">
        <v>9120</v>
      </c>
      <c r="I2682" t="s">
        <v>2607</v>
      </c>
    </row>
    <row r="2683" spans="1:9" x14ac:dyDescent="0.25">
      <c r="A2683" s="91">
        <v>46343</v>
      </c>
      <c r="B2683" t="s">
        <v>693</v>
      </c>
      <c r="C2683" t="s">
        <v>5109</v>
      </c>
      <c r="D2683">
        <v>910326</v>
      </c>
      <c r="E2683" t="s">
        <v>1583</v>
      </c>
      <c r="F2683">
        <v>9120</v>
      </c>
      <c r="G2683" t="s">
        <v>619</v>
      </c>
      <c r="H2683">
        <v>9120</v>
      </c>
      <c r="I2683" t="s">
        <v>2607</v>
      </c>
    </row>
    <row r="2684" spans="1:9" x14ac:dyDescent="0.25">
      <c r="A2684" s="91">
        <v>46344</v>
      </c>
      <c r="B2684" t="s">
        <v>688</v>
      </c>
      <c r="C2684" t="s">
        <v>5110</v>
      </c>
      <c r="D2684">
        <v>7741</v>
      </c>
      <c r="E2684" t="s">
        <v>690</v>
      </c>
      <c r="F2684">
        <v>68000</v>
      </c>
      <c r="G2684" t="s">
        <v>622</v>
      </c>
      <c r="H2684">
        <v>68000</v>
      </c>
      <c r="I2684" t="s">
        <v>2633</v>
      </c>
    </row>
    <row r="2685" spans="1:9" x14ac:dyDescent="0.25">
      <c r="A2685" s="91">
        <v>46349</v>
      </c>
      <c r="B2685" t="s">
        <v>693</v>
      </c>
      <c r="C2685" t="s">
        <v>5111</v>
      </c>
      <c r="D2685">
        <v>910326</v>
      </c>
      <c r="E2685" t="s">
        <v>1583</v>
      </c>
      <c r="F2685">
        <v>9120</v>
      </c>
      <c r="G2685" t="s">
        <v>619</v>
      </c>
      <c r="H2685">
        <v>9120</v>
      </c>
      <c r="I2685" t="s">
        <v>2607</v>
      </c>
    </row>
    <row r="2686" spans="1:9" x14ac:dyDescent="0.25">
      <c r="A2686" s="91">
        <v>46349</v>
      </c>
      <c r="B2686" t="s">
        <v>693</v>
      </c>
      <c r="C2686" t="s">
        <v>5112</v>
      </c>
      <c r="D2686">
        <v>910526</v>
      </c>
      <c r="E2686" t="s">
        <v>1602</v>
      </c>
      <c r="F2686">
        <v>9120</v>
      </c>
      <c r="G2686" t="s">
        <v>619</v>
      </c>
      <c r="H2686">
        <v>9120</v>
      </c>
      <c r="I2686" t="s">
        <v>2607</v>
      </c>
    </row>
    <row r="2687" spans="1:9" x14ac:dyDescent="0.25">
      <c r="A2687" s="91">
        <v>46358</v>
      </c>
      <c r="B2687" t="s">
        <v>2652</v>
      </c>
      <c r="C2687" t="s">
        <v>5113</v>
      </c>
      <c r="D2687">
        <v>2237</v>
      </c>
      <c r="E2687" t="s">
        <v>891</v>
      </c>
      <c r="F2687">
        <v>6</v>
      </c>
      <c r="G2687" t="s">
        <v>622</v>
      </c>
      <c r="H2687">
        <v>6</v>
      </c>
      <c r="I2687" t="s">
        <v>2607</v>
      </c>
    </row>
    <row r="2688" spans="1:9" x14ac:dyDescent="0.25">
      <c r="A2688" s="91">
        <v>46358</v>
      </c>
      <c r="B2688" t="s">
        <v>693</v>
      </c>
      <c r="C2688" t="s">
        <v>5114</v>
      </c>
      <c r="D2688">
        <v>910526</v>
      </c>
      <c r="E2688" t="s">
        <v>1602</v>
      </c>
      <c r="F2688">
        <v>9120</v>
      </c>
      <c r="G2688" t="s">
        <v>619</v>
      </c>
      <c r="H2688">
        <v>9120</v>
      </c>
      <c r="I2688" t="s">
        <v>2607</v>
      </c>
    </row>
    <row r="2689" spans="1:9" x14ac:dyDescent="0.25">
      <c r="A2689" s="91">
        <v>46358</v>
      </c>
      <c r="B2689" t="s">
        <v>693</v>
      </c>
      <c r="C2689" t="s">
        <v>5115</v>
      </c>
      <c r="D2689">
        <v>910326</v>
      </c>
      <c r="E2689" t="s">
        <v>1583</v>
      </c>
      <c r="F2689">
        <v>9120</v>
      </c>
      <c r="G2689" t="s">
        <v>619</v>
      </c>
      <c r="H2689">
        <v>9120</v>
      </c>
      <c r="I2689" t="s">
        <v>2607</v>
      </c>
    </row>
    <row r="2690" spans="1:9" x14ac:dyDescent="0.25">
      <c r="A2690" s="91">
        <v>46366</v>
      </c>
      <c r="B2690" t="s">
        <v>693</v>
      </c>
      <c r="C2690" t="s">
        <v>5116</v>
      </c>
      <c r="D2690">
        <v>910326</v>
      </c>
      <c r="E2690" t="s">
        <v>1583</v>
      </c>
      <c r="F2690">
        <v>9120</v>
      </c>
      <c r="G2690" t="s">
        <v>619</v>
      </c>
      <c r="H2690">
        <v>9120</v>
      </c>
      <c r="I2690" t="s">
        <v>2607</v>
      </c>
    </row>
    <row r="2691" spans="1:9" x14ac:dyDescent="0.25">
      <c r="A2691" s="91">
        <v>46366</v>
      </c>
      <c r="B2691" t="s">
        <v>693</v>
      </c>
      <c r="C2691" t="s">
        <v>5117</v>
      </c>
      <c r="D2691">
        <v>910526</v>
      </c>
      <c r="E2691" t="s">
        <v>1602</v>
      </c>
      <c r="F2691">
        <v>9120</v>
      </c>
      <c r="G2691" t="s">
        <v>619</v>
      </c>
      <c r="H2691">
        <v>9120</v>
      </c>
      <c r="I2691" t="s">
        <v>2607</v>
      </c>
    </row>
    <row r="2692" spans="1:9" x14ac:dyDescent="0.25">
      <c r="A2692" s="91">
        <v>46369</v>
      </c>
      <c r="B2692" t="s">
        <v>679</v>
      </c>
      <c r="C2692" t="s">
        <v>5118</v>
      </c>
      <c r="D2692">
        <v>7213</v>
      </c>
      <c r="E2692" t="s">
        <v>719</v>
      </c>
      <c r="F2692">
        <v>85000</v>
      </c>
      <c r="G2692" t="s">
        <v>622</v>
      </c>
      <c r="H2692">
        <v>85000</v>
      </c>
      <c r="I2692" t="s">
        <v>2633</v>
      </c>
    </row>
    <row r="2693" spans="1:9" x14ac:dyDescent="0.25">
      <c r="A2693" s="91">
        <v>46373</v>
      </c>
      <c r="B2693" t="s">
        <v>693</v>
      </c>
      <c r="C2693" t="s">
        <v>5119</v>
      </c>
      <c r="D2693">
        <v>910326</v>
      </c>
      <c r="E2693" t="s">
        <v>1583</v>
      </c>
      <c r="F2693">
        <v>9120</v>
      </c>
      <c r="G2693" t="s">
        <v>619</v>
      </c>
      <c r="H2693">
        <v>9120</v>
      </c>
      <c r="I2693" t="s">
        <v>2607</v>
      </c>
    </row>
    <row r="2694" spans="1:9" x14ac:dyDescent="0.25">
      <c r="A2694" s="91">
        <v>46373</v>
      </c>
      <c r="B2694" t="s">
        <v>693</v>
      </c>
      <c r="C2694" t="s">
        <v>5120</v>
      </c>
      <c r="D2694">
        <v>910526</v>
      </c>
      <c r="E2694" t="s">
        <v>1602</v>
      </c>
      <c r="F2694">
        <v>9120</v>
      </c>
      <c r="G2694" t="s">
        <v>619</v>
      </c>
      <c r="H2694">
        <v>9120</v>
      </c>
      <c r="I2694" t="s">
        <v>2607</v>
      </c>
    </row>
    <row r="2695" spans="1:9" x14ac:dyDescent="0.25">
      <c r="A2695" s="91">
        <v>46378</v>
      </c>
      <c r="B2695" t="s">
        <v>693</v>
      </c>
      <c r="C2695" t="s">
        <v>5121</v>
      </c>
      <c r="D2695">
        <v>910326</v>
      </c>
      <c r="E2695" t="s">
        <v>1583</v>
      </c>
      <c r="F2695">
        <v>2960</v>
      </c>
      <c r="G2695" t="s">
        <v>619</v>
      </c>
      <c r="H2695">
        <v>2960</v>
      </c>
      <c r="I2695" t="s">
        <v>2607</v>
      </c>
    </row>
    <row r="2696" spans="1:9" x14ac:dyDescent="0.25">
      <c r="A2696" s="91">
        <v>46378</v>
      </c>
      <c r="B2696" t="s">
        <v>693</v>
      </c>
      <c r="C2696" t="s">
        <v>5122</v>
      </c>
      <c r="D2696">
        <v>910526</v>
      </c>
      <c r="E2696" t="s">
        <v>1602</v>
      </c>
      <c r="F2696">
        <v>2960</v>
      </c>
      <c r="G2696" t="s">
        <v>619</v>
      </c>
      <c r="H2696">
        <v>2960</v>
      </c>
      <c r="I2696" t="s">
        <v>2607</v>
      </c>
    </row>
  </sheetData>
  <autoFilter ref="A1:K399" xr:uid="{AC3C00A2-AA19-48BE-8CAA-2D26DC75AB79}"/>
  <conditionalFormatting sqref="C155:C28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D647-E35A-452B-AE6D-6C56F72A453C}">
  <sheetPr filterMode="1"/>
  <dimension ref="A1:M1914"/>
  <sheetViews>
    <sheetView workbookViewId="0">
      <selection activeCell="H777" sqref="H777:H839"/>
    </sheetView>
  </sheetViews>
  <sheetFormatPr defaultRowHeight="15" x14ac:dyDescent="0.25"/>
  <cols>
    <col min="1" max="4" width="15.5703125" customWidth="1"/>
    <col min="5" max="5" width="43" bestFit="1" customWidth="1"/>
    <col min="6" max="13" width="15.5703125" customWidth="1"/>
  </cols>
  <sheetData>
    <row r="1" spans="1:13" ht="30" x14ac:dyDescent="0.25">
      <c r="A1" s="73" t="s">
        <v>609</v>
      </c>
      <c r="B1" s="74" t="s">
        <v>599</v>
      </c>
      <c r="C1" s="75" t="s">
        <v>611</v>
      </c>
      <c r="D1" s="75" t="s">
        <v>612</v>
      </c>
      <c r="E1" s="75" t="s">
        <v>613</v>
      </c>
      <c r="F1" s="76" t="s">
        <v>614</v>
      </c>
      <c r="G1" s="77" t="s">
        <v>615</v>
      </c>
      <c r="H1" s="77" t="s">
        <v>616</v>
      </c>
      <c r="I1" s="75" t="s">
        <v>617</v>
      </c>
      <c r="J1" s="75" t="s">
        <v>618</v>
      </c>
      <c r="K1" t="s">
        <v>80</v>
      </c>
      <c r="L1" t="s">
        <v>645</v>
      </c>
      <c r="M1" t="s">
        <v>818</v>
      </c>
    </row>
    <row r="2" spans="1:13" hidden="1" x14ac:dyDescent="0.25">
      <c r="A2" s="78">
        <v>45965</v>
      </c>
      <c r="B2" s="79" t="s">
        <v>682</v>
      </c>
      <c r="C2" s="80" t="s">
        <v>1135</v>
      </c>
      <c r="D2" s="81" t="s">
        <v>806</v>
      </c>
      <c r="E2" s="26" t="s">
        <v>807</v>
      </c>
      <c r="F2" s="82">
        <v>28000</v>
      </c>
      <c r="G2" s="83" t="s">
        <v>622</v>
      </c>
      <c r="H2" s="84">
        <v>28000</v>
      </c>
      <c r="I2" s="80" t="s">
        <v>94</v>
      </c>
      <c r="J2" s="80" t="s">
        <v>1389</v>
      </c>
      <c r="K2">
        <f>IF(AND(B2=B1,C2=C1),0,1)</f>
        <v>1</v>
      </c>
      <c r="L2" t="str">
        <f>IF(I2="UGR","UGR",_xlfn.XLOOKUP(D2,Lookup!O:O,Lookup!N:N,0))</f>
        <v>Non FG</v>
      </c>
      <c r="M2">
        <f t="shared" ref="M2" si="0">MONTH(A2)</f>
        <v>11</v>
      </c>
    </row>
    <row r="3" spans="1:13" hidden="1" x14ac:dyDescent="0.25">
      <c r="A3" s="78">
        <v>45965</v>
      </c>
      <c r="B3" s="79" t="s">
        <v>715</v>
      </c>
      <c r="C3" s="80" t="s">
        <v>1029</v>
      </c>
      <c r="D3" s="81" t="s">
        <v>716</v>
      </c>
      <c r="E3" s="26" t="s">
        <v>717</v>
      </c>
      <c r="F3" s="82">
        <v>55000</v>
      </c>
      <c r="G3" s="83" t="s">
        <v>622</v>
      </c>
      <c r="H3" s="84">
        <v>55000</v>
      </c>
      <c r="I3" s="80" t="s">
        <v>94</v>
      </c>
      <c r="J3" s="80" t="s">
        <v>1389</v>
      </c>
      <c r="K3">
        <f t="shared" ref="K3:K66" si="1">IF(AND(B3=B2,C3=C2),0,1)</f>
        <v>1</v>
      </c>
      <c r="L3" t="str">
        <f>IF(I3="UGR","UGR",_xlfn.XLOOKUP(D3,Lookup!O:O,Lookup!N:N,0))</f>
        <v>Non FG</v>
      </c>
      <c r="M3">
        <f t="shared" ref="M3:M66" si="2">MONTH(A3)</f>
        <v>11</v>
      </c>
    </row>
    <row r="4" spans="1:13" hidden="1" x14ac:dyDescent="0.25">
      <c r="A4" s="78">
        <v>45965</v>
      </c>
      <c r="B4" s="79" t="s">
        <v>679</v>
      </c>
      <c r="C4" s="80" t="s">
        <v>1004</v>
      </c>
      <c r="D4" s="81" t="s">
        <v>680</v>
      </c>
      <c r="E4" s="26" t="s">
        <v>681</v>
      </c>
      <c r="F4" s="82">
        <v>85000</v>
      </c>
      <c r="G4" s="83" t="s">
        <v>622</v>
      </c>
      <c r="H4" s="84">
        <v>0</v>
      </c>
      <c r="I4" s="80" t="s">
        <v>94</v>
      </c>
      <c r="J4" s="80" t="s">
        <v>1389</v>
      </c>
      <c r="K4">
        <f t="shared" si="1"/>
        <v>1</v>
      </c>
      <c r="L4" t="str">
        <f>IF(I4="UGR","UGR",_xlfn.XLOOKUP(D4,Lookup!O:O,Lookup!N:N,0))</f>
        <v>Non FG</v>
      </c>
      <c r="M4">
        <f t="shared" si="2"/>
        <v>11</v>
      </c>
    </row>
    <row r="5" spans="1:13" hidden="1" x14ac:dyDescent="0.25">
      <c r="A5" s="78">
        <v>45965</v>
      </c>
      <c r="B5" s="79" t="s">
        <v>685</v>
      </c>
      <c r="C5" s="80" t="s">
        <v>1137</v>
      </c>
      <c r="D5" s="81" t="s">
        <v>784</v>
      </c>
      <c r="E5" s="26" t="s">
        <v>785</v>
      </c>
      <c r="F5" s="82">
        <v>25000</v>
      </c>
      <c r="G5" s="83" t="s">
        <v>622</v>
      </c>
      <c r="H5" s="84">
        <v>25000.000000000004</v>
      </c>
      <c r="I5" s="80" t="s">
        <v>94</v>
      </c>
      <c r="J5" s="80" t="s">
        <v>1389</v>
      </c>
      <c r="K5">
        <f t="shared" si="1"/>
        <v>1</v>
      </c>
      <c r="L5" t="str">
        <f>IF(I5="UGR","UGR",_xlfn.XLOOKUP(D5,Lookup!O:O,Lookup!N:N,0))</f>
        <v>Non FG</v>
      </c>
      <c r="M5">
        <f t="shared" si="2"/>
        <v>11</v>
      </c>
    </row>
    <row r="6" spans="1:13" hidden="1" x14ac:dyDescent="0.25">
      <c r="A6" s="78">
        <v>45965</v>
      </c>
      <c r="B6" s="79" t="s">
        <v>688</v>
      </c>
      <c r="C6" s="80" t="s">
        <v>1138</v>
      </c>
      <c r="D6" s="81" t="s">
        <v>689</v>
      </c>
      <c r="E6" s="26" t="s">
        <v>690</v>
      </c>
      <c r="F6" s="82">
        <v>80000</v>
      </c>
      <c r="G6" s="83" t="s">
        <v>622</v>
      </c>
      <c r="H6" s="84">
        <v>0</v>
      </c>
      <c r="I6" s="80" t="s">
        <v>94</v>
      </c>
      <c r="J6" s="80" t="s">
        <v>1389</v>
      </c>
      <c r="K6">
        <f t="shared" si="1"/>
        <v>1</v>
      </c>
      <c r="L6" t="str">
        <f>IF(I6="UGR","UGR",_xlfn.XLOOKUP(D6,Lookup!O:O,Lookup!N:N,0))</f>
        <v>Non FG</v>
      </c>
      <c r="M6">
        <f t="shared" si="2"/>
        <v>11</v>
      </c>
    </row>
    <row r="7" spans="1:13" hidden="1" x14ac:dyDescent="0.25">
      <c r="A7" s="78">
        <v>45965</v>
      </c>
      <c r="B7" s="79" t="s">
        <v>664</v>
      </c>
      <c r="C7" s="80" t="s">
        <v>1147</v>
      </c>
      <c r="D7" s="81" t="s">
        <v>665</v>
      </c>
      <c r="E7" s="26" t="s">
        <v>666</v>
      </c>
      <c r="F7" s="82">
        <v>10000</v>
      </c>
      <c r="G7" s="83" t="s">
        <v>622</v>
      </c>
      <c r="H7" s="84">
        <v>10000</v>
      </c>
      <c r="I7" s="80" t="s">
        <v>94</v>
      </c>
      <c r="J7" s="80" t="s">
        <v>1389</v>
      </c>
      <c r="K7">
        <f t="shared" si="1"/>
        <v>1</v>
      </c>
      <c r="L7" t="str">
        <f>IF(I7="UGR","UGR",_xlfn.XLOOKUP(D7,Lookup!O:O,Lookup!N:N,0))</f>
        <v>Non FG</v>
      </c>
      <c r="M7">
        <f t="shared" si="2"/>
        <v>11</v>
      </c>
    </row>
    <row r="8" spans="1:13" hidden="1" x14ac:dyDescent="0.25">
      <c r="A8" s="78">
        <v>45965</v>
      </c>
      <c r="B8" s="79" t="s">
        <v>664</v>
      </c>
      <c r="C8" s="80" t="s">
        <v>1163</v>
      </c>
      <c r="D8" s="81" t="s">
        <v>704</v>
      </c>
      <c r="E8" s="26" t="s">
        <v>705</v>
      </c>
      <c r="F8" s="82">
        <v>10000</v>
      </c>
      <c r="G8" s="83" t="s">
        <v>622</v>
      </c>
      <c r="H8" s="84">
        <v>10000</v>
      </c>
      <c r="I8" s="80" t="s">
        <v>94</v>
      </c>
      <c r="J8" s="80" t="s">
        <v>1389</v>
      </c>
      <c r="K8">
        <f t="shared" si="1"/>
        <v>1</v>
      </c>
      <c r="L8" t="str">
        <f>IF(I8="UGR","UGR",_xlfn.XLOOKUP(D8,Lookup!O:O,Lookup!N:N,0))</f>
        <v>Non FG</v>
      </c>
      <c r="M8">
        <f t="shared" si="2"/>
        <v>11</v>
      </c>
    </row>
    <row r="9" spans="1:13" hidden="1" x14ac:dyDescent="0.25">
      <c r="A9" s="78">
        <v>45964</v>
      </c>
      <c r="B9" s="79" t="s">
        <v>664</v>
      </c>
      <c r="C9" s="80" t="s">
        <v>1132</v>
      </c>
      <c r="D9" s="81" t="s">
        <v>667</v>
      </c>
      <c r="E9" s="26" t="s">
        <v>668</v>
      </c>
      <c r="F9" s="82">
        <v>10000</v>
      </c>
      <c r="G9" s="83" t="s">
        <v>622</v>
      </c>
      <c r="H9" s="84">
        <v>10000</v>
      </c>
      <c r="I9" s="80" t="s">
        <v>94</v>
      </c>
      <c r="J9" s="80" t="s">
        <v>1389</v>
      </c>
      <c r="K9">
        <f t="shared" si="1"/>
        <v>1</v>
      </c>
      <c r="L9" t="str">
        <f>IF(I9="UGR","UGR",_xlfn.XLOOKUP(D9,Lookup!O:O,Lookup!N:N,0))</f>
        <v>Non FG</v>
      </c>
      <c r="M9">
        <f t="shared" si="2"/>
        <v>11</v>
      </c>
    </row>
    <row r="10" spans="1:13" hidden="1" x14ac:dyDescent="0.25">
      <c r="A10" s="78">
        <v>45964</v>
      </c>
      <c r="B10" s="79" t="s">
        <v>664</v>
      </c>
      <c r="C10" s="80" t="s">
        <v>1133</v>
      </c>
      <c r="D10" s="81" t="s">
        <v>742</v>
      </c>
      <c r="E10" s="26" t="s">
        <v>743</v>
      </c>
      <c r="F10" s="82">
        <v>7063</v>
      </c>
      <c r="G10" s="83" t="s">
        <v>622</v>
      </c>
      <c r="H10" s="84">
        <v>7063</v>
      </c>
      <c r="I10" s="80" t="s">
        <v>94</v>
      </c>
      <c r="J10" s="80" t="s">
        <v>1389</v>
      </c>
      <c r="K10">
        <f t="shared" si="1"/>
        <v>1</v>
      </c>
      <c r="L10" t="str">
        <f>IF(I10="UGR","UGR",_xlfn.XLOOKUP(D10,Lookup!O:O,Lookup!N:N,0))</f>
        <v>Non FG</v>
      </c>
      <c r="M10">
        <f t="shared" si="2"/>
        <v>11</v>
      </c>
    </row>
    <row r="11" spans="1:13" hidden="1" x14ac:dyDescent="0.25">
      <c r="A11" s="78">
        <v>45964</v>
      </c>
      <c r="B11" s="79" t="s">
        <v>664</v>
      </c>
      <c r="C11" s="80" t="s">
        <v>1075</v>
      </c>
      <c r="D11" s="81" t="s">
        <v>728</v>
      </c>
      <c r="E11" s="26" t="s">
        <v>729</v>
      </c>
      <c r="F11" s="82">
        <v>10000</v>
      </c>
      <c r="G11" s="83" t="s">
        <v>622</v>
      </c>
      <c r="H11" s="84">
        <v>10000</v>
      </c>
      <c r="I11" s="80" t="s">
        <v>94</v>
      </c>
      <c r="J11" s="80" t="s">
        <v>1389</v>
      </c>
      <c r="K11">
        <f t="shared" si="1"/>
        <v>1</v>
      </c>
      <c r="L11" t="str">
        <f>IF(I11="UGR","UGR",_xlfn.XLOOKUP(D11,Lookup!O:O,Lookup!N:N,0))</f>
        <v>Non FG</v>
      </c>
      <c r="M11">
        <f t="shared" si="2"/>
        <v>11</v>
      </c>
    </row>
    <row r="12" spans="1:13" hidden="1" x14ac:dyDescent="0.25">
      <c r="A12" s="78">
        <v>45964</v>
      </c>
      <c r="B12" s="79" t="s">
        <v>664</v>
      </c>
      <c r="C12" s="80" t="s">
        <v>1139</v>
      </c>
      <c r="D12" s="81" t="s">
        <v>732</v>
      </c>
      <c r="E12" s="26" t="s">
        <v>733</v>
      </c>
      <c r="F12" s="82">
        <v>10000</v>
      </c>
      <c r="G12" s="83" t="s">
        <v>622</v>
      </c>
      <c r="H12" s="84">
        <v>10000</v>
      </c>
      <c r="I12" s="80" t="s">
        <v>94</v>
      </c>
      <c r="J12" s="80" t="s">
        <v>1389</v>
      </c>
      <c r="K12">
        <f t="shared" si="1"/>
        <v>1</v>
      </c>
      <c r="L12" t="str">
        <f>IF(I12="UGR","UGR",_xlfn.XLOOKUP(D12,Lookup!O:O,Lookup!N:N,0))</f>
        <v>Non FG</v>
      </c>
      <c r="M12">
        <f t="shared" si="2"/>
        <v>11</v>
      </c>
    </row>
    <row r="13" spans="1:13" hidden="1" x14ac:dyDescent="0.25">
      <c r="A13" s="78">
        <v>45965</v>
      </c>
      <c r="B13" s="79" t="s">
        <v>664</v>
      </c>
      <c r="C13" s="80" t="s">
        <v>1185</v>
      </c>
      <c r="D13" s="81" t="s">
        <v>673</v>
      </c>
      <c r="E13" s="26" t="s">
        <v>674</v>
      </c>
      <c r="F13" s="82">
        <v>10000</v>
      </c>
      <c r="G13" s="83" t="s">
        <v>622</v>
      </c>
      <c r="H13" s="84">
        <v>10000</v>
      </c>
      <c r="I13" s="80" t="s">
        <v>94</v>
      </c>
      <c r="J13" s="80" t="s">
        <v>1389</v>
      </c>
      <c r="K13">
        <f t="shared" si="1"/>
        <v>1</v>
      </c>
      <c r="L13" t="str">
        <f>IF(I13="UGR","UGR",_xlfn.XLOOKUP(D13,Lookup!O:O,Lookup!N:N,0))</f>
        <v>Non FG</v>
      </c>
      <c r="M13">
        <f t="shared" si="2"/>
        <v>11</v>
      </c>
    </row>
    <row r="14" spans="1:13" hidden="1" x14ac:dyDescent="0.25">
      <c r="A14" s="78">
        <v>45964</v>
      </c>
      <c r="B14" s="79" t="s">
        <v>664</v>
      </c>
      <c r="C14" s="80" t="s">
        <v>1071</v>
      </c>
      <c r="D14" s="81" t="s">
        <v>734</v>
      </c>
      <c r="E14" s="26" t="s">
        <v>735</v>
      </c>
      <c r="F14" s="82">
        <v>10000</v>
      </c>
      <c r="G14" s="83" t="s">
        <v>622</v>
      </c>
      <c r="H14" s="84">
        <v>10000</v>
      </c>
      <c r="I14" s="80" t="s">
        <v>94</v>
      </c>
      <c r="J14" s="80" t="s">
        <v>1389</v>
      </c>
      <c r="K14">
        <f t="shared" si="1"/>
        <v>1</v>
      </c>
      <c r="L14" t="str">
        <f>IF(I14="UGR","UGR",_xlfn.XLOOKUP(D14,Lookup!O:O,Lookup!N:N,0))</f>
        <v>Non FG</v>
      </c>
      <c r="M14">
        <f t="shared" si="2"/>
        <v>11</v>
      </c>
    </row>
    <row r="15" spans="1:13" hidden="1" x14ac:dyDescent="0.25">
      <c r="A15" s="78">
        <v>45964</v>
      </c>
      <c r="B15" s="79" t="s">
        <v>664</v>
      </c>
      <c r="C15" s="80" t="s">
        <v>1148</v>
      </c>
      <c r="D15" s="81" t="s">
        <v>708</v>
      </c>
      <c r="E15" s="26" t="s">
        <v>709</v>
      </c>
      <c r="F15" s="82">
        <v>10000</v>
      </c>
      <c r="G15" s="83" t="s">
        <v>622</v>
      </c>
      <c r="H15" s="84">
        <v>10000</v>
      </c>
      <c r="I15" s="80" t="s">
        <v>94</v>
      </c>
      <c r="J15" s="80" t="s">
        <v>1389</v>
      </c>
      <c r="K15">
        <f t="shared" si="1"/>
        <v>1</v>
      </c>
      <c r="L15" t="str">
        <f>IF(I15="UGR","UGR",_xlfn.XLOOKUP(D15,Lookup!O:O,Lookup!N:N,0))</f>
        <v>Non FG</v>
      </c>
      <c r="M15">
        <f t="shared" si="2"/>
        <v>11</v>
      </c>
    </row>
    <row r="16" spans="1:13" hidden="1" x14ac:dyDescent="0.25">
      <c r="A16" s="78">
        <v>45965</v>
      </c>
      <c r="B16" s="79" t="s">
        <v>664</v>
      </c>
      <c r="C16" s="80" t="s">
        <v>1140</v>
      </c>
      <c r="D16" s="81" t="s">
        <v>702</v>
      </c>
      <c r="E16" s="26" t="s">
        <v>703</v>
      </c>
      <c r="F16" s="82">
        <v>13000</v>
      </c>
      <c r="G16" s="83" t="s">
        <v>622</v>
      </c>
      <c r="H16" s="84">
        <v>13000</v>
      </c>
      <c r="I16" s="80" t="s">
        <v>94</v>
      </c>
      <c r="J16" s="80" t="s">
        <v>1389</v>
      </c>
      <c r="K16">
        <f t="shared" si="1"/>
        <v>1</v>
      </c>
      <c r="L16" t="str">
        <f>IF(I16="UGR","UGR",_xlfn.XLOOKUP(D16,Lookup!O:O,Lookup!N:N,0))</f>
        <v>Non FG</v>
      </c>
      <c r="M16">
        <f t="shared" si="2"/>
        <v>11</v>
      </c>
    </row>
    <row r="17" spans="1:13" hidden="1" x14ac:dyDescent="0.25">
      <c r="A17" s="78">
        <v>45965</v>
      </c>
      <c r="B17" s="79" t="s">
        <v>664</v>
      </c>
      <c r="C17" s="80" t="s">
        <v>1167</v>
      </c>
      <c r="D17" s="81" t="s">
        <v>677</v>
      </c>
      <c r="E17" s="26" t="s">
        <v>678</v>
      </c>
      <c r="F17" s="82">
        <v>10000</v>
      </c>
      <c r="G17" s="83" t="s">
        <v>622</v>
      </c>
      <c r="H17" s="84">
        <v>10000</v>
      </c>
      <c r="I17" s="80" t="s">
        <v>94</v>
      </c>
      <c r="J17" s="80" t="s">
        <v>1389</v>
      </c>
      <c r="K17">
        <f t="shared" si="1"/>
        <v>1</v>
      </c>
      <c r="L17" t="str">
        <f>IF(I17="UGR","UGR",_xlfn.XLOOKUP(D17,Lookup!O:O,Lookup!N:N,0))</f>
        <v>Non FG</v>
      </c>
      <c r="M17">
        <f t="shared" si="2"/>
        <v>11</v>
      </c>
    </row>
    <row r="18" spans="1:13" hidden="1" x14ac:dyDescent="0.25">
      <c r="A18" s="78">
        <v>45965</v>
      </c>
      <c r="B18" s="79" t="s">
        <v>664</v>
      </c>
      <c r="C18" s="80" t="s">
        <v>1168</v>
      </c>
      <c r="D18" s="81" t="s">
        <v>710</v>
      </c>
      <c r="E18" s="26" t="s">
        <v>711</v>
      </c>
      <c r="F18" s="82">
        <v>10000</v>
      </c>
      <c r="G18" s="83" t="s">
        <v>622</v>
      </c>
      <c r="H18" s="84">
        <v>10000</v>
      </c>
      <c r="I18" s="80" t="s">
        <v>94</v>
      </c>
      <c r="J18" s="80" t="s">
        <v>1389</v>
      </c>
      <c r="K18">
        <f t="shared" si="1"/>
        <v>1</v>
      </c>
      <c r="L18" t="str">
        <f>IF(I18="UGR","UGR",_xlfn.XLOOKUP(D18,Lookup!O:O,Lookup!N:N,0))</f>
        <v>Non FG</v>
      </c>
      <c r="M18">
        <f t="shared" si="2"/>
        <v>11</v>
      </c>
    </row>
    <row r="19" spans="1:13" hidden="1" x14ac:dyDescent="0.25">
      <c r="A19" s="78">
        <v>45965</v>
      </c>
      <c r="B19" s="79" t="s">
        <v>712</v>
      </c>
      <c r="C19" s="80" t="s">
        <v>1141</v>
      </c>
      <c r="D19" s="81" t="s">
        <v>198</v>
      </c>
      <c r="E19" s="26" t="s">
        <v>816</v>
      </c>
      <c r="F19" s="82">
        <v>35000</v>
      </c>
      <c r="G19" s="83" t="s">
        <v>622</v>
      </c>
      <c r="H19" s="84">
        <v>35000</v>
      </c>
      <c r="I19" s="80" t="s">
        <v>817</v>
      </c>
      <c r="J19" s="80" t="s">
        <v>1389</v>
      </c>
      <c r="K19">
        <f t="shared" si="1"/>
        <v>1</v>
      </c>
      <c r="L19" t="str">
        <f>IF(I19="UGR","UGR",_xlfn.XLOOKUP(D19,Lookup!O:O,Lookup!N:N,0))</f>
        <v>(8031) USDA PASTA, WG ROTINI 12/1LB</v>
      </c>
    </row>
    <row r="20" spans="1:13" hidden="1" x14ac:dyDescent="0.25">
      <c r="A20" s="78">
        <v>45966</v>
      </c>
      <c r="B20" s="79" t="s">
        <v>682</v>
      </c>
      <c r="C20" s="80" t="s">
        <v>1171</v>
      </c>
      <c r="D20" s="81" t="s">
        <v>720</v>
      </c>
      <c r="E20" s="26" t="s">
        <v>721</v>
      </c>
      <c r="F20" s="82">
        <v>24000</v>
      </c>
      <c r="G20" s="83" t="s">
        <v>622</v>
      </c>
      <c r="H20" s="84">
        <v>24000</v>
      </c>
      <c r="I20" s="80" t="s">
        <v>94</v>
      </c>
      <c r="J20" s="80" t="s">
        <v>1390</v>
      </c>
      <c r="K20">
        <f t="shared" si="1"/>
        <v>1</v>
      </c>
      <c r="L20" t="str">
        <f>IF(I20="UGR","UGR",_xlfn.XLOOKUP(D20,Lookup!O:O,Lookup!N:N,0))</f>
        <v>Non FG</v>
      </c>
      <c r="M20">
        <f t="shared" si="2"/>
        <v>11</v>
      </c>
    </row>
    <row r="21" spans="1:13" hidden="1" x14ac:dyDescent="0.25">
      <c r="A21" s="78">
        <v>45966</v>
      </c>
      <c r="B21" s="79" t="s">
        <v>685</v>
      </c>
      <c r="C21" s="80" t="s">
        <v>1142</v>
      </c>
      <c r="D21" s="81" t="s">
        <v>784</v>
      </c>
      <c r="E21" s="26" t="s">
        <v>785</v>
      </c>
      <c r="F21" s="82">
        <v>25000</v>
      </c>
      <c r="G21" s="83" t="s">
        <v>622</v>
      </c>
      <c r="H21" s="84">
        <v>25000.000000000004</v>
      </c>
      <c r="I21" s="80" t="s">
        <v>94</v>
      </c>
      <c r="J21" s="80" t="s">
        <v>1390</v>
      </c>
      <c r="K21">
        <f t="shared" si="1"/>
        <v>1</v>
      </c>
      <c r="L21" t="str">
        <f>IF(I21="UGR","UGR",_xlfn.XLOOKUP(D21,Lookup!O:O,Lookup!N:N,0))</f>
        <v>Non FG</v>
      </c>
      <c r="M21">
        <f t="shared" si="2"/>
        <v>11</v>
      </c>
    </row>
    <row r="22" spans="1:13" hidden="1" x14ac:dyDescent="0.25">
      <c r="A22" s="78">
        <v>45966</v>
      </c>
      <c r="B22" s="79" t="s">
        <v>688</v>
      </c>
      <c r="C22" s="80" t="s">
        <v>1143</v>
      </c>
      <c r="D22" s="81" t="s">
        <v>689</v>
      </c>
      <c r="E22" s="26" t="s">
        <v>690</v>
      </c>
      <c r="F22" s="82">
        <v>80000</v>
      </c>
      <c r="G22" s="83" t="s">
        <v>622</v>
      </c>
      <c r="H22" s="84">
        <v>0</v>
      </c>
      <c r="I22" s="80" t="s">
        <v>94</v>
      </c>
      <c r="J22" s="80" t="s">
        <v>1390</v>
      </c>
      <c r="K22">
        <f t="shared" si="1"/>
        <v>1</v>
      </c>
      <c r="L22" t="str">
        <f>IF(I22="UGR","UGR",_xlfn.XLOOKUP(D22,Lookup!O:O,Lookup!N:N,0))</f>
        <v>Non FG</v>
      </c>
      <c r="M22">
        <f t="shared" si="2"/>
        <v>11</v>
      </c>
    </row>
    <row r="23" spans="1:13" hidden="1" x14ac:dyDescent="0.25">
      <c r="A23" s="78">
        <v>45966</v>
      </c>
      <c r="B23" s="79" t="s">
        <v>693</v>
      </c>
      <c r="C23" s="80" t="s">
        <v>1144</v>
      </c>
      <c r="D23" s="81" t="s">
        <v>222</v>
      </c>
      <c r="E23" s="26" t="s">
        <v>694</v>
      </c>
      <c r="F23" s="82">
        <v>9120</v>
      </c>
      <c r="G23" s="83" t="s">
        <v>619</v>
      </c>
      <c r="H23" s="84">
        <v>9120</v>
      </c>
      <c r="I23" s="80" t="s">
        <v>94</v>
      </c>
      <c r="J23" s="80" t="s">
        <v>1390</v>
      </c>
      <c r="K23">
        <f t="shared" si="1"/>
        <v>1</v>
      </c>
      <c r="L23" t="str">
        <f>IF(I23="UGR","UGR",_xlfn.XLOOKUP(D23,Lookup!O:O,Lookup!N:N,0))</f>
        <v>MRE Cases</v>
      </c>
    </row>
    <row r="24" spans="1:13" hidden="1" x14ac:dyDescent="0.25">
      <c r="A24" s="78">
        <v>45966</v>
      </c>
      <c r="B24" s="79" t="s">
        <v>693</v>
      </c>
      <c r="C24" s="80" t="s">
        <v>1145</v>
      </c>
      <c r="D24" s="81" t="s">
        <v>223</v>
      </c>
      <c r="E24" s="26" t="s">
        <v>695</v>
      </c>
      <c r="F24" s="82">
        <v>9120</v>
      </c>
      <c r="G24" s="83" t="s">
        <v>619</v>
      </c>
      <c r="H24" s="84">
        <v>9120</v>
      </c>
      <c r="I24" s="80" t="s">
        <v>94</v>
      </c>
      <c r="J24" s="80" t="s">
        <v>1390</v>
      </c>
      <c r="K24">
        <f t="shared" si="1"/>
        <v>1</v>
      </c>
      <c r="L24" t="str">
        <f>IF(I24="UGR","UGR",_xlfn.XLOOKUP(D24,Lookup!O:O,Lookup!N:N,0))</f>
        <v>MRE Cases</v>
      </c>
    </row>
    <row r="25" spans="1:13" hidden="1" x14ac:dyDescent="0.25">
      <c r="A25" s="78">
        <v>45965</v>
      </c>
      <c r="B25" s="79" t="s">
        <v>664</v>
      </c>
      <c r="C25" s="80" t="s">
        <v>1045</v>
      </c>
      <c r="D25" s="81" t="s">
        <v>724</v>
      </c>
      <c r="E25" s="26" t="s">
        <v>725</v>
      </c>
      <c r="F25" s="82">
        <v>10000</v>
      </c>
      <c r="G25" s="83" t="s">
        <v>622</v>
      </c>
      <c r="H25" s="84">
        <v>10000</v>
      </c>
      <c r="I25" s="80" t="s">
        <v>94</v>
      </c>
      <c r="J25" s="80" t="s">
        <v>1390</v>
      </c>
      <c r="K25">
        <f t="shared" si="1"/>
        <v>1</v>
      </c>
      <c r="L25" t="str">
        <f>IF(I25="UGR","UGR",_xlfn.XLOOKUP(D25,Lookup!O:O,Lookup!N:N,0))</f>
        <v>Non FG</v>
      </c>
      <c r="M25">
        <f t="shared" si="2"/>
        <v>11</v>
      </c>
    </row>
    <row r="26" spans="1:13" hidden="1" x14ac:dyDescent="0.25">
      <c r="A26" s="78">
        <v>45965</v>
      </c>
      <c r="B26" s="79" t="s">
        <v>664</v>
      </c>
      <c r="C26" s="80" t="s">
        <v>1146</v>
      </c>
      <c r="D26" s="81" t="s">
        <v>696</v>
      </c>
      <c r="E26" s="26" t="s">
        <v>697</v>
      </c>
      <c r="F26" s="82">
        <v>10000</v>
      </c>
      <c r="G26" s="83" t="s">
        <v>622</v>
      </c>
      <c r="H26" s="84">
        <v>10000</v>
      </c>
      <c r="I26" s="80" t="s">
        <v>94</v>
      </c>
      <c r="J26" s="80" t="s">
        <v>1390</v>
      </c>
      <c r="K26">
        <f t="shared" si="1"/>
        <v>1</v>
      </c>
      <c r="L26" t="str">
        <f>IF(I26="UGR","UGR",_xlfn.XLOOKUP(D26,Lookup!O:O,Lookup!N:N,0))</f>
        <v>Non FG</v>
      </c>
      <c r="M26">
        <f t="shared" si="2"/>
        <v>11</v>
      </c>
    </row>
    <row r="27" spans="1:13" hidden="1" x14ac:dyDescent="0.25">
      <c r="A27" s="78">
        <v>45966</v>
      </c>
      <c r="B27" s="79" t="s">
        <v>664</v>
      </c>
      <c r="C27" s="80" t="s">
        <v>1180</v>
      </c>
      <c r="D27" s="81" t="s">
        <v>726</v>
      </c>
      <c r="E27" s="26" t="s">
        <v>727</v>
      </c>
      <c r="F27" s="82">
        <v>10000</v>
      </c>
      <c r="G27" s="83" t="s">
        <v>622</v>
      </c>
      <c r="H27" s="84">
        <v>10000</v>
      </c>
      <c r="I27" s="80" t="s">
        <v>94</v>
      </c>
      <c r="J27" s="80" t="s">
        <v>1390</v>
      </c>
      <c r="K27">
        <f t="shared" si="1"/>
        <v>1</v>
      </c>
      <c r="L27" t="str">
        <f>IF(I27="UGR","UGR",_xlfn.XLOOKUP(D27,Lookup!O:O,Lookup!N:N,0))</f>
        <v>Non FG</v>
      </c>
      <c r="M27">
        <f t="shared" si="2"/>
        <v>11</v>
      </c>
    </row>
    <row r="28" spans="1:13" hidden="1" x14ac:dyDescent="0.25">
      <c r="A28" s="78">
        <v>45965</v>
      </c>
      <c r="B28" s="79" t="s">
        <v>664</v>
      </c>
      <c r="C28" s="80" t="s">
        <v>1155</v>
      </c>
      <c r="D28" s="81" t="s">
        <v>669</v>
      </c>
      <c r="E28" s="26" t="s">
        <v>670</v>
      </c>
      <c r="F28" s="82">
        <v>10000</v>
      </c>
      <c r="G28" s="83" t="s">
        <v>622</v>
      </c>
      <c r="H28" s="84">
        <v>10000</v>
      </c>
      <c r="I28" s="80" t="s">
        <v>94</v>
      </c>
      <c r="J28" s="80" t="s">
        <v>1390</v>
      </c>
      <c r="K28">
        <f t="shared" si="1"/>
        <v>1</v>
      </c>
      <c r="L28" t="str">
        <f>IF(I28="UGR","UGR",_xlfn.XLOOKUP(D28,Lookup!O:O,Lookup!N:N,0))</f>
        <v>Non FG</v>
      </c>
      <c r="M28">
        <f t="shared" si="2"/>
        <v>11</v>
      </c>
    </row>
    <row r="29" spans="1:13" hidden="1" x14ac:dyDescent="0.25">
      <c r="A29" s="78">
        <v>45966</v>
      </c>
      <c r="B29" s="79" t="s">
        <v>664</v>
      </c>
      <c r="C29" s="80" t="s">
        <v>1156</v>
      </c>
      <c r="D29" s="81" t="s">
        <v>728</v>
      </c>
      <c r="E29" s="26" t="s">
        <v>729</v>
      </c>
      <c r="F29" s="82">
        <v>10000</v>
      </c>
      <c r="G29" s="83" t="s">
        <v>622</v>
      </c>
      <c r="H29" s="84">
        <v>10000</v>
      </c>
      <c r="I29" s="80" t="s">
        <v>94</v>
      </c>
      <c r="J29" s="80" t="s">
        <v>1390</v>
      </c>
      <c r="K29">
        <f t="shared" si="1"/>
        <v>1</v>
      </c>
      <c r="L29" t="str">
        <f>IF(I29="UGR","UGR",_xlfn.XLOOKUP(D29,Lookup!O:O,Lookup!N:N,0))</f>
        <v>Non FG</v>
      </c>
      <c r="M29">
        <f t="shared" si="2"/>
        <v>11</v>
      </c>
    </row>
    <row r="30" spans="1:13" hidden="1" x14ac:dyDescent="0.25">
      <c r="A30" s="78">
        <v>45965</v>
      </c>
      <c r="B30" s="79" t="s">
        <v>664</v>
      </c>
      <c r="C30" s="80" t="s">
        <v>1234</v>
      </c>
      <c r="D30" s="81" t="s">
        <v>755</v>
      </c>
      <c r="E30" s="26" t="s">
        <v>756</v>
      </c>
      <c r="F30" s="82">
        <v>10000</v>
      </c>
      <c r="G30" s="83" t="s">
        <v>622</v>
      </c>
      <c r="H30" s="84">
        <v>10000</v>
      </c>
      <c r="I30" s="80" t="s">
        <v>94</v>
      </c>
      <c r="J30" s="80" t="s">
        <v>1390</v>
      </c>
      <c r="K30">
        <f t="shared" si="1"/>
        <v>1</v>
      </c>
      <c r="L30" t="str">
        <f>IF(I30="UGR","UGR",_xlfn.XLOOKUP(D30,Lookup!O:O,Lookup!N:N,0))</f>
        <v>Non FG</v>
      </c>
      <c r="M30">
        <f t="shared" si="2"/>
        <v>11</v>
      </c>
    </row>
    <row r="31" spans="1:13" hidden="1" x14ac:dyDescent="0.25">
      <c r="A31" s="78">
        <v>45965</v>
      </c>
      <c r="B31" s="79" t="s">
        <v>664</v>
      </c>
      <c r="C31" s="80" t="s">
        <v>1181</v>
      </c>
      <c r="D31" s="81" t="s">
        <v>730</v>
      </c>
      <c r="E31" s="26" t="s">
        <v>731</v>
      </c>
      <c r="F31" s="82">
        <v>10000</v>
      </c>
      <c r="G31" s="83" t="s">
        <v>622</v>
      </c>
      <c r="H31" s="84">
        <v>10000</v>
      </c>
      <c r="I31" s="80" t="s">
        <v>94</v>
      </c>
      <c r="J31" s="80" t="s">
        <v>1390</v>
      </c>
      <c r="K31">
        <f t="shared" si="1"/>
        <v>1</v>
      </c>
      <c r="L31" t="str">
        <f>IF(I31="UGR","UGR",_xlfn.XLOOKUP(D31,Lookup!O:O,Lookup!N:N,0))</f>
        <v>Non FG</v>
      </c>
      <c r="M31">
        <f t="shared" si="2"/>
        <v>11</v>
      </c>
    </row>
    <row r="32" spans="1:13" hidden="1" x14ac:dyDescent="0.25">
      <c r="A32" s="78">
        <v>45966</v>
      </c>
      <c r="B32" s="79" t="s">
        <v>664</v>
      </c>
      <c r="C32" s="80" t="s">
        <v>1164</v>
      </c>
      <c r="D32" s="81" t="s">
        <v>706</v>
      </c>
      <c r="E32" s="26" t="s">
        <v>707</v>
      </c>
      <c r="F32" s="82">
        <v>10000</v>
      </c>
      <c r="G32" s="83" t="s">
        <v>622</v>
      </c>
      <c r="H32" s="84">
        <v>10000</v>
      </c>
      <c r="I32" s="80" t="s">
        <v>94</v>
      </c>
      <c r="J32" s="80" t="s">
        <v>1390</v>
      </c>
      <c r="K32">
        <f t="shared" si="1"/>
        <v>1</v>
      </c>
      <c r="L32" t="str">
        <f>IF(I32="UGR","UGR",_xlfn.XLOOKUP(D32,Lookup!O:O,Lookup!N:N,0))</f>
        <v>Non FG</v>
      </c>
      <c r="M32">
        <f t="shared" si="2"/>
        <v>11</v>
      </c>
    </row>
    <row r="33" spans="1:13" hidden="1" x14ac:dyDescent="0.25">
      <c r="A33" s="78">
        <v>45965</v>
      </c>
      <c r="B33" s="79" t="s">
        <v>664</v>
      </c>
      <c r="C33" s="80" t="s">
        <v>1165</v>
      </c>
      <c r="D33" s="81" t="s">
        <v>700</v>
      </c>
      <c r="E33" s="26" t="s">
        <v>701</v>
      </c>
      <c r="F33" s="82">
        <v>10000</v>
      </c>
      <c r="G33" s="83" t="s">
        <v>622</v>
      </c>
      <c r="H33" s="84">
        <v>10000</v>
      </c>
      <c r="I33" s="80" t="s">
        <v>94</v>
      </c>
      <c r="J33" s="80" t="s">
        <v>1390</v>
      </c>
      <c r="K33">
        <f t="shared" si="1"/>
        <v>1</v>
      </c>
      <c r="L33" t="str">
        <f>IF(I33="UGR","UGR",_xlfn.XLOOKUP(D33,Lookup!O:O,Lookup!N:N,0))</f>
        <v>Non FG</v>
      </c>
      <c r="M33">
        <f t="shared" si="2"/>
        <v>11</v>
      </c>
    </row>
    <row r="34" spans="1:13" hidden="1" x14ac:dyDescent="0.25">
      <c r="A34" s="78">
        <v>45966</v>
      </c>
      <c r="B34" s="79" t="s">
        <v>664</v>
      </c>
      <c r="C34" s="80" t="s">
        <v>1073</v>
      </c>
      <c r="D34" s="81" t="s">
        <v>675</v>
      </c>
      <c r="E34" s="26" t="s">
        <v>676</v>
      </c>
      <c r="F34" s="82">
        <v>10000</v>
      </c>
      <c r="G34" s="83" t="s">
        <v>622</v>
      </c>
      <c r="H34" s="84">
        <v>10000</v>
      </c>
      <c r="I34" s="80" t="s">
        <v>94</v>
      </c>
      <c r="J34" s="80" t="s">
        <v>1390</v>
      </c>
      <c r="K34">
        <f t="shared" si="1"/>
        <v>1</v>
      </c>
      <c r="L34" t="str">
        <f>IF(I34="UGR","UGR",_xlfn.XLOOKUP(D34,Lookup!O:O,Lookup!N:N,0))</f>
        <v>Non FG</v>
      </c>
      <c r="M34">
        <f t="shared" si="2"/>
        <v>11</v>
      </c>
    </row>
    <row r="35" spans="1:13" hidden="1" x14ac:dyDescent="0.25">
      <c r="A35" s="78">
        <v>45966</v>
      </c>
      <c r="B35" s="79" t="s">
        <v>664</v>
      </c>
      <c r="C35" s="80" t="s">
        <v>1190</v>
      </c>
      <c r="D35" s="81" t="s">
        <v>736</v>
      </c>
      <c r="E35" s="26" t="s">
        <v>737</v>
      </c>
      <c r="F35" s="82">
        <v>10000</v>
      </c>
      <c r="G35" s="83" t="s">
        <v>622</v>
      </c>
      <c r="H35" s="84">
        <v>10000</v>
      </c>
      <c r="I35" s="80" t="s">
        <v>94</v>
      </c>
      <c r="J35" s="80" t="s">
        <v>1390</v>
      </c>
      <c r="K35">
        <f t="shared" si="1"/>
        <v>1</v>
      </c>
      <c r="L35" t="str">
        <f>IF(I35="UGR","UGR",_xlfn.XLOOKUP(D35,Lookup!O:O,Lookup!N:N,0))</f>
        <v>Non FG</v>
      </c>
      <c r="M35">
        <f t="shared" si="2"/>
        <v>11</v>
      </c>
    </row>
    <row r="36" spans="1:13" hidden="1" x14ac:dyDescent="0.25">
      <c r="A36" s="78">
        <v>45966</v>
      </c>
      <c r="B36" s="79" t="s">
        <v>664</v>
      </c>
      <c r="C36" s="80" t="s">
        <v>1238</v>
      </c>
      <c r="D36" s="81" t="s">
        <v>677</v>
      </c>
      <c r="E36" s="26" t="s">
        <v>678</v>
      </c>
      <c r="F36" s="82">
        <v>10000</v>
      </c>
      <c r="G36" s="83" t="s">
        <v>622</v>
      </c>
      <c r="H36" s="84">
        <v>10000</v>
      </c>
      <c r="I36" s="80" t="s">
        <v>94</v>
      </c>
      <c r="J36" s="80" t="s">
        <v>1390</v>
      </c>
      <c r="K36">
        <f t="shared" si="1"/>
        <v>1</v>
      </c>
      <c r="L36" t="str">
        <f>IF(I36="UGR","UGR",_xlfn.XLOOKUP(D36,Lookup!O:O,Lookup!N:N,0))</f>
        <v>Non FG</v>
      </c>
      <c r="M36">
        <f t="shared" si="2"/>
        <v>11</v>
      </c>
    </row>
    <row r="37" spans="1:13" hidden="1" x14ac:dyDescent="0.25">
      <c r="A37" s="78">
        <v>45966</v>
      </c>
      <c r="B37" s="79" t="s">
        <v>712</v>
      </c>
      <c r="C37" s="80" t="s">
        <v>1149</v>
      </c>
      <c r="D37" s="81" t="s">
        <v>198</v>
      </c>
      <c r="E37" s="26" t="s">
        <v>816</v>
      </c>
      <c r="F37" s="82">
        <v>35000</v>
      </c>
      <c r="G37" s="83" t="s">
        <v>622</v>
      </c>
      <c r="H37" s="84">
        <v>35000</v>
      </c>
      <c r="I37" s="80" t="s">
        <v>817</v>
      </c>
      <c r="J37" s="80" t="s">
        <v>1390</v>
      </c>
      <c r="K37">
        <f t="shared" si="1"/>
        <v>1</v>
      </c>
      <c r="L37" t="str">
        <f>IF(I37="UGR","UGR",_xlfn.XLOOKUP(D37,Lookup!O:O,Lookup!N:N,0))</f>
        <v>(8031) USDA PASTA, WG ROTINI 12/1LB</v>
      </c>
    </row>
    <row r="38" spans="1:13" hidden="1" x14ac:dyDescent="0.25">
      <c r="A38" s="78">
        <v>45967</v>
      </c>
      <c r="B38" s="79" t="s">
        <v>715</v>
      </c>
      <c r="C38" s="80" t="s">
        <v>1417</v>
      </c>
      <c r="D38" s="81" t="s">
        <v>716</v>
      </c>
      <c r="E38" s="26" t="s">
        <v>717</v>
      </c>
      <c r="F38" s="82">
        <v>55000</v>
      </c>
      <c r="G38" s="83" t="s">
        <v>622</v>
      </c>
      <c r="H38" s="84">
        <v>55000</v>
      </c>
      <c r="I38" s="80" t="s">
        <v>94</v>
      </c>
      <c r="J38" s="80" t="s">
        <v>1391</v>
      </c>
      <c r="K38">
        <f t="shared" si="1"/>
        <v>1</v>
      </c>
      <c r="L38" t="str">
        <f>IF(I38="UGR","UGR",_xlfn.XLOOKUP(D38,Lookup!O:O,Lookup!N:N,0))</f>
        <v>Non FG</v>
      </c>
      <c r="M38">
        <f t="shared" si="2"/>
        <v>11</v>
      </c>
    </row>
    <row r="39" spans="1:13" hidden="1" x14ac:dyDescent="0.25">
      <c r="A39" s="78">
        <v>45967</v>
      </c>
      <c r="B39" s="79" t="s">
        <v>679</v>
      </c>
      <c r="C39" s="80" t="s">
        <v>1072</v>
      </c>
      <c r="D39" s="81" t="s">
        <v>718</v>
      </c>
      <c r="E39" s="26" t="s">
        <v>719</v>
      </c>
      <c r="F39" s="82">
        <v>85000</v>
      </c>
      <c r="G39" s="83" t="s">
        <v>622</v>
      </c>
      <c r="H39" s="84">
        <v>0</v>
      </c>
      <c r="I39" s="80" t="s">
        <v>94</v>
      </c>
      <c r="J39" s="80" t="s">
        <v>1391</v>
      </c>
      <c r="K39">
        <f t="shared" si="1"/>
        <v>1</v>
      </c>
      <c r="L39" t="str">
        <f>IF(I39="UGR","UGR",_xlfn.XLOOKUP(D39,Lookup!O:O,Lookup!N:N,0))</f>
        <v>Non FG</v>
      </c>
      <c r="M39">
        <f t="shared" si="2"/>
        <v>11</v>
      </c>
    </row>
    <row r="40" spans="1:13" hidden="1" x14ac:dyDescent="0.25">
      <c r="A40" s="78">
        <v>45967</v>
      </c>
      <c r="B40" s="79" t="s">
        <v>682</v>
      </c>
      <c r="C40" s="80" t="s">
        <v>1150</v>
      </c>
      <c r="D40" s="81" t="s">
        <v>720</v>
      </c>
      <c r="E40" s="26" t="s">
        <v>721</v>
      </c>
      <c r="F40" s="82">
        <v>24000</v>
      </c>
      <c r="G40" s="83" t="s">
        <v>622</v>
      </c>
      <c r="H40" s="84">
        <v>24000</v>
      </c>
      <c r="I40" s="80" t="s">
        <v>94</v>
      </c>
      <c r="J40" s="80" t="s">
        <v>1391</v>
      </c>
      <c r="K40">
        <f t="shared" si="1"/>
        <v>1</v>
      </c>
      <c r="L40" t="str">
        <f>IF(I40="UGR","UGR",_xlfn.XLOOKUP(D40,Lookup!O:O,Lookup!N:N,0))</f>
        <v>Non FG</v>
      </c>
      <c r="M40">
        <f t="shared" si="2"/>
        <v>11</v>
      </c>
    </row>
    <row r="41" spans="1:13" hidden="1" x14ac:dyDescent="0.25">
      <c r="A41" s="78">
        <v>45967</v>
      </c>
      <c r="B41" s="79" t="s">
        <v>685</v>
      </c>
      <c r="C41" s="80" t="s">
        <v>1151</v>
      </c>
      <c r="D41" s="81" t="s">
        <v>782</v>
      </c>
      <c r="E41" s="26" t="s">
        <v>783</v>
      </c>
      <c r="F41" s="82">
        <v>25000</v>
      </c>
      <c r="G41" s="83" t="s">
        <v>622</v>
      </c>
      <c r="H41" s="84">
        <v>25000.000000000004</v>
      </c>
      <c r="I41" s="80" t="s">
        <v>94</v>
      </c>
      <c r="J41" s="80" t="s">
        <v>1391</v>
      </c>
      <c r="K41">
        <f t="shared" si="1"/>
        <v>1</v>
      </c>
      <c r="L41" t="str">
        <f>IF(I41="UGR","UGR",_xlfn.XLOOKUP(D41,Lookup!O:O,Lookup!N:N,0))</f>
        <v>Non FG</v>
      </c>
      <c r="M41">
        <f t="shared" si="2"/>
        <v>11</v>
      </c>
    </row>
    <row r="42" spans="1:13" hidden="1" x14ac:dyDescent="0.25">
      <c r="A42" s="78">
        <v>45967</v>
      </c>
      <c r="B42" s="79" t="s">
        <v>688</v>
      </c>
      <c r="C42" s="80" t="s">
        <v>1152</v>
      </c>
      <c r="D42" s="81" t="s">
        <v>689</v>
      </c>
      <c r="E42" s="26" t="s">
        <v>690</v>
      </c>
      <c r="F42" s="82">
        <v>80000</v>
      </c>
      <c r="G42" s="83" t="s">
        <v>622</v>
      </c>
      <c r="H42" s="84">
        <v>0</v>
      </c>
      <c r="I42" s="80" t="s">
        <v>94</v>
      </c>
      <c r="J42" s="80" t="s">
        <v>1391</v>
      </c>
      <c r="K42">
        <f t="shared" si="1"/>
        <v>1</v>
      </c>
      <c r="L42" t="str">
        <f>IF(I42="UGR","UGR",_xlfn.XLOOKUP(D42,Lookup!O:O,Lookup!N:N,0))</f>
        <v>Non FG</v>
      </c>
      <c r="M42">
        <f t="shared" si="2"/>
        <v>11</v>
      </c>
    </row>
    <row r="43" spans="1:13" hidden="1" x14ac:dyDescent="0.25">
      <c r="A43" s="78">
        <v>45967</v>
      </c>
      <c r="B43" s="79" t="s">
        <v>664</v>
      </c>
      <c r="C43" s="80" t="s">
        <v>1177</v>
      </c>
      <c r="D43" s="81" t="s">
        <v>665</v>
      </c>
      <c r="E43" s="26" t="s">
        <v>666</v>
      </c>
      <c r="F43" s="82">
        <v>10000</v>
      </c>
      <c r="G43" s="83" t="s">
        <v>622</v>
      </c>
      <c r="H43" s="84">
        <v>10000</v>
      </c>
      <c r="I43" s="80" t="s">
        <v>94</v>
      </c>
      <c r="J43" s="80" t="s">
        <v>1391</v>
      </c>
      <c r="K43">
        <f t="shared" si="1"/>
        <v>1</v>
      </c>
      <c r="L43" t="str">
        <f>IF(I43="UGR","UGR",_xlfn.XLOOKUP(D43,Lookup!O:O,Lookup!N:N,0))</f>
        <v>Non FG</v>
      </c>
      <c r="M43">
        <f t="shared" si="2"/>
        <v>11</v>
      </c>
    </row>
    <row r="44" spans="1:13" hidden="1" x14ac:dyDescent="0.25">
      <c r="A44" s="78">
        <v>45967</v>
      </c>
      <c r="B44" s="79" t="s">
        <v>664</v>
      </c>
      <c r="C44" s="80" t="s">
        <v>1246</v>
      </c>
      <c r="D44" s="81" t="s">
        <v>704</v>
      </c>
      <c r="E44" s="26" t="s">
        <v>705</v>
      </c>
      <c r="F44" s="82">
        <v>10000</v>
      </c>
      <c r="G44" s="83" t="s">
        <v>622</v>
      </c>
      <c r="H44" s="84">
        <v>10000</v>
      </c>
      <c r="I44" s="80" t="s">
        <v>94</v>
      </c>
      <c r="J44" s="80" t="s">
        <v>1391</v>
      </c>
      <c r="K44">
        <f t="shared" si="1"/>
        <v>1</v>
      </c>
      <c r="L44" t="str">
        <f>IF(I44="UGR","UGR",_xlfn.XLOOKUP(D44,Lookup!O:O,Lookup!N:N,0))</f>
        <v>Non FG</v>
      </c>
      <c r="M44">
        <f t="shared" si="2"/>
        <v>11</v>
      </c>
    </row>
    <row r="45" spans="1:13" hidden="1" x14ac:dyDescent="0.25">
      <c r="A45" s="78">
        <v>45966</v>
      </c>
      <c r="B45" s="79" t="s">
        <v>664</v>
      </c>
      <c r="C45" s="80" t="s">
        <v>1153</v>
      </c>
      <c r="D45" s="81" t="s">
        <v>667</v>
      </c>
      <c r="E45" s="26" t="s">
        <v>668</v>
      </c>
      <c r="F45" s="82">
        <v>10000</v>
      </c>
      <c r="G45" s="83" t="s">
        <v>622</v>
      </c>
      <c r="H45" s="84">
        <v>10000</v>
      </c>
      <c r="I45" s="80" t="s">
        <v>94</v>
      </c>
      <c r="J45" s="80" t="s">
        <v>1391</v>
      </c>
      <c r="K45">
        <f t="shared" si="1"/>
        <v>1</v>
      </c>
      <c r="L45" t="str">
        <f>IF(I45="UGR","UGR",_xlfn.XLOOKUP(D45,Lookup!O:O,Lookup!N:N,0))</f>
        <v>Non FG</v>
      </c>
      <c r="M45">
        <f t="shared" si="2"/>
        <v>11</v>
      </c>
    </row>
    <row r="46" spans="1:13" hidden="1" x14ac:dyDescent="0.25">
      <c r="A46" s="78">
        <v>45967</v>
      </c>
      <c r="B46" s="79" t="s">
        <v>664</v>
      </c>
      <c r="C46" s="80" t="s">
        <v>1154</v>
      </c>
      <c r="D46" s="81" t="s">
        <v>742</v>
      </c>
      <c r="E46" s="26" t="s">
        <v>743</v>
      </c>
      <c r="F46" s="82">
        <v>10000</v>
      </c>
      <c r="G46" s="83" t="s">
        <v>622</v>
      </c>
      <c r="H46" s="84">
        <v>10000</v>
      </c>
      <c r="I46" s="80" t="s">
        <v>94</v>
      </c>
      <c r="J46" s="80" t="s">
        <v>1391</v>
      </c>
      <c r="K46">
        <f t="shared" si="1"/>
        <v>1</v>
      </c>
      <c r="L46" t="str">
        <f>IF(I46="UGR","UGR",_xlfn.XLOOKUP(D46,Lookup!O:O,Lookup!N:N,0))</f>
        <v>Non FG</v>
      </c>
      <c r="M46">
        <f t="shared" si="2"/>
        <v>11</v>
      </c>
    </row>
    <row r="47" spans="1:13" hidden="1" x14ac:dyDescent="0.25">
      <c r="A47" s="78">
        <v>45966</v>
      </c>
      <c r="B47" s="79" t="s">
        <v>664</v>
      </c>
      <c r="C47" s="80" t="s">
        <v>1248</v>
      </c>
      <c r="D47" s="81" t="s">
        <v>698</v>
      </c>
      <c r="E47" s="26" t="s">
        <v>699</v>
      </c>
      <c r="F47" s="82">
        <v>10000</v>
      </c>
      <c r="G47" s="83" t="s">
        <v>622</v>
      </c>
      <c r="H47" s="84">
        <v>10000</v>
      </c>
      <c r="I47" s="80" t="s">
        <v>94</v>
      </c>
      <c r="J47" s="80" t="s">
        <v>1391</v>
      </c>
      <c r="K47">
        <f t="shared" si="1"/>
        <v>1</v>
      </c>
      <c r="L47" t="str">
        <f>IF(I47="UGR","UGR",_xlfn.XLOOKUP(D47,Lookup!O:O,Lookup!N:N,0))</f>
        <v>Non FG</v>
      </c>
      <c r="M47">
        <f t="shared" si="2"/>
        <v>11</v>
      </c>
    </row>
    <row r="48" spans="1:13" hidden="1" x14ac:dyDescent="0.25">
      <c r="A48" s="78">
        <v>45966</v>
      </c>
      <c r="B48" s="79" t="s">
        <v>664</v>
      </c>
      <c r="C48" s="80" t="s">
        <v>1183</v>
      </c>
      <c r="D48" s="81" t="s">
        <v>671</v>
      </c>
      <c r="E48" s="26" t="s">
        <v>672</v>
      </c>
      <c r="F48" s="82">
        <v>10000</v>
      </c>
      <c r="G48" s="83" t="s">
        <v>622</v>
      </c>
      <c r="H48" s="84">
        <v>10000</v>
      </c>
      <c r="I48" s="80" t="s">
        <v>94</v>
      </c>
      <c r="J48" s="80" t="s">
        <v>1391</v>
      </c>
      <c r="K48">
        <f t="shared" si="1"/>
        <v>1</v>
      </c>
      <c r="L48" t="str">
        <f>IF(I48="UGR","UGR",_xlfn.XLOOKUP(D48,Lookup!O:O,Lookup!N:N,0))</f>
        <v>Non FG</v>
      </c>
      <c r="M48">
        <f t="shared" si="2"/>
        <v>11</v>
      </c>
    </row>
    <row r="49" spans="1:13" hidden="1" x14ac:dyDescent="0.25">
      <c r="A49" s="78">
        <v>45966</v>
      </c>
      <c r="B49" s="79" t="s">
        <v>664</v>
      </c>
      <c r="C49" s="80" t="s">
        <v>1157</v>
      </c>
      <c r="D49" s="81" t="s">
        <v>732</v>
      </c>
      <c r="E49" s="26" t="s">
        <v>733</v>
      </c>
      <c r="F49" s="82">
        <v>10000</v>
      </c>
      <c r="G49" s="83" t="s">
        <v>622</v>
      </c>
      <c r="H49" s="84">
        <v>10000</v>
      </c>
      <c r="I49" s="80" t="s">
        <v>94</v>
      </c>
      <c r="J49" s="80" t="s">
        <v>1391</v>
      </c>
      <c r="K49">
        <f t="shared" si="1"/>
        <v>1</v>
      </c>
      <c r="L49" t="str">
        <f>IF(I49="UGR","UGR",_xlfn.XLOOKUP(D49,Lookup!O:O,Lookup!N:N,0))</f>
        <v>Non FG</v>
      </c>
      <c r="M49">
        <f t="shared" si="2"/>
        <v>11</v>
      </c>
    </row>
    <row r="50" spans="1:13" hidden="1" x14ac:dyDescent="0.25">
      <c r="A50" s="78">
        <v>45967</v>
      </c>
      <c r="B50" s="79" t="s">
        <v>664</v>
      </c>
      <c r="C50" s="80" t="s">
        <v>1253</v>
      </c>
      <c r="D50" s="81" t="s">
        <v>673</v>
      </c>
      <c r="E50" s="26" t="s">
        <v>674</v>
      </c>
      <c r="F50" s="82">
        <v>10000</v>
      </c>
      <c r="G50" s="83" t="s">
        <v>622</v>
      </c>
      <c r="H50" s="84">
        <v>10000</v>
      </c>
      <c r="I50" s="80" t="s">
        <v>94</v>
      </c>
      <c r="J50" s="80" t="s">
        <v>1391</v>
      </c>
      <c r="K50">
        <f t="shared" si="1"/>
        <v>1</v>
      </c>
      <c r="L50" t="str">
        <f>IF(I50="UGR","UGR",_xlfn.XLOOKUP(D50,Lookup!O:O,Lookup!N:N,0))</f>
        <v>Non FG</v>
      </c>
      <c r="M50">
        <f t="shared" si="2"/>
        <v>11</v>
      </c>
    </row>
    <row r="51" spans="1:13" hidden="1" x14ac:dyDescent="0.25">
      <c r="A51" s="78">
        <v>45966</v>
      </c>
      <c r="B51" s="79" t="s">
        <v>664</v>
      </c>
      <c r="C51" s="80" t="s">
        <v>1134</v>
      </c>
      <c r="D51" s="81" t="s">
        <v>734</v>
      </c>
      <c r="E51" s="26" t="s">
        <v>735</v>
      </c>
      <c r="F51" s="82">
        <v>10000</v>
      </c>
      <c r="G51" s="83" t="s">
        <v>622</v>
      </c>
      <c r="H51" s="84">
        <v>10000</v>
      </c>
      <c r="I51" s="80" t="s">
        <v>94</v>
      </c>
      <c r="J51" s="80" t="s">
        <v>1391</v>
      </c>
      <c r="K51">
        <f t="shared" si="1"/>
        <v>1</v>
      </c>
      <c r="L51" t="str">
        <f>IF(I51="UGR","UGR",_xlfn.XLOOKUP(D51,Lookup!O:O,Lookup!N:N,0))</f>
        <v>Non FG</v>
      </c>
      <c r="M51">
        <f t="shared" si="2"/>
        <v>11</v>
      </c>
    </row>
    <row r="52" spans="1:13" hidden="1" x14ac:dyDescent="0.25">
      <c r="A52" s="78">
        <v>45966</v>
      </c>
      <c r="B52" s="79" t="s">
        <v>664</v>
      </c>
      <c r="C52" s="80" t="s">
        <v>1070</v>
      </c>
      <c r="D52" s="81" t="s">
        <v>708</v>
      </c>
      <c r="E52" s="26" t="s">
        <v>709</v>
      </c>
      <c r="F52" s="82">
        <v>10000</v>
      </c>
      <c r="G52" s="83" t="s">
        <v>622</v>
      </c>
      <c r="H52" s="84">
        <v>10000</v>
      </c>
      <c r="I52" s="80" t="s">
        <v>94</v>
      </c>
      <c r="J52" s="80" t="s">
        <v>1391</v>
      </c>
      <c r="K52">
        <f t="shared" si="1"/>
        <v>1</v>
      </c>
      <c r="L52" t="str">
        <f>IF(I52="UGR","UGR",_xlfn.XLOOKUP(D52,Lookup!O:O,Lookup!N:N,0))</f>
        <v>Non FG</v>
      </c>
      <c r="M52">
        <f t="shared" si="2"/>
        <v>11</v>
      </c>
    </row>
    <row r="53" spans="1:13" hidden="1" x14ac:dyDescent="0.25">
      <c r="A53" s="78">
        <v>45967</v>
      </c>
      <c r="B53" s="79" t="s">
        <v>664</v>
      </c>
      <c r="C53" s="80" t="s">
        <v>1166</v>
      </c>
      <c r="D53" s="81" t="s">
        <v>702</v>
      </c>
      <c r="E53" s="26" t="s">
        <v>703</v>
      </c>
      <c r="F53" s="82">
        <v>10000</v>
      </c>
      <c r="G53" s="83" t="s">
        <v>622</v>
      </c>
      <c r="H53" s="84">
        <v>10000</v>
      </c>
      <c r="I53" s="80" t="s">
        <v>94</v>
      </c>
      <c r="J53" s="80" t="s">
        <v>1391</v>
      </c>
      <c r="K53">
        <f t="shared" si="1"/>
        <v>1</v>
      </c>
      <c r="L53" t="str">
        <f>IF(I53="UGR","UGR",_xlfn.XLOOKUP(D53,Lookup!O:O,Lookup!N:N,0))</f>
        <v>Non FG</v>
      </c>
      <c r="M53">
        <f t="shared" si="2"/>
        <v>11</v>
      </c>
    </row>
    <row r="54" spans="1:13" hidden="1" x14ac:dyDescent="0.25">
      <c r="A54" s="78">
        <v>45967</v>
      </c>
      <c r="B54" s="79" t="s">
        <v>664</v>
      </c>
      <c r="C54" s="80" t="s">
        <v>1269</v>
      </c>
      <c r="D54" s="81" t="s">
        <v>710</v>
      </c>
      <c r="E54" s="26" t="s">
        <v>711</v>
      </c>
      <c r="F54" s="82">
        <v>10000</v>
      </c>
      <c r="G54" s="83" t="s">
        <v>622</v>
      </c>
      <c r="H54" s="84">
        <v>10000</v>
      </c>
      <c r="I54" s="80" t="s">
        <v>94</v>
      </c>
      <c r="J54" s="80" t="s">
        <v>1391</v>
      </c>
      <c r="K54">
        <f t="shared" si="1"/>
        <v>1</v>
      </c>
      <c r="L54" t="str">
        <f>IF(I54="UGR","UGR",_xlfn.XLOOKUP(D54,Lookup!O:O,Lookup!N:N,0))</f>
        <v>Non FG</v>
      </c>
      <c r="M54">
        <f t="shared" si="2"/>
        <v>11</v>
      </c>
    </row>
    <row r="55" spans="1:13" hidden="1" x14ac:dyDescent="0.25">
      <c r="A55" s="78">
        <v>45967</v>
      </c>
      <c r="B55" s="79" t="s">
        <v>712</v>
      </c>
      <c r="C55" s="80" t="s">
        <v>1159</v>
      </c>
      <c r="D55" s="81" t="s">
        <v>198</v>
      </c>
      <c r="E55" s="26" t="s">
        <v>816</v>
      </c>
      <c r="F55" s="82">
        <v>35000</v>
      </c>
      <c r="G55" s="83" t="s">
        <v>622</v>
      </c>
      <c r="H55" s="84">
        <v>35000</v>
      </c>
      <c r="I55" s="80" t="s">
        <v>817</v>
      </c>
      <c r="J55" s="80" t="s">
        <v>1391</v>
      </c>
      <c r="K55">
        <f t="shared" si="1"/>
        <v>1</v>
      </c>
      <c r="L55" t="str">
        <f>IF(I55="UGR","UGR",_xlfn.XLOOKUP(D55,Lookup!O:O,Lookup!N:N,0))</f>
        <v>(8031) USDA PASTA, WG ROTINI 12/1LB</v>
      </c>
    </row>
    <row r="56" spans="1:13" hidden="1" x14ac:dyDescent="0.25">
      <c r="A56" s="78">
        <v>45968</v>
      </c>
      <c r="B56" s="79" t="s">
        <v>682</v>
      </c>
      <c r="C56" s="80" t="s">
        <v>1239</v>
      </c>
      <c r="D56" s="81" t="s">
        <v>767</v>
      </c>
      <c r="E56" s="26" t="s">
        <v>768</v>
      </c>
      <c r="F56" s="82">
        <v>27000</v>
      </c>
      <c r="G56" s="83" t="s">
        <v>622</v>
      </c>
      <c r="H56" s="84">
        <v>0</v>
      </c>
      <c r="I56" s="80" t="s">
        <v>94</v>
      </c>
      <c r="J56" s="80" t="s">
        <v>1392</v>
      </c>
      <c r="K56">
        <f t="shared" si="1"/>
        <v>1</v>
      </c>
      <c r="L56" t="str">
        <f>IF(I56="UGR","UGR",_xlfn.XLOOKUP(D56,Lookup!O:O,Lookup!N:N,0))</f>
        <v>Non FG</v>
      </c>
      <c r="M56">
        <f t="shared" si="2"/>
        <v>11</v>
      </c>
    </row>
    <row r="57" spans="1:13" hidden="1" x14ac:dyDescent="0.25">
      <c r="A57" s="78">
        <v>45968</v>
      </c>
      <c r="B57" s="79" t="s">
        <v>688</v>
      </c>
      <c r="C57" s="80" t="s">
        <v>1162</v>
      </c>
      <c r="D57" s="81" t="s">
        <v>689</v>
      </c>
      <c r="E57" s="26" t="s">
        <v>690</v>
      </c>
      <c r="F57" s="82">
        <v>80000</v>
      </c>
      <c r="G57" s="83" t="s">
        <v>622</v>
      </c>
      <c r="H57" s="84">
        <v>0</v>
      </c>
      <c r="I57" s="80" t="s">
        <v>94</v>
      </c>
      <c r="J57" s="80" t="s">
        <v>1392</v>
      </c>
      <c r="K57">
        <f t="shared" si="1"/>
        <v>1</v>
      </c>
      <c r="L57" t="str">
        <f>IF(I57="UGR","UGR",_xlfn.XLOOKUP(D57,Lookup!O:O,Lookup!N:N,0))</f>
        <v>Non FG</v>
      </c>
      <c r="M57">
        <f t="shared" si="2"/>
        <v>11</v>
      </c>
    </row>
    <row r="58" spans="1:13" hidden="1" x14ac:dyDescent="0.25">
      <c r="A58" s="78">
        <v>45968</v>
      </c>
      <c r="B58" s="79" t="s">
        <v>693</v>
      </c>
      <c r="C58" s="80" t="s">
        <v>1174</v>
      </c>
      <c r="D58" s="81" t="s">
        <v>222</v>
      </c>
      <c r="E58" s="26" t="s">
        <v>694</v>
      </c>
      <c r="F58" s="82">
        <v>9120</v>
      </c>
      <c r="G58" s="83" t="s">
        <v>619</v>
      </c>
      <c r="H58" s="84">
        <v>9120</v>
      </c>
      <c r="I58" s="80" t="s">
        <v>94</v>
      </c>
      <c r="J58" s="80" t="s">
        <v>1392</v>
      </c>
      <c r="K58">
        <f t="shared" si="1"/>
        <v>1</v>
      </c>
      <c r="L58" t="str">
        <f>IF(I58="UGR","UGR",_xlfn.XLOOKUP(D58,Lookup!O:O,Lookup!N:N,0))</f>
        <v>MRE Cases</v>
      </c>
    </row>
    <row r="59" spans="1:13" hidden="1" x14ac:dyDescent="0.25">
      <c r="A59" s="78">
        <v>45968</v>
      </c>
      <c r="B59" s="79" t="s">
        <v>693</v>
      </c>
      <c r="C59" s="80" t="s">
        <v>1175</v>
      </c>
      <c r="D59" s="81" t="s">
        <v>223</v>
      </c>
      <c r="E59" s="26" t="s">
        <v>695</v>
      </c>
      <c r="F59" s="82">
        <v>9120</v>
      </c>
      <c r="G59" s="83" t="s">
        <v>619</v>
      </c>
      <c r="H59" s="84">
        <v>9120</v>
      </c>
      <c r="I59" s="80" t="s">
        <v>94</v>
      </c>
      <c r="J59" s="80" t="s">
        <v>1392</v>
      </c>
      <c r="K59">
        <f t="shared" si="1"/>
        <v>1</v>
      </c>
      <c r="L59" t="str">
        <f>IF(I59="UGR","UGR",_xlfn.XLOOKUP(D59,Lookup!O:O,Lookup!N:N,0))</f>
        <v>MRE Cases</v>
      </c>
    </row>
    <row r="60" spans="1:13" hidden="1" x14ac:dyDescent="0.25">
      <c r="A60" s="78">
        <v>45967</v>
      </c>
      <c r="B60" s="79" t="s">
        <v>664</v>
      </c>
      <c r="C60" s="80" t="s">
        <v>1176</v>
      </c>
      <c r="D60" s="81" t="s">
        <v>724</v>
      </c>
      <c r="E60" s="26" t="s">
        <v>725</v>
      </c>
      <c r="F60" s="82">
        <v>10000</v>
      </c>
      <c r="G60" s="83" t="s">
        <v>622</v>
      </c>
      <c r="H60" s="84">
        <v>10000</v>
      </c>
      <c r="I60" s="80" t="s">
        <v>94</v>
      </c>
      <c r="J60" s="80" t="s">
        <v>1392</v>
      </c>
      <c r="K60">
        <f t="shared" si="1"/>
        <v>1</v>
      </c>
      <c r="L60" t="str">
        <f>IF(I60="UGR","UGR",_xlfn.XLOOKUP(D60,Lookup!O:O,Lookup!N:N,0))</f>
        <v>Non FG</v>
      </c>
      <c r="M60">
        <f t="shared" si="2"/>
        <v>11</v>
      </c>
    </row>
    <row r="61" spans="1:13" hidden="1" x14ac:dyDescent="0.25">
      <c r="A61" s="78">
        <v>45968</v>
      </c>
      <c r="B61" s="79" t="s">
        <v>664</v>
      </c>
      <c r="C61" s="80" t="s">
        <v>1244</v>
      </c>
      <c r="D61" s="81" t="s">
        <v>696</v>
      </c>
      <c r="E61" s="26" t="s">
        <v>697</v>
      </c>
      <c r="F61" s="82">
        <v>10000</v>
      </c>
      <c r="G61" s="83" t="s">
        <v>622</v>
      </c>
      <c r="H61" s="84">
        <v>10000</v>
      </c>
      <c r="I61" s="80" t="s">
        <v>94</v>
      </c>
      <c r="J61" s="80" t="s">
        <v>1392</v>
      </c>
      <c r="K61">
        <f t="shared" si="1"/>
        <v>1</v>
      </c>
      <c r="L61" t="str">
        <f>IF(I61="UGR","UGR",_xlfn.XLOOKUP(D61,Lookup!O:O,Lookup!N:N,0))</f>
        <v>Non FG</v>
      </c>
      <c r="M61">
        <f t="shared" si="2"/>
        <v>11</v>
      </c>
    </row>
    <row r="62" spans="1:13" hidden="1" x14ac:dyDescent="0.25">
      <c r="A62" s="78">
        <v>45968</v>
      </c>
      <c r="B62" s="79" t="s">
        <v>664</v>
      </c>
      <c r="C62" s="80" t="s">
        <v>1230</v>
      </c>
      <c r="D62" s="81" t="s">
        <v>726</v>
      </c>
      <c r="E62" s="26" t="s">
        <v>727</v>
      </c>
      <c r="F62" s="82">
        <v>10000</v>
      </c>
      <c r="G62" s="83" t="s">
        <v>622</v>
      </c>
      <c r="H62" s="84">
        <v>10000</v>
      </c>
      <c r="I62" s="80" t="s">
        <v>94</v>
      </c>
      <c r="J62" s="80" t="s">
        <v>1392</v>
      </c>
      <c r="K62">
        <f t="shared" si="1"/>
        <v>1</v>
      </c>
      <c r="L62" t="str">
        <f>IF(I62="UGR","UGR",_xlfn.XLOOKUP(D62,Lookup!O:O,Lookup!N:N,0))</f>
        <v>Non FG</v>
      </c>
      <c r="M62">
        <f t="shared" si="2"/>
        <v>11</v>
      </c>
    </row>
    <row r="63" spans="1:13" hidden="1" x14ac:dyDescent="0.25">
      <c r="A63" s="78">
        <v>45967</v>
      </c>
      <c r="B63" s="79" t="s">
        <v>664</v>
      </c>
      <c r="C63" s="80" t="s">
        <v>1232</v>
      </c>
      <c r="D63" s="81" t="s">
        <v>669</v>
      </c>
      <c r="E63" s="26" t="s">
        <v>670</v>
      </c>
      <c r="F63" s="82">
        <v>10000</v>
      </c>
      <c r="G63" s="83" t="s">
        <v>622</v>
      </c>
      <c r="H63" s="84">
        <v>10000</v>
      </c>
      <c r="I63" s="80" t="s">
        <v>94</v>
      </c>
      <c r="J63" s="80" t="s">
        <v>1392</v>
      </c>
      <c r="K63">
        <f t="shared" si="1"/>
        <v>1</v>
      </c>
      <c r="L63" t="str">
        <f>IF(I63="UGR","UGR",_xlfn.XLOOKUP(D63,Lookup!O:O,Lookup!N:N,0))</f>
        <v>Non FG</v>
      </c>
      <c r="M63">
        <f t="shared" si="2"/>
        <v>11</v>
      </c>
    </row>
    <row r="64" spans="1:13" hidden="1" x14ac:dyDescent="0.25">
      <c r="A64" s="78">
        <v>45967</v>
      </c>
      <c r="B64" s="79" t="s">
        <v>664</v>
      </c>
      <c r="C64" s="80" t="s">
        <v>1264</v>
      </c>
      <c r="D64" s="81" t="s">
        <v>755</v>
      </c>
      <c r="E64" s="26" t="s">
        <v>756</v>
      </c>
      <c r="F64" s="82">
        <v>10000</v>
      </c>
      <c r="G64" s="83" t="s">
        <v>622</v>
      </c>
      <c r="H64" s="84">
        <v>10000</v>
      </c>
      <c r="I64" s="80" t="s">
        <v>94</v>
      </c>
      <c r="J64" s="80" t="s">
        <v>1392</v>
      </c>
      <c r="K64">
        <f t="shared" si="1"/>
        <v>1</v>
      </c>
      <c r="L64" t="str">
        <f>IF(I64="UGR","UGR",_xlfn.XLOOKUP(D64,Lookup!O:O,Lookup!N:N,0))</f>
        <v>Non FG</v>
      </c>
      <c r="M64">
        <f t="shared" si="2"/>
        <v>11</v>
      </c>
    </row>
    <row r="65" spans="1:13" hidden="1" x14ac:dyDescent="0.25">
      <c r="A65" s="78">
        <v>45967</v>
      </c>
      <c r="B65" s="79" t="s">
        <v>664</v>
      </c>
      <c r="C65" s="80" t="s">
        <v>1265</v>
      </c>
      <c r="D65" s="81" t="s">
        <v>730</v>
      </c>
      <c r="E65" s="26" t="s">
        <v>731</v>
      </c>
      <c r="F65" s="82">
        <v>10000</v>
      </c>
      <c r="G65" s="83" t="s">
        <v>622</v>
      </c>
      <c r="H65" s="84">
        <v>10000</v>
      </c>
      <c r="I65" s="80" t="s">
        <v>94</v>
      </c>
      <c r="J65" s="80" t="s">
        <v>1392</v>
      </c>
      <c r="K65">
        <f t="shared" si="1"/>
        <v>1</v>
      </c>
      <c r="L65" t="str">
        <f>IF(I65="UGR","UGR",_xlfn.XLOOKUP(D65,Lookup!O:O,Lookup!N:N,0))</f>
        <v>Non FG</v>
      </c>
      <c r="M65">
        <f t="shared" si="2"/>
        <v>11</v>
      </c>
    </row>
    <row r="66" spans="1:13" hidden="1" x14ac:dyDescent="0.25">
      <c r="A66" s="78">
        <v>45967</v>
      </c>
      <c r="B66" s="79" t="s">
        <v>664</v>
      </c>
      <c r="C66" s="80" t="s">
        <v>1274</v>
      </c>
      <c r="D66" s="81" t="s">
        <v>698</v>
      </c>
      <c r="E66" s="26" t="s">
        <v>699</v>
      </c>
      <c r="F66" s="82">
        <v>10000</v>
      </c>
      <c r="G66" s="83" t="s">
        <v>622</v>
      </c>
      <c r="H66" s="84">
        <v>10000</v>
      </c>
      <c r="I66" s="80" t="s">
        <v>94</v>
      </c>
      <c r="J66" s="80" t="s">
        <v>1392</v>
      </c>
      <c r="K66">
        <f t="shared" si="1"/>
        <v>1</v>
      </c>
      <c r="L66" t="str">
        <f>IF(I66="UGR","UGR",_xlfn.XLOOKUP(D66,Lookup!O:O,Lookup!N:N,0))</f>
        <v>Non FG</v>
      </c>
      <c r="M66">
        <f t="shared" si="2"/>
        <v>11</v>
      </c>
    </row>
    <row r="67" spans="1:13" hidden="1" x14ac:dyDescent="0.25">
      <c r="A67" s="78">
        <v>45968</v>
      </c>
      <c r="B67" s="79" t="s">
        <v>664</v>
      </c>
      <c r="C67" s="80" t="s">
        <v>1182</v>
      </c>
      <c r="D67" s="81" t="s">
        <v>671</v>
      </c>
      <c r="E67" s="26" t="s">
        <v>672</v>
      </c>
      <c r="F67" s="82">
        <v>10000</v>
      </c>
      <c r="G67" s="83" t="s">
        <v>622</v>
      </c>
      <c r="H67" s="84">
        <v>10000</v>
      </c>
      <c r="I67" s="80" t="s">
        <v>94</v>
      </c>
      <c r="J67" s="80" t="s">
        <v>1392</v>
      </c>
      <c r="K67">
        <f t="shared" ref="K67:K130" si="3">IF(AND(B67=B66,C67=C66),0,1)</f>
        <v>1</v>
      </c>
      <c r="L67" t="str">
        <f>IF(I67="UGR","UGR",_xlfn.XLOOKUP(D67,Lookup!O:O,Lookup!N:N,0))</f>
        <v>Non FG</v>
      </c>
      <c r="M67">
        <f t="shared" ref="M67:M130" si="4">MONTH(A67)</f>
        <v>11</v>
      </c>
    </row>
    <row r="68" spans="1:13" hidden="1" x14ac:dyDescent="0.25">
      <c r="A68" s="78">
        <v>45968</v>
      </c>
      <c r="B68" s="79" t="s">
        <v>664</v>
      </c>
      <c r="C68" s="80" t="s">
        <v>1184</v>
      </c>
      <c r="D68" s="81" t="s">
        <v>706</v>
      </c>
      <c r="E68" s="26" t="s">
        <v>707</v>
      </c>
      <c r="F68" s="82">
        <v>10000</v>
      </c>
      <c r="G68" s="83" t="s">
        <v>622</v>
      </c>
      <c r="H68" s="84">
        <v>10000</v>
      </c>
      <c r="I68" s="80" t="s">
        <v>94</v>
      </c>
      <c r="J68" s="80" t="s">
        <v>1392</v>
      </c>
      <c r="K68">
        <f t="shared" si="3"/>
        <v>1</v>
      </c>
      <c r="L68" t="str">
        <f>IF(I68="UGR","UGR",_xlfn.XLOOKUP(D68,Lookup!O:O,Lookup!N:N,0))</f>
        <v>Non FG</v>
      </c>
      <c r="M68">
        <f t="shared" si="4"/>
        <v>11</v>
      </c>
    </row>
    <row r="69" spans="1:13" hidden="1" x14ac:dyDescent="0.25">
      <c r="A69" s="78">
        <v>45967</v>
      </c>
      <c r="B69" s="79" t="s">
        <v>664</v>
      </c>
      <c r="C69" s="80" t="s">
        <v>1252</v>
      </c>
      <c r="D69" s="81" t="s">
        <v>700</v>
      </c>
      <c r="E69" s="26" t="s">
        <v>701</v>
      </c>
      <c r="F69" s="82">
        <v>10000</v>
      </c>
      <c r="G69" s="83" t="s">
        <v>622</v>
      </c>
      <c r="H69" s="84">
        <v>10000</v>
      </c>
      <c r="I69" s="80" t="s">
        <v>94</v>
      </c>
      <c r="J69" s="80" t="s">
        <v>1392</v>
      </c>
      <c r="K69">
        <f t="shared" si="3"/>
        <v>1</v>
      </c>
      <c r="L69" t="str">
        <f>IF(I69="UGR","UGR",_xlfn.XLOOKUP(D69,Lookup!O:O,Lookup!N:N,0))</f>
        <v>Non FG</v>
      </c>
      <c r="M69">
        <f t="shared" si="4"/>
        <v>11</v>
      </c>
    </row>
    <row r="70" spans="1:13" hidden="1" x14ac:dyDescent="0.25">
      <c r="A70" s="78">
        <v>45968</v>
      </c>
      <c r="B70" s="79" t="s">
        <v>664</v>
      </c>
      <c r="C70" s="80" t="s">
        <v>1188</v>
      </c>
      <c r="D70" s="81" t="s">
        <v>675</v>
      </c>
      <c r="E70" s="26" t="s">
        <v>676</v>
      </c>
      <c r="F70" s="82">
        <v>10000</v>
      </c>
      <c r="G70" s="83" t="s">
        <v>622</v>
      </c>
      <c r="H70" s="84">
        <v>10000</v>
      </c>
      <c r="I70" s="80" t="s">
        <v>94</v>
      </c>
      <c r="J70" s="80" t="s">
        <v>1392</v>
      </c>
      <c r="K70">
        <f t="shared" si="3"/>
        <v>1</v>
      </c>
      <c r="L70" t="str">
        <f>IF(I70="UGR","UGR",_xlfn.XLOOKUP(D70,Lookup!O:O,Lookup!N:N,0))</f>
        <v>Non FG</v>
      </c>
      <c r="M70">
        <f t="shared" si="4"/>
        <v>11</v>
      </c>
    </row>
    <row r="71" spans="1:13" hidden="1" x14ac:dyDescent="0.25">
      <c r="A71" s="78">
        <v>45968</v>
      </c>
      <c r="B71" s="79" t="s">
        <v>664</v>
      </c>
      <c r="C71" s="80" t="s">
        <v>1158</v>
      </c>
      <c r="D71" s="81" t="s">
        <v>736</v>
      </c>
      <c r="E71" s="26" t="s">
        <v>737</v>
      </c>
      <c r="F71" s="82">
        <v>10000</v>
      </c>
      <c r="G71" s="83" t="s">
        <v>622</v>
      </c>
      <c r="H71" s="84">
        <v>10000</v>
      </c>
      <c r="I71" s="80" t="s">
        <v>94</v>
      </c>
      <c r="J71" s="80" t="s">
        <v>1392</v>
      </c>
      <c r="K71">
        <f t="shared" si="3"/>
        <v>1</v>
      </c>
      <c r="L71" t="str">
        <f>IF(I71="UGR","UGR",_xlfn.XLOOKUP(D71,Lookup!O:O,Lookup!N:N,0))</f>
        <v>Non FG</v>
      </c>
      <c r="M71">
        <f t="shared" si="4"/>
        <v>11</v>
      </c>
    </row>
    <row r="72" spans="1:13" hidden="1" x14ac:dyDescent="0.25">
      <c r="A72" s="78">
        <v>45967</v>
      </c>
      <c r="B72" s="79" t="s">
        <v>712</v>
      </c>
      <c r="C72" s="80" t="s">
        <v>1169</v>
      </c>
      <c r="D72" s="81" t="s">
        <v>198</v>
      </c>
      <c r="E72" s="26" t="s">
        <v>816</v>
      </c>
      <c r="F72" s="82">
        <v>27576</v>
      </c>
      <c r="G72" s="83" t="s">
        <v>622</v>
      </c>
      <c r="H72" s="84">
        <v>27576</v>
      </c>
      <c r="I72" s="80" t="s">
        <v>817</v>
      </c>
      <c r="J72" s="80" t="s">
        <v>1392</v>
      </c>
      <c r="K72">
        <f t="shared" si="3"/>
        <v>1</v>
      </c>
      <c r="L72" t="str">
        <f>IF(I72="UGR","UGR",_xlfn.XLOOKUP(D72,Lookup!O:O,Lookup!N:N,0))</f>
        <v>(8031) USDA PASTA, WG ROTINI 12/1LB</v>
      </c>
    </row>
    <row r="73" spans="1:13" hidden="1" x14ac:dyDescent="0.25">
      <c r="A73" s="78">
        <v>45971</v>
      </c>
      <c r="B73" s="79" t="s">
        <v>685</v>
      </c>
      <c r="C73" s="80" t="s">
        <v>1170</v>
      </c>
      <c r="D73" s="81" t="s">
        <v>784</v>
      </c>
      <c r="E73" s="26" t="s">
        <v>785</v>
      </c>
      <c r="F73" s="82">
        <v>25000</v>
      </c>
      <c r="G73" s="83" t="s">
        <v>622</v>
      </c>
      <c r="H73" s="84">
        <v>25000.000000000004</v>
      </c>
      <c r="I73" s="80" t="s">
        <v>94</v>
      </c>
      <c r="J73" s="80" t="s">
        <v>1393</v>
      </c>
      <c r="K73">
        <f t="shared" si="3"/>
        <v>1</v>
      </c>
      <c r="L73" t="str">
        <f>IF(I73="UGR","UGR",_xlfn.XLOOKUP(D73,Lookup!O:O,Lookup!N:N,0))</f>
        <v>Non FG</v>
      </c>
      <c r="M73">
        <f t="shared" si="4"/>
        <v>11</v>
      </c>
    </row>
    <row r="74" spans="1:13" hidden="1" x14ac:dyDescent="0.25">
      <c r="A74" s="78">
        <v>45971</v>
      </c>
      <c r="B74" s="79" t="s">
        <v>664</v>
      </c>
      <c r="C74" s="80" t="s">
        <v>1247</v>
      </c>
      <c r="D74" s="81" t="s">
        <v>667</v>
      </c>
      <c r="E74" s="26" t="s">
        <v>668</v>
      </c>
      <c r="F74" s="82">
        <v>10000</v>
      </c>
      <c r="G74" s="83" t="s">
        <v>622</v>
      </c>
      <c r="H74" s="84">
        <v>10000</v>
      </c>
      <c r="I74" s="80" t="s">
        <v>94</v>
      </c>
      <c r="J74" s="80" t="s">
        <v>1394</v>
      </c>
      <c r="K74">
        <f t="shared" si="3"/>
        <v>1</v>
      </c>
      <c r="L74" t="str">
        <f>IF(I74="UGR","UGR",_xlfn.XLOOKUP(D74,Lookup!O:O,Lookup!N:N,0))</f>
        <v>Non FG</v>
      </c>
      <c r="M74">
        <f t="shared" si="4"/>
        <v>11</v>
      </c>
    </row>
    <row r="75" spans="1:13" hidden="1" x14ac:dyDescent="0.25">
      <c r="A75" s="78">
        <v>45972</v>
      </c>
      <c r="B75" s="79" t="s">
        <v>664</v>
      </c>
      <c r="C75" s="80" t="s">
        <v>1231</v>
      </c>
      <c r="D75" s="81" t="s">
        <v>742</v>
      </c>
      <c r="E75" s="26" t="s">
        <v>743</v>
      </c>
      <c r="F75" s="82">
        <v>10000</v>
      </c>
      <c r="G75" s="83" t="s">
        <v>622</v>
      </c>
      <c r="H75" s="84">
        <v>10000</v>
      </c>
      <c r="I75" s="80" t="s">
        <v>94</v>
      </c>
      <c r="J75" s="80" t="s">
        <v>1394</v>
      </c>
      <c r="K75">
        <f t="shared" si="3"/>
        <v>1</v>
      </c>
      <c r="L75" t="str">
        <f>IF(I75="UGR","UGR",_xlfn.XLOOKUP(D75,Lookup!O:O,Lookup!N:N,0))</f>
        <v>Non FG</v>
      </c>
      <c r="M75">
        <f t="shared" si="4"/>
        <v>11</v>
      </c>
    </row>
    <row r="76" spans="1:13" hidden="1" x14ac:dyDescent="0.25">
      <c r="A76" s="78">
        <v>45971</v>
      </c>
      <c r="B76" s="79" t="s">
        <v>664</v>
      </c>
      <c r="C76" s="80" t="s">
        <v>1233</v>
      </c>
      <c r="D76" s="81" t="s">
        <v>728</v>
      </c>
      <c r="E76" s="26" t="s">
        <v>729</v>
      </c>
      <c r="F76" s="82">
        <v>10000</v>
      </c>
      <c r="G76" s="83" t="s">
        <v>622</v>
      </c>
      <c r="H76" s="84">
        <v>10000</v>
      </c>
      <c r="I76" s="80" t="s">
        <v>94</v>
      </c>
      <c r="J76" s="80" t="s">
        <v>1394</v>
      </c>
      <c r="K76">
        <f t="shared" si="3"/>
        <v>1</v>
      </c>
      <c r="L76" t="str">
        <f>IF(I76="UGR","UGR",_xlfn.XLOOKUP(D76,Lookup!O:O,Lookup!N:N,0))</f>
        <v>Non FG</v>
      </c>
      <c r="M76">
        <f t="shared" si="4"/>
        <v>11</v>
      </c>
    </row>
    <row r="77" spans="1:13" hidden="1" x14ac:dyDescent="0.25">
      <c r="A77" s="78">
        <v>45972</v>
      </c>
      <c r="B77" s="79" t="s">
        <v>664</v>
      </c>
      <c r="C77" s="80" t="s">
        <v>1251</v>
      </c>
      <c r="D77" s="81" t="s">
        <v>732</v>
      </c>
      <c r="E77" s="26" t="s">
        <v>733</v>
      </c>
      <c r="F77" s="82">
        <v>10000</v>
      </c>
      <c r="G77" s="83" t="s">
        <v>622</v>
      </c>
      <c r="H77" s="84">
        <v>10000</v>
      </c>
      <c r="I77" s="80" t="s">
        <v>94</v>
      </c>
      <c r="J77" s="80" t="s">
        <v>1394</v>
      </c>
      <c r="K77">
        <f t="shared" si="3"/>
        <v>1</v>
      </c>
      <c r="L77" t="str">
        <f>IF(I77="UGR","UGR",_xlfn.XLOOKUP(D77,Lookup!O:O,Lookup!N:N,0))</f>
        <v>Non FG</v>
      </c>
      <c r="M77">
        <f t="shared" si="4"/>
        <v>11</v>
      </c>
    </row>
    <row r="78" spans="1:13" hidden="1" x14ac:dyDescent="0.25">
      <c r="A78" s="78">
        <v>45971</v>
      </c>
      <c r="B78" s="79" t="s">
        <v>664</v>
      </c>
      <c r="C78" s="80" t="s">
        <v>1186</v>
      </c>
      <c r="D78" s="81" t="s">
        <v>734</v>
      </c>
      <c r="E78" s="26" t="s">
        <v>735</v>
      </c>
      <c r="F78" s="82">
        <v>10000</v>
      </c>
      <c r="G78" s="83" t="s">
        <v>622</v>
      </c>
      <c r="H78" s="84">
        <v>10000</v>
      </c>
      <c r="I78" s="80" t="s">
        <v>94</v>
      </c>
      <c r="J78" s="80" t="s">
        <v>1394</v>
      </c>
      <c r="K78">
        <f t="shared" si="3"/>
        <v>1</v>
      </c>
      <c r="L78" t="str">
        <f>IF(I78="UGR","UGR",_xlfn.XLOOKUP(D78,Lookup!O:O,Lookup!N:N,0))</f>
        <v>Non FG</v>
      </c>
      <c r="M78">
        <f t="shared" si="4"/>
        <v>11</v>
      </c>
    </row>
    <row r="79" spans="1:13" hidden="1" x14ac:dyDescent="0.25">
      <c r="A79" s="78">
        <v>45971</v>
      </c>
      <c r="B79" s="79" t="s">
        <v>664</v>
      </c>
      <c r="C79" s="80" t="s">
        <v>1235</v>
      </c>
      <c r="D79" s="81" t="s">
        <v>708</v>
      </c>
      <c r="E79" s="26" t="s">
        <v>709</v>
      </c>
      <c r="F79" s="82">
        <v>10000</v>
      </c>
      <c r="G79" s="83" t="s">
        <v>622</v>
      </c>
      <c r="H79" s="84">
        <v>10000</v>
      </c>
      <c r="I79" s="80" t="s">
        <v>94</v>
      </c>
      <c r="J79" s="80" t="s">
        <v>1394</v>
      </c>
      <c r="K79">
        <f t="shared" si="3"/>
        <v>1</v>
      </c>
      <c r="L79" t="str">
        <f>IF(I79="UGR","UGR",_xlfn.XLOOKUP(D79,Lookup!O:O,Lookup!N:N,0))</f>
        <v>Non FG</v>
      </c>
      <c r="M79">
        <f t="shared" si="4"/>
        <v>11</v>
      </c>
    </row>
    <row r="80" spans="1:13" hidden="1" x14ac:dyDescent="0.25">
      <c r="A80" s="78">
        <v>45972</v>
      </c>
      <c r="B80" s="79" t="s">
        <v>664</v>
      </c>
      <c r="C80" s="80" t="s">
        <v>1237</v>
      </c>
      <c r="D80" s="81" t="s">
        <v>702</v>
      </c>
      <c r="E80" s="26" t="s">
        <v>703</v>
      </c>
      <c r="F80" s="82">
        <v>10000</v>
      </c>
      <c r="G80" s="83" t="s">
        <v>622</v>
      </c>
      <c r="H80" s="84">
        <v>10000</v>
      </c>
      <c r="I80" s="80" t="s">
        <v>94</v>
      </c>
      <c r="J80" s="80" t="s">
        <v>1394</v>
      </c>
      <c r="K80">
        <f t="shared" si="3"/>
        <v>1</v>
      </c>
      <c r="L80" t="str">
        <f>IF(I80="UGR","UGR",_xlfn.XLOOKUP(D80,Lookup!O:O,Lookup!N:N,0))</f>
        <v>Non FG</v>
      </c>
      <c r="M80">
        <f t="shared" si="4"/>
        <v>11</v>
      </c>
    </row>
    <row r="81" spans="1:13" hidden="1" x14ac:dyDescent="0.25">
      <c r="A81" s="78">
        <v>45972</v>
      </c>
      <c r="B81" s="79" t="s">
        <v>664</v>
      </c>
      <c r="C81" s="80" t="s">
        <v>1299</v>
      </c>
      <c r="D81" s="81" t="s">
        <v>710</v>
      </c>
      <c r="E81" s="26" t="s">
        <v>711</v>
      </c>
      <c r="F81" s="82">
        <v>10000</v>
      </c>
      <c r="G81" s="83" t="s">
        <v>622</v>
      </c>
      <c r="H81" s="84">
        <v>10000</v>
      </c>
      <c r="I81" s="80" t="s">
        <v>94</v>
      </c>
      <c r="J81" s="80" t="s">
        <v>1394</v>
      </c>
      <c r="K81">
        <f t="shared" si="3"/>
        <v>1</v>
      </c>
      <c r="L81" t="str">
        <f>IF(I81="UGR","UGR",_xlfn.XLOOKUP(D81,Lookup!O:O,Lookup!N:N,0))</f>
        <v>Non FG</v>
      </c>
      <c r="M81">
        <f t="shared" si="4"/>
        <v>11</v>
      </c>
    </row>
    <row r="82" spans="1:13" hidden="1" x14ac:dyDescent="0.25">
      <c r="A82" s="78">
        <v>45971</v>
      </c>
      <c r="B82" s="79" t="s">
        <v>81</v>
      </c>
      <c r="C82" s="80" t="s">
        <v>1204</v>
      </c>
      <c r="D82" s="81" t="s">
        <v>1058</v>
      </c>
      <c r="E82" s="26" t="s">
        <v>1059</v>
      </c>
      <c r="F82" s="82">
        <v>120</v>
      </c>
      <c r="G82" s="83" t="s">
        <v>622</v>
      </c>
      <c r="H82" s="84">
        <v>120</v>
      </c>
      <c r="I82" s="80" t="s">
        <v>98</v>
      </c>
      <c r="J82" s="80" t="s">
        <v>1418</v>
      </c>
      <c r="K82">
        <f t="shared" si="3"/>
        <v>1</v>
      </c>
      <c r="L82" t="str">
        <f>IF(I82="UGR","UGR",_xlfn.XLOOKUP(D82,Lookup!O:O,Lookup!N:N,0))</f>
        <v>UGR</v>
      </c>
    </row>
    <row r="83" spans="1:13" hidden="1" x14ac:dyDescent="0.25">
      <c r="A83" s="78">
        <v>45971</v>
      </c>
      <c r="B83" s="79" t="s">
        <v>81</v>
      </c>
      <c r="C83" s="80" t="s">
        <v>1419</v>
      </c>
      <c r="D83" s="81" t="s">
        <v>1064</v>
      </c>
      <c r="E83" s="26" t="s">
        <v>1065</v>
      </c>
      <c r="F83" s="82">
        <v>120</v>
      </c>
      <c r="G83" s="83" t="s">
        <v>622</v>
      </c>
      <c r="H83" s="84">
        <v>120</v>
      </c>
      <c r="I83" s="80" t="s">
        <v>98</v>
      </c>
      <c r="J83" s="80" t="s">
        <v>1418</v>
      </c>
      <c r="K83">
        <f t="shared" si="3"/>
        <v>1</v>
      </c>
      <c r="L83" t="str">
        <f>IF(I83="UGR","UGR",_xlfn.XLOOKUP(D83,Lookup!O:O,Lookup!N:N,0))</f>
        <v>UGR</v>
      </c>
    </row>
    <row r="84" spans="1:13" hidden="1" x14ac:dyDescent="0.25">
      <c r="A84" s="78">
        <v>45971</v>
      </c>
      <c r="B84" s="79" t="s">
        <v>81</v>
      </c>
      <c r="C84" s="80" t="s">
        <v>1199</v>
      </c>
      <c r="D84" s="81" t="s">
        <v>1048</v>
      </c>
      <c r="E84" s="26" t="s">
        <v>1049</v>
      </c>
      <c r="F84" s="82">
        <v>120</v>
      </c>
      <c r="G84" s="83" t="s">
        <v>622</v>
      </c>
      <c r="H84" s="84">
        <v>120</v>
      </c>
      <c r="I84" s="80" t="s">
        <v>98</v>
      </c>
      <c r="J84" s="80" t="s">
        <v>1420</v>
      </c>
      <c r="K84">
        <f t="shared" si="3"/>
        <v>1</v>
      </c>
      <c r="L84" t="str">
        <f>IF(I84="UGR","UGR",_xlfn.XLOOKUP(D84,Lookup!O:O,Lookup!N:N,0))</f>
        <v>UGR</v>
      </c>
    </row>
    <row r="85" spans="1:13" hidden="1" x14ac:dyDescent="0.25">
      <c r="A85" s="78">
        <v>45971</v>
      </c>
      <c r="B85" s="79" t="s">
        <v>81</v>
      </c>
      <c r="C85" s="80" t="s">
        <v>1205</v>
      </c>
      <c r="D85" s="81" t="s">
        <v>1060</v>
      </c>
      <c r="E85" s="26" t="s">
        <v>1061</v>
      </c>
      <c r="F85" s="82">
        <v>120</v>
      </c>
      <c r="G85" s="83" t="s">
        <v>622</v>
      </c>
      <c r="H85" s="84">
        <v>120</v>
      </c>
      <c r="I85" s="80" t="s">
        <v>98</v>
      </c>
      <c r="J85" s="80" t="s">
        <v>1421</v>
      </c>
      <c r="K85">
        <f t="shared" si="3"/>
        <v>1</v>
      </c>
      <c r="L85" t="str">
        <f>IF(I85="UGR","UGR",_xlfn.XLOOKUP(D85,Lookup!O:O,Lookup!N:N,0))</f>
        <v>UGR</v>
      </c>
    </row>
    <row r="86" spans="1:13" hidden="1" x14ac:dyDescent="0.25">
      <c r="A86" s="78">
        <v>45971</v>
      </c>
      <c r="B86" s="79" t="s">
        <v>81</v>
      </c>
      <c r="C86" s="80" t="s">
        <v>1201</v>
      </c>
      <c r="D86" s="81" t="s">
        <v>1052</v>
      </c>
      <c r="E86" s="26" t="s">
        <v>1053</v>
      </c>
      <c r="F86" s="82">
        <v>120</v>
      </c>
      <c r="G86" s="83" t="s">
        <v>622</v>
      </c>
      <c r="H86" s="84">
        <v>120</v>
      </c>
      <c r="I86" s="80" t="s">
        <v>98</v>
      </c>
      <c r="J86" s="80" t="s">
        <v>1422</v>
      </c>
      <c r="K86">
        <f t="shared" si="3"/>
        <v>1</v>
      </c>
      <c r="L86" t="str">
        <f>IF(I86="UGR","UGR",_xlfn.XLOOKUP(D86,Lookup!O:O,Lookup!N:N,0))</f>
        <v>UGR</v>
      </c>
    </row>
    <row r="87" spans="1:13" hidden="1" x14ac:dyDescent="0.25">
      <c r="A87" s="78">
        <v>45971</v>
      </c>
      <c r="B87" s="79" t="s">
        <v>81</v>
      </c>
      <c r="C87" s="80" t="s">
        <v>1202</v>
      </c>
      <c r="D87" s="81" t="s">
        <v>1054</v>
      </c>
      <c r="E87" s="26" t="s">
        <v>1055</v>
      </c>
      <c r="F87" s="82">
        <v>60</v>
      </c>
      <c r="G87" s="83" t="s">
        <v>622</v>
      </c>
      <c r="H87" s="84">
        <v>60</v>
      </c>
      <c r="I87" s="80" t="s">
        <v>98</v>
      </c>
      <c r="J87" s="80" t="s">
        <v>1422</v>
      </c>
      <c r="K87">
        <f t="shared" si="3"/>
        <v>1</v>
      </c>
      <c r="L87" t="str">
        <f>IF(I87="UGR","UGR",_xlfn.XLOOKUP(D87,Lookup!O:O,Lookup!N:N,0))</f>
        <v>UGR</v>
      </c>
    </row>
    <row r="88" spans="1:13" hidden="1" x14ac:dyDescent="0.25">
      <c r="A88" s="78">
        <v>45971</v>
      </c>
      <c r="B88" s="79" t="s">
        <v>81</v>
      </c>
      <c r="C88" s="80" t="s">
        <v>1203</v>
      </c>
      <c r="D88" s="81" t="s">
        <v>1056</v>
      </c>
      <c r="E88" s="26" t="s">
        <v>1057</v>
      </c>
      <c r="F88" s="82">
        <v>240</v>
      </c>
      <c r="G88" s="83" t="s">
        <v>622</v>
      </c>
      <c r="H88" s="84">
        <v>240</v>
      </c>
      <c r="I88" s="80" t="s">
        <v>98</v>
      </c>
      <c r="J88" s="80" t="s">
        <v>1422</v>
      </c>
      <c r="K88">
        <f t="shared" si="3"/>
        <v>1</v>
      </c>
      <c r="L88" t="str">
        <f>IF(I88="UGR","UGR",_xlfn.XLOOKUP(D88,Lookup!O:O,Lookup!N:N,0))</f>
        <v>UGR</v>
      </c>
    </row>
    <row r="89" spans="1:13" hidden="1" x14ac:dyDescent="0.25">
      <c r="A89" s="78">
        <v>45971</v>
      </c>
      <c r="B89" s="79" t="s">
        <v>81</v>
      </c>
      <c r="C89" s="80" t="s">
        <v>1206</v>
      </c>
      <c r="D89" s="81" t="s">
        <v>1062</v>
      </c>
      <c r="E89" s="26" t="s">
        <v>1063</v>
      </c>
      <c r="F89" s="82">
        <v>120</v>
      </c>
      <c r="G89" s="83" t="s">
        <v>622</v>
      </c>
      <c r="H89" s="84">
        <v>120</v>
      </c>
      <c r="I89" s="80" t="s">
        <v>98</v>
      </c>
      <c r="J89" s="80" t="s">
        <v>1422</v>
      </c>
      <c r="K89">
        <f t="shared" si="3"/>
        <v>1</v>
      </c>
      <c r="L89" t="str">
        <f>IF(I89="UGR","UGR",_xlfn.XLOOKUP(D89,Lookup!O:O,Lookup!N:N,0))</f>
        <v>UGR</v>
      </c>
    </row>
    <row r="90" spans="1:13" hidden="1" x14ac:dyDescent="0.25">
      <c r="A90" s="78">
        <v>45971</v>
      </c>
      <c r="B90" s="79" t="s">
        <v>81</v>
      </c>
      <c r="C90" s="80" t="s">
        <v>1207</v>
      </c>
      <c r="D90" s="81" t="s">
        <v>1066</v>
      </c>
      <c r="E90" s="26" t="s">
        <v>1067</v>
      </c>
      <c r="F90" s="82">
        <v>120</v>
      </c>
      <c r="G90" s="83" t="s">
        <v>622</v>
      </c>
      <c r="H90" s="84">
        <v>120</v>
      </c>
      <c r="I90" s="80" t="s">
        <v>98</v>
      </c>
      <c r="J90" s="80" t="s">
        <v>1422</v>
      </c>
      <c r="K90">
        <f t="shared" si="3"/>
        <v>1</v>
      </c>
      <c r="L90" t="str">
        <f>IF(I90="UGR","UGR",_xlfn.XLOOKUP(D90,Lookup!O:O,Lookup!N:N,0))</f>
        <v>UGR</v>
      </c>
    </row>
    <row r="91" spans="1:13" hidden="1" x14ac:dyDescent="0.25">
      <c r="A91" s="78">
        <v>45971</v>
      </c>
      <c r="B91" s="79" t="s">
        <v>81</v>
      </c>
      <c r="C91" s="80" t="s">
        <v>1194</v>
      </c>
      <c r="D91" s="81" t="s">
        <v>1036</v>
      </c>
      <c r="E91" s="26" t="s">
        <v>1037</v>
      </c>
      <c r="F91" s="82">
        <v>140</v>
      </c>
      <c r="G91" s="83" t="s">
        <v>622</v>
      </c>
      <c r="H91" s="84">
        <v>140</v>
      </c>
      <c r="I91" s="80" t="s">
        <v>98</v>
      </c>
      <c r="J91" s="80" t="s">
        <v>1423</v>
      </c>
      <c r="K91">
        <f t="shared" si="3"/>
        <v>1</v>
      </c>
      <c r="L91" t="str">
        <f>IF(I91="UGR","UGR",_xlfn.XLOOKUP(D91,Lookup!O:O,Lookup!N:N,0))</f>
        <v>UGR</v>
      </c>
    </row>
    <row r="92" spans="1:13" hidden="1" x14ac:dyDescent="0.25">
      <c r="A92" s="78">
        <v>45971</v>
      </c>
      <c r="B92" s="79" t="s">
        <v>81</v>
      </c>
      <c r="C92" s="80" t="s">
        <v>1192</v>
      </c>
      <c r="D92" s="81" t="s">
        <v>1032</v>
      </c>
      <c r="E92" s="26" t="s">
        <v>1033</v>
      </c>
      <c r="F92" s="82">
        <v>80</v>
      </c>
      <c r="G92" s="83" t="s">
        <v>622</v>
      </c>
      <c r="H92" s="84">
        <v>80</v>
      </c>
      <c r="I92" s="80" t="s">
        <v>98</v>
      </c>
      <c r="J92" s="80" t="s">
        <v>1424</v>
      </c>
      <c r="K92">
        <f t="shared" si="3"/>
        <v>1</v>
      </c>
      <c r="L92" t="str">
        <f>IF(I92="UGR","UGR",_xlfn.XLOOKUP(D92,Lookup!O:O,Lookup!N:N,0))</f>
        <v>UGR</v>
      </c>
    </row>
    <row r="93" spans="1:13" hidden="1" x14ac:dyDescent="0.25">
      <c r="A93" s="78">
        <v>45971</v>
      </c>
      <c r="B93" s="79" t="s">
        <v>81</v>
      </c>
      <c r="C93" s="80" t="s">
        <v>1195</v>
      </c>
      <c r="D93" s="81" t="s">
        <v>1038</v>
      </c>
      <c r="E93" s="26" t="s">
        <v>1039</v>
      </c>
      <c r="F93" s="82">
        <v>120</v>
      </c>
      <c r="G93" s="83" t="s">
        <v>622</v>
      </c>
      <c r="H93" s="84">
        <v>120</v>
      </c>
      <c r="I93" s="80" t="s">
        <v>98</v>
      </c>
      <c r="J93" s="80" t="s">
        <v>1424</v>
      </c>
      <c r="K93">
        <f t="shared" si="3"/>
        <v>1</v>
      </c>
      <c r="L93" t="str">
        <f>IF(I93="UGR","UGR",_xlfn.XLOOKUP(D93,Lookup!O:O,Lookup!N:N,0))</f>
        <v>UGR</v>
      </c>
    </row>
    <row r="94" spans="1:13" hidden="1" x14ac:dyDescent="0.25">
      <c r="A94" s="78">
        <v>45971</v>
      </c>
      <c r="B94" s="79" t="s">
        <v>81</v>
      </c>
      <c r="C94" s="80" t="s">
        <v>1198</v>
      </c>
      <c r="D94" s="81" t="s">
        <v>1046</v>
      </c>
      <c r="E94" s="26" t="s">
        <v>1047</v>
      </c>
      <c r="F94" s="82">
        <v>120</v>
      </c>
      <c r="G94" s="83" t="s">
        <v>622</v>
      </c>
      <c r="H94" s="84">
        <v>120</v>
      </c>
      <c r="I94" s="80" t="s">
        <v>98</v>
      </c>
      <c r="J94" s="80" t="s">
        <v>1424</v>
      </c>
      <c r="K94">
        <f t="shared" si="3"/>
        <v>1</v>
      </c>
      <c r="L94" t="str">
        <f>IF(I94="UGR","UGR",_xlfn.XLOOKUP(D94,Lookup!O:O,Lookup!N:N,0))</f>
        <v>UGR</v>
      </c>
    </row>
    <row r="95" spans="1:13" hidden="1" x14ac:dyDescent="0.25">
      <c r="A95" s="78">
        <v>45971</v>
      </c>
      <c r="B95" s="79" t="s">
        <v>81</v>
      </c>
      <c r="C95" s="80" t="s">
        <v>1200</v>
      </c>
      <c r="D95" s="81" t="s">
        <v>1050</v>
      </c>
      <c r="E95" s="26" t="s">
        <v>1051</v>
      </c>
      <c r="F95" s="82">
        <v>120</v>
      </c>
      <c r="G95" s="83" t="s">
        <v>622</v>
      </c>
      <c r="H95" s="84">
        <v>120</v>
      </c>
      <c r="I95" s="80" t="s">
        <v>98</v>
      </c>
      <c r="J95" s="80" t="s">
        <v>1424</v>
      </c>
      <c r="K95">
        <f t="shared" si="3"/>
        <v>1</v>
      </c>
      <c r="L95" t="str">
        <f>IF(I95="UGR","UGR",_xlfn.XLOOKUP(D95,Lookup!O:O,Lookup!N:N,0))</f>
        <v>UGR</v>
      </c>
    </row>
    <row r="96" spans="1:13" hidden="1" x14ac:dyDescent="0.25">
      <c r="A96" s="78">
        <v>45968</v>
      </c>
      <c r="B96" s="79" t="s">
        <v>685</v>
      </c>
      <c r="C96" s="80" t="s">
        <v>1161</v>
      </c>
      <c r="D96" s="81" t="s">
        <v>784</v>
      </c>
      <c r="E96" s="26" t="s">
        <v>785</v>
      </c>
      <c r="F96" s="82">
        <v>25000</v>
      </c>
      <c r="G96" s="83" t="s">
        <v>622</v>
      </c>
      <c r="H96" s="84">
        <v>25000.000000000004</v>
      </c>
      <c r="I96" s="80" t="s">
        <v>94</v>
      </c>
      <c r="J96" s="80" t="s">
        <v>784</v>
      </c>
      <c r="K96">
        <f t="shared" si="3"/>
        <v>1</v>
      </c>
      <c r="L96" t="str">
        <f>IF(I96="UGR","UGR",_xlfn.XLOOKUP(D96,Lookup!O:O,Lookup!N:N,0))</f>
        <v>Non FG</v>
      </c>
      <c r="M96">
        <f t="shared" si="4"/>
        <v>11</v>
      </c>
    </row>
    <row r="97" spans="1:13" x14ac:dyDescent="0.25">
      <c r="A97" s="78">
        <v>45972</v>
      </c>
      <c r="B97" s="79" t="s">
        <v>712</v>
      </c>
      <c r="C97" s="80" t="s">
        <v>1425</v>
      </c>
      <c r="D97" s="81" t="s">
        <v>1127</v>
      </c>
      <c r="E97" s="26" t="s">
        <v>713</v>
      </c>
      <c r="F97" s="82">
        <v>40000</v>
      </c>
      <c r="G97" s="83" t="s">
        <v>622</v>
      </c>
      <c r="H97" s="84">
        <v>40000</v>
      </c>
      <c r="I97" s="80" t="s">
        <v>714</v>
      </c>
      <c r="J97" s="80"/>
      <c r="K97">
        <f t="shared" si="3"/>
        <v>1</v>
      </c>
      <c r="L97" t="str">
        <f>IF(I97="UGR","UGR",_xlfn.XLOOKUP(D97,Lookup!O:O,Lookup!N:N,0))</f>
        <v>(8034) GOODERS - CHED OVER HEELS</v>
      </c>
      <c r="M97">
        <f t="shared" si="4"/>
        <v>11</v>
      </c>
    </row>
    <row r="98" spans="1:13" hidden="1" x14ac:dyDescent="0.25">
      <c r="A98" s="78">
        <v>45993</v>
      </c>
      <c r="B98" s="79" t="s">
        <v>712</v>
      </c>
      <c r="C98" s="80" t="s">
        <v>1426</v>
      </c>
      <c r="D98" s="81" t="s">
        <v>1127</v>
      </c>
      <c r="E98" s="26" t="s">
        <v>713</v>
      </c>
      <c r="F98" s="82">
        <v>40000</v>
      </c>
      <c r="G98" s="83" t="s">
        <v>622</v>
      </c>
      <c r="H98" s="84">
        <v>40000</v>
      </c>
      <c r="I98" s="80" t="s">
        <v>714</v>
      </c>
      <c r="J98" s="80"/>
      <c r="K98">
        <f t="shared" si="3"/>
        <v>1</v>
      </c>
      <c r="L98" t="str">
        <f>IF(I98="UGR","UGR",_xlfn.XLOOKUP(D98,Lookup!O:O,Lookup!N:N,0))</f>
        <v>(8034) GOODERS - CHED OVER HEELS</v>
      </c>
      <c r="M98">
        <f t="shared" si="4"/>
        <v>12</v>
      </c>
    </row>
    <row r="99" spans="1:13" hidden="1" x14ac:dyDescent="0.25">
      <c r="A99" s="78">
        <v>45994</v>
      </c>
      <c r="B99" s="79" t="s">
        <v>712</v>
      </c>
      <c r="C99" s="80" t="s">
        <v>1427</v>
      </c>
      <c r="D99" s="81" t="s">
        <v>1127</v>
      </c>
      <c r="E99" s="26" t="s">
        <v>713</v>
      </c>
      <c r="F99" s="82">
        <v>40000</v>
      </c>
      <c r="G99" s="83" t="s">
        <v>622</v>
      </c>
      <c r="H99" s="84">
        <v>40000</v>
      </c>
      <c r="I99" s="80" t="s">
        <v>714</v>
      </c>
      <c r="J99" s="80"/>
      <c r="K99">
        <f t="shared" si="3"/>
        <v>1</v>
      </c>
      <c r="L99" t="str">
        <f>IF(I99="UGR","UGR",_xlfn.XLOOKUP(D99,Lookup!O:O,Lookup!N:N,0))</f>
        <v>(8034) GOODERS - CHED OVER HEELS</v>
      </c>
      <c r="M99">
        <f t="shared" si="4"/>
        <v>12</v>
      </c>
    </row>
    <row r="100" spans="1:13" hidden="1" x14ac:dyDescent="0.25">
      <c r="A100" s="78">
        <v>45995</v>
      </c>
      <c r="B100" s="79" t="s">
        <v>712</v>
      </c>
      <c r="C100" s="80" t="s">
        <v>1428</v>
      </c>
      <c r="D100" s="81" t="s">
        <v>1127</v>
      </c>
      <c r="E100" s="26" t="s">
        <v>713</v>
      </c>
      <c r="F100" s="82">
        <v>40000</v>
      </c>
      <c r="G100" s="83" t="s">
        <v>622</v>
      </c>
      <c r="H100" s="84">
        <v>40000</v>
      </c>
      <c r="I100" s="80" t="s">
        <v>714</v>
      </c>
      <c r="J100" s="80"/>
      <c r="K100">
        <f t="shared" si="3"/>
        <v>1</v>
      </c>
      <c r="L100" t="str">
        <f>IF(I100="UGR","UGR",_xlfn.XLOOKUP(D100,Lookup!O:O,Lookup!N:N,0))</f>
        <v>(8034) GOODERS - CHED OVER HEELS</v>
      </c>
      <c r="M100">
        <f t="shared" si="4"/>
        <v>12</v>
      </c>
    </row>
    <row r="101" spans="1:13" hidden="1" x14ac:dyDescent="0.25">
      <c r="A101" s="78">
        <v>45999</v>
      </c>
      <c r="B101" s="79" t="s">
        <v>712</v>
      </c>
      <c r="C101" s="80" t="s">
        <v>1429</v>
      </c>
      <c r="D101" s="81" t="s">
        <v>1127</v>
      </c>
      <c r="E101" s="26" t="s">
        <v>713</v>
      </c>
      <c r="F101" s="82">
        <v>40000</v>
      </c>
      <c r="G101" s="83" t="s">
        <v>622</v>
      </c>
      <c r="H101" s="84">
        <v>40000</v>
      </c>
      <c r="I101" s="80" t="s">
        <v>714</v>
      </c>
      <c r="J101" s="80"/>
      <c r="K101">
        <f t="shared" si="3"/>
        <v>1</v>
      </c>
      <c r="L101" t="str">
        <f>IF(I101="UGR","UGR",_xlfn.XLOOKUP(D101,Lookup!O:O,Lookup!N:N,0))</f>
        <v>(8034) GOODERS - CHED OVER HEELS</v>
      </c>
      <c r="M101">
        <f t="shared" si="4"/>
        <v>12</v>
      </c>
    </row>
    <row r="102" spans="1:13" hidden="1" x14ac:dyDescent="0.25">
      <c r="A102" s="78">
        <v>46000</v>
      </c>
      <c r="B102" s="79" t="s">
        <v>712</v>
      </c>
      <c r="C102" s="80" t="s">
        <v>1430</v>
      </c>
      <c r="D102" s="81" t="s">
        <v>1127</v>
      </c>
      <c r="E102" s="26" t="s">
        <v>713</v>
      </c>
      <c r="F102" s="82">
        <v>40000</v>
      </c>
      <c r="G102" s="83" t="s">
        <v>622</v>
      </c>
      <c r="H102" s="84">
        <v>40000</v>
      </c>
      <c r="I102" s="80" t="s">
        <v>714</v>
      </c>
      <c r="J102" s="80"/>
      <c r="K102">
        <f t="shared" si="3"/>
        <v>1</v>
      </c>
      <c r="L102" t="str">
        <f>IF(I102="UGR","UGR",_xlfn.XLOOKUP(D102,Lookup!O:O,Lookup!N:N,0))</f>
        <v>(8034) GOODERS - CHED OVER HEELS</v>
      </c>
      <c r="M102">
        <f t="shared" si="4"/>
        <v>12</v>
      </c>
    </row>
    <row r="103" spans="1:13" hidden="1" x14ac:dyDescent="0.25">
      <c r="A103" s="78">
        <v>46001</v>
      </c>
      <c r="B103" s="79" t="s">
        <v>712</v>
      </c>
      <c r="C103" s="80" t="s">
        <v>1431</v>
      </c>
      <c r="D103" s="81" t="s">
        <v>1127</v>
      </c>
      <c r="E103" s="26" t="s">
        <v>713</v>
      </c>
      <c r="F103" s="82">
        <v>40000</v>
      </c>
      <c r="G103" s="83" t="s">
        <v>622</v>
      </c>
      <c r="H103" s="84">
        <v>40000</v>
      </c>
      <c r="I103" s="80" t="s">
        <v>714</v>
      </c>
      <c r="J103" s="80"/>
      <c r="K103">
        <f t="shared" si="3"/>
        <v>1</v>
      </c>
      <c r="L103" t="str">
        <f>IF(I103="UGR","UGR",_xlfn.XLOOKUP(D103,Lookup!O:O,Lookup!N:N,0))</f>
        <v>(8034) GOODERS - CHED OVER HEELS</v>
      </c>
      <c r="M103">
        <f t="shared" si="4"/>
        <v>12</v>
      </c>
    </row>
    <row r="104" spans="1:13" hidden="1" x14ac:dyDescent="0.25">
      <c r="A104" s="78">
        <v>46002</v>
      </c>
      <c r="B104" s="79" t="s">
        <v>712</v>
      </c>
      <c r="C104" s="80" t="s">
        <v>1432</v>
      </c>
      <c r="D104" s="81" t="s">
        <v>1127</v>
      </c>
      <c r="E104" s="26" t="s">
        <v>713</v>
      </c>
      <c r="F104" s="82">
        <v>40000</v>
      </c>
      <c r="G104" s="83" t="s">
        <v>622</v>
      </c>
      <c r="H104" s="84">
        <v>40000</v>
      </c>
      <c r="I104" s="80" t="s">
        <v>714</v>
      </c>
      <c r="J104" s="80"/>
      <c r="K104">
        <f t="shared" si="3"/>
        <v>1</v>
      </c>
      <c r="L104" t="str">
        <f>IF(I104="UGR","UGR",_xlfn.XLOOKUP(D104,Lookup!O:O,Lookup!N:N,0))</f>
        <v>(8034) GOODERS - CHED OVER HEELS</v>
      </c>
      <c r="M104">
        <f t="shared" si="4"/>
        <v>12</v>
      </c>
    </row>
    <row r="105" spans="1:13" hidden="1" x14ac:dyDescent="0.25">
      <c r="A105" s="78">
        <v>46006</v>
      </c>
      <c r="B105" s="79" t="s">
        <v>712</v>
      </c>
      <c r="C105" s="80" t="s">
        <v>1433</v>
      </c>
      <c r="D105" s="81" t="s">
        <v>1127</v>
      </c>
      <c r="E105" s="26" t="s">
        <v>713</v>
      </c>
      <c r="F105" s="82">
        <v>40000</v>
      </c>
      <c r="G105" s="83" t="s">
        <v>622</v>
      </c>
      <c r="H105" s="84">
        <v>40000</v>
      </c>
      <c r="I105" s="80" t="s">
        <v>714</v>
      </c>
      <c r="J105" s="80"/>
      <c r="K105">
        <f t="shared" si="3"/>
        <v>1</v>
      </c>
      <c r="L105" t="str">
        <f>IF(I105="UGR","UGR",_xlfn.XLOOKUP(D105,Lookup!O:O,Lookup!N:N,0))</f>
        <v>(8034) GOODERS - CHED OVER HEELS</v>
      </c>
      <c r="M105">
        <f t="shared" si="4"/>
        <v>12</v>
      </c>
    </row>
    <row r="106" spans="1:13" hidden="1" x14ac:dyDescent="0.25">
      <c r="A106" s="78">
        <v>46007</v>
      </c>
      <c r="B106" s="79" t="s">
        <v>712</v>
      </c>
      <c r="C106" s="80" t="s">
        <v>1434</v>
      </c>
      <c r="D106" s="81" t="s">
        <v>1127</v>
      </c>
      <c r="E106" s="26" t="s">
        <v>713</v>
      </c>
      <c r="F106" s="82">
        <v>40000</v>
      </c>
      <c r="G106" s="83" t="s">
        <v>622</v>
      </c>
      <c r="H106" s="84">
        <v>40000</v>
      </c>
      <c r="I106" s="80" t="s">
        <v>714</v>
      </c>
      <c r="J106" s="80"/>
      <c r="K106">
        <f t="shared" si="3"/>
        <v>1</v>
      </c>
      <c r="L106" t="str">
        <f>IF(I106="UGR","UGR",_xlfn.XLOOKUP(D106,Lookup!O:O,Lookup!N:N,0))</f>
        <v>(8034) GOODERS - CHED OVER HEELS</v>
      </c>
      <c r="M106">
        <f t="shared" si="4"/>
        <v>12</v>
      </c>
    </row>
    <row r="107" spans="1:13" hidden="1" x14ac:dyDescent="0.25">
      <c r="A107" s="78">
        <v>46008</v>
      </c>
      <c r="B107" s="79" t="s">
        <v>712</v>
      </c>
      <c r="C107" s="80" t="s">
        <v>1435</v>
      </c>
      <c r="D107" s="81" t="s">
        <v>1127</v>
      </c>
      <c r="E107" s="26" t="s">
        <v>713</v>
      </c>
      <c r="F107" s="82">
        <v>40000</v>
      </c>
      <c r="G107" s="83" t="s">
        <v>622</v>
      </c>
      <c r="H107" s="84">
        <v>40000</v>
      </c>
      <c r="I107" s="80" t="s">
        <v>714</v>
      </c>
      <c r="J107" s="80"/>
      <c r="K107">
        <f t="shared" si="3"/>
        <v>1</v>
      </c>
      <c r="L107" t="str">
        <f>IF(I107="UGR","UGR",_xlfn.XLOOKUP(D107,Lookup!O:O,Lookup!N:N,0))</f>
        <v>(8034) GOODERS - CHED OVER HEELS</v>
      </c>
      <c r="M107">
        <f t="shared" si="4"/>
        <v>12</v>
      </c>
    </row>
    <row r="108" spans="1:13" hidden="1" x14ac:dyDescent="0.25">
      <c r="A108" s="78">
        <v>46009</v>
      </c>
      <c r="B108" s="79" t="s">
        <v>712</v>
      </c>
      <c r="C108" s="80" t="s">
        <v>1436</v>
      </c>
      <c r="D108" s="81" t="s">
        <v>1127</v>
      </c>
      <c r="E108" s="26" t="s">
        <v>713</v>
      </c>
      <c r="F108" s="82">
        <v>40000</v>
      </c>
      <c r="G108" s="83" t="s">
        <v>622</v>
      </c>
      <c r="H108" s="84">
        <v>40000</v>
      </c>
      <c r="I108" s="80" t="s">
        <v>714</v>
      </c>
      <c r="J108" s="80"/>
      <c r="K108">
        <f t="shared" si="3"/>
        <v>1</v>
      </c>
      <c r="L108" t="str">
        <f>IF(I108="UGR","UGR",_xlfn.XLOOKUP(D108,Lookup!O:O,Lookup!N:N,0))</f>
        <v>(8034) GOODERS - CHED OVER HEELS</v>
      </c>
      <c r="M108">
        <f t="shared" si="4"/>
        <v>12</v>
      </c>
    </row>
    <row r="109" spans="1:13" hidden="1" x14ac:dyDescent="0.25">
      <c r="A109" s="78">
        <v>46013</v>
      </c>
      <c r="B109" s="79" t="s">
        <v>712</v>
      </c>
      <c r="C109" s="80" t="s">
        <v>1437</v>
      </c>
      <c r="D109" s="81" t="s">
        <v>1127</v>
      </c>
      <c r="E109" s="26" t="s">
        <v>713</v>
      </c>
      <c r="F109" s="82">
        <v>40000</v>
      </c>
      <c r="G109" s="83" t="s">
        <v>622</v>
      </c>
      <c r="H109" s="84">
        <v>40000</v>
      </c>
      <c r="I109" s="80" t="s">
        <v>714</v>
      </c>
      <c r="J109" s="80"/>
      <c r="K109">
        <f t="shared" si="3"/>
        <v>1</v>
      </c>
      <c r="L109" t="str">
        <f>IF(I109="UGR","UGR",_xlfn.XLOOKUP(D109,Lookup!O:O,Lookup!N:N,0))</f>
        <v>(8034) GOODERS - CHED OVER HEELS</v>
      </c>
      <c r="M109">
        <f t="shared" si="4"/>
        <v>12</v>
      </c>
    </row>
    <row r="110" spans="1:13" hidden="1" x14ac:dyDescent="0.25">
      <c r="A110" s="78">
        <v>46041</v>
      </c>
      <c r="B110" s="79" t="s">
        <v>712</v>
      </c>
      <c r="C110" s="80" t="s">
        <v>1438</v>
      </c>
      <c r="D110" s="81" t="s">
        <v>1127</v>
      </c>
      <c r="E110" s="26" t="s">
        <v>713</v>
      </c>
      <c r="F110" s="82">
        <v>40000</v>
      </c>
      <c r="G110" s="83" t="s">
        <v>622</v>
      </c>
      <c r="H110" s="84">
        <v>40000</v>
      </c>
      <c r="I110" s="80" t="s">
        <v>714</v>
      </c>
      <c r="J110" s="80"/>
      <c r="K110">
        <f t="shared" si="3"/>
        <v>1</v>
      </c>
      <c r="L110" t="str">
        <f>IF(I110="UGR","UGR",_xlfn.XLOOKUP(D110,Lookup!O:O,Lookup!N:N,0))</f>
        <v>(8034) GOODERS - CHED OVER HEELS</v>
      </c>
      <c r="M110">
        <f t="shared" si="4"/>
        <v>1</v>
      </c>
    </row>
    <row r="111" spans="1:13" hidden="1" x14ac:dyDescent="0.25">
      <c r="A111" s="78">
        <v>46042</v>
      </c>
      <c r="B111" s="79" t="s">
        <v>712</v>
      </c>
      <c r="C111" s="80" t="s">
        <v>1439</v>
      </c>
      <c r="D111" s="81" t="s">
        <v>1127</v>
      </c>
      <c r="E111" s="26" t="s">
        <v>713</v>
      </c>
      <c r="F111" s="82">
        <v>40000</v>
      </c>
      <c r="G111" s="83" t="s">
        <v>622</v>
      </c>
      <c r="H111" s="84">
        <v>40000</v>
      </c>
      <c r="I111" s="80" t="s">
        <v>714</v>
      </c>
      <c r="J111" s="80"/>
      <c r="K111">
        <f t="shared" si="3"/>
        <v>1</v>
      </c>
      <c r="L111" t="str">
        <f>IF(I111="UGR","UGR",_xlfn.XLOOKUP(D111,Lookup!O:O,Lookup!N:N,0))</f>
        <v>(8034) GOODERS - CHED OVER HEELS</v>
      </c>
      <c r="M111">
        <f t="shared" si="4"/>
        <v>1</v>
      </c>
    </row>
    <row r="112" spans="1:13" hidden="1" x14ac:dyDescent="0.25">
      <c r="A112" s="78">
        <v>46043</v>
      </c>
      <c r="B112" s="79" t="s">
        <v>712</v>
      </c>
      <c r="C112" s="80" t="s">
        <v>1440</v>
      </c>
      <c r="D112" s="81" t="s">
        <v>1127</v>
      </c>
      <c r="E112" s="26" t="s">
        <v>713</v>
      </c>
      <c r="F112" s="82">
        <v>40000</v>
      </c>
      <c r="G112" s="83" t="s">
        <v>622</v>
      </c>
      <c r="H112" s="84">
        <v>40000</v>
      </c>
      <c r="I112" s="80" t="s">
        <v>714</v>
      </c>
      <c r="J112" s="80"/>
      <c r="K112">
        <f t="shared" si="3"/>
        <v>1</v>
      </c>
      <c r="L112" t="str">
        <f>IF(I112="UGR","UGR",_xlfn.XLOOKUP(D112,Lookup!O:O,Lookup!N:N,0))</f>
        <v>(8034) GOODERS - CHED OVER HEELS</v>
      </c>
      <c r="M112">
        <f t="shared" si="4"/>
        <v>1</v>
      </c>
    </row>
    <row r="113" spans="1:13" hidden="1" x14ac:dyDescent="0.25">
      <c r="A113" s="78">
        <v>46044</v>
      </c>
      <c r="B113" s="79" t="s">
        <v>712</v>
      </c>
      <c r="C113" s="80" t="s">
        <v>1441</v>
      </c>
      <c r="D113" s="81" t="s">
        <v>1127</v>
      </c>
      <c r="E113" s="26" t="s">
        <v>713</v>
      </c>
      <c r="F113" s="82">
        <v>40000</v>
      </c>
      <c r="G113" s="83" t="s">
        <v>622</v>
      </c>
      <c r="H113" s="84">
        <v>40000</v>
      </c>
      <c r="I113" s="80" t="s">
        <v>714</v>
      </c>
      <c r="J113" s="80"/>
      <c r="K113">
        <f t="shared" si="3"/>
        <v>1</v>
      </c>
      <c r="L113" t="str">
        <f>IF(I113="UGR","UGR",_xlfn.XLOOKUP(D113,Lookup!O:O,Lookup!N:N,0))</f>
        <v>(8034) GOODERS - CHED OVER HEELS</v>
      </c>
      <c r="M113">
        <f t="shared" si="4"/>
        <v>1</v>
      </c>
    </row>
    <row r="114" spans="1:13" hidden="1" x14ac:dyDescent="0.25">
      <c r="A114" s="78">
        <v>46045</v>
      </c>
      <c r="B114" s="79" t="s">
        <v>712</v>
      </c>
      <c r="C114" s="80" t="s">
        <v>1442</v>
      </c>
      <c r="D114" s="81" t="s">
        <v>1127</v>
      </c>
      <c r="E114" s="26" t="s">
        <v>713</v>
      </c>
      <c r="F114" s="82">
        <v>40000</v>
      </c>
      <c r="G114" s="83" t="s">
        <v>622</v>
      </c>
      <c r="H114" s="84">
        <v>40000</v>
      </c>
      <c r="I114" s="80" t="s">
        <v>714</v>
      </c>
      <c r="J114" s="80"/>
      <c r="K114">
        <f t="shared" si="3"/>
        <v>1</v>
      </c>
      <c r="L114" t="str">
        <f>IF(I114="UGR","UGR",_xlfn.XLOOKUP(D114,Lookup!O:O,Lookup!N:N,0))</f>
        <v>(8034) GOODERS - CHED OVER HEELS</v>
      </c>
      <c r="M114">
        <f t="shared" si="4"/>
        <v>1</v>
      </c>
    </row>
    <row r="115" spans="1:13" hidden="1" x14ac:dyDescent="0.25">
      <c r="A115" s="78">
        <v>46048</v>
      </c>
      <c r="B115" s="79" t="s">
        <v>712</v>
      </c>
      <c r="C115" s="80" t="s">
        <v>1443</v>
      </c>
      <c r="D115" s="81" t="s">
        <v>1127</v>
      </c>
      <c r="E115" s="26" t="s">
        <v>713</v>
      </c>
      <c r="F115" s="82">
        <v>40000</v>
      </c>
      <c r="G115" s="83" t="s">
        <v>622</v>
      </c>
      <c r="H115" s="84">
        <v>40000</v>
      </c>
      <c r="I115" s="80" t="s">
        <v>714</v>
      </c>
      <c r="J115" s="80"/>
      <c r="K115">
        <f t="shared" si="3"/>
        <v>1</v>
      </c>
      <c r="L115" t="str">
        <f>IF(I115="UGR","UGR",_xlfn.XLOOKUP(D115,Lookup!O:O,Lookup!N:N,0))</f>
        <v>(8034) GOODERS - CHED OVER HEELS</v>
      </c>
      <c r="M115">
        <f t="shared" si="4"/>
        <v>1</v>
      </c>
    </row>
    <row r="116" spans="1:13" hidden="1" x14ac:dyDescent="0.25">
      <c r="A116" s="78">
        <v>46049</v>
      </c>
      <c r="B116" s="79" t="s">
        <v>712</v>
      </c>
      <c r="C116" s="80" t="s">
        <v>1444</v>
      </c>
      <c r="D116" s="81" t="s">
        <v>1127</v>
      </c>
      <c r="E116" s="26" t="s">
        <v>713</v>
      </c>
      <c r="F116" s="82">
        <v>40000</v>
      </c>
      <c r="G116" s="83" t="s">
        <v>622</v>
      </c>
      <c r="H116" s="84">
        <v>40000</v>
      </c>
      <c r="I116" s="80" t="s">
        <v>714</v>
      </c>
      <c r="J116" s="80"/>
      <c r="K116">
        <f t="shared" si="3"/>
        <v>1</v>
      </c>
      <c r="L116" t="str">
        <f>IF(I116="UGR","UGR",_xlfn.XLOOKUP(D116,Lookup!O:O,Lookup!N:N,0))</f>
        <v>(8034) GOODERS - CHED OVER HEELS</v>
      </c>
      <c r="M116">
        <f t="shared" si="4"/>
        <v>1</v>
      </c>
    </row>
    <row r="117" spans="1:13" hidden="1" x14ac:dyDescent="0.25">
      <c r="A117" s="78">
        <v>46050</v>
      </c>
      <c r="B117" s="79" t="s">
        <v>712</v>
      </c>
      <c r="C117" s="80" t="s">
        <v>1445</v>
      </c>
      <c r="D117" s="81" t="s">
        <v>1127</v>
      </c>
      <c r="E117" s="26" t="s">
        <v>713</v>
      </c>
      <c r="F117" s="82">
        <v>40000</v>
      </c>
      <c r="G117" s="83" t="s">
        <v>622</v>
      </c>
      <c r="H117" s="84">
        <v>40000</v>
      </c>
      <c r="I117" s="80" t="s">
        <v>714</v>
      </c>
      <c r="J117" s="80"/>
      <c r="K117">
        <f t="shared" si="3"/>
        <v>1</v>
      </c>
      <c r="L117" t="str">
        <f>IF(I117="UGR","UGR",_xlfn.XLOOKUP(D117,Lookup!O:O,Lookup!N:N,0))</f>
        <v>(8034) GOODERS - CHED OVER HEELS</v>
      </c>
      <c r="M117">
        <f t="shared" si="4"/>
        <v>1</v>
      </c>
    </row>
    <row r="118" spans="1:13" hidden="1" x14ac:dyDescent="0.25">
      <c r="A118" s="78">
        <v>46051</v>
      </c>
      <c r="B118" s="79" t="s">
        <v>712</v>
      </c>
      <c r="C118" s="80" t="s">
        <v>1446</v>
      </c>
      <c r="D118" s="81" t="s">
        <v>1127</v>
      </c>
      <c r="E118" s="26" t="s">
        <v>713</v>
      </c>
      <c r="F118" s="82">
        <v>40000</v>
      </c>
      <c r="G118" s="83" t="s">
        <v>622</v>
      </c>
      <c r="H118" s="84">
        <v>40000</v>
      </c>
      <c r="I118" s="80" t="s">
        <v>714</v>
      </c>
      <c r="J118" s="80"/>
      <c r="K118">
        <f t="shared" si="3"/>
        <v>1</v>
      </c>
      <c r="L118" t="str">
        <f>IF(I118="UGR","UGR",_xlfn.XLOOKUP(D118,Lookup!O:O,Lookup!N:N,0))</f>
        <v>(8034) GOODERS - CHED OVER HEELS</v>
      </c>
      <c r="M118">
        <f t="shared" si="4"/>
        <v>1</v>
      </c>
    </row>
    <row r="119" spans="1:13" hidden="1" x14ac:dyDescent="0.25">
      <c r="A119" s="78">
        <v>46052</v>
      </c>
      <c r="B119" s="79" t="s">
        <v>712</v>
      </c>
      <c r="C119" s="80" t="s">
        <v>1447</v>
      </c>
      <c r="D119" s="81" t="s">
        <v>1127</v>
      </c>
      <c r="E119" s="26" t="s">
        <v>713</v>
      </c>
      <c r="F119" s="82">
        <v>40000</v>
      </c>
      <c r="G119" s="83" t="s">
        <v>622</v>
      </c>
      <c r="H119" s="84">
        <v>40000</v>
      </c>
      <c r="I119" s="80" t="s">
        <v>714</v>
      </c>
      <c r="J119" s="80"/>
      <c r="K119">
        <f t="shared" si="3"/>
        <v>1</v>
      </c>
      <c r="L119" t="str">
        <f>IF(I119="UGR","UGR",_xlfn.XLOOKUP(D119,Lookup!O:O,Lookup!N:N,0))</f>
        <v>(8034) GOODERS - CHED OVER HEELS</v>
      </c>
      <c r="M119">
        <f t="shared" si="4"/>
        <v>1</v>
      </c>
    </row>
    <row r="120" spans="1:13" x14ac:dyDescent="0.25">
      <c r="A120" s="78">
        <v>45971</v>
      </c>
      <c r="B120" s="79" t="s">
        <v>712</v>
      </c>
      <c r="C120" s="80" t="s">
        <v>1448</v>
      </c>
      <c r="D120" s="81" t="s">
        <v>1128</v>
      </c>
      <c r="E120" s="26" t="s">
        <v>781</v>
      </c>
      <c r="F120" s="82">
        <v>40000</v>
      </c>
      <c r="G120" s="83" t="s">
        <v>622</v>
      </c>
      <c r="H120" s="84">
        <v>40000</v>
      </c>
      <c r="I120" s="80" t="s">
        <v>714</v>
      </c>
      <c r="J120" s="80"/>
      <c r="K120">
        <f t="shared" si="3"/>
        <v>1</v>
      </c>
      <c r="L120" t="str">
        <f>IF(I120="UGR","UGR",_xlfn.XLOOKUP(D120,Lookup!O:O,Lookup!N:N,0))</f>
        <v>(8035) GOODERS - SHELL WE DANCE</v>
      </c>
      <c r="M120">
        <f t="shared" si="4"/>
        <v>11</v>
      </c>
    </row>
    <row r="121" spans="1:13" x14ac:dyDescent="0.25">
      <c r="A121" s="78">
        <v>45973</v>
      </c>
      <c r="B121" s="79" t="s">
        <v>712</v>
      </c>
      <c r="C121" s="80" t="s">
        <v>1449</v>
      </c>
      <c r="D121" s="81" t="s">
        <v>1128</v>
      </c>
      <c r="E121" s="26" t="s">
        <v>781</v>
      </c>
      <c r="F121" s="82">
        <v>40000</v>
      </c>
      <c r="G121" s="83" t="s">
        <v>622</v>
      </c>
      <c r="H121" s="84">
        <v>40000</v>
      </c>
      <c r="I121" s="80" t="s">
        <v>714</v>
      </c>
      <c r="J121" s="80"/>
      <c r="K121">
        <f t="shared" si="3"/>
        <v>1</v>
      </c>
      <c r="L121" t="str">
        <f>IF(I121="UGR","UGR",_xlfn.XLOOKUP(D121,Lookup!O:O,Lookup!N:N,0))</f>
        <v>(8035) GOODERS - SHELL WE DANCE</v>
      </c>
      <c r="M121">
        <f t="shared" si="4"/>
        <v>11</v>
      </c>
    </row>
    <row r="122" spans="1:13" x14ac:dyDescent="0.25">
      <c r="A122" s="78">
        <v>45974</v>
      </c>
      <c r="B122" s="79" t="s">
        <v>712</v>
      </c>
      <c r="C122" s="80" t="s">
        <v>1450</v>
      </c>
      <c r="D122" s="81" t="s">
        <v>1128</v>
      </c>
      <c r="E122" s="26" t="s">
        <v>781</v>
      </c>
      <c r="F122" s="82">
        <v>40000</v>
      </c>
      <c r="G122" s="83" t="s">
        <v>622</v>
      </c>
      <c r="H122" s="84">
        <v>40000</v>
      </c>
      <c r="I122" s="80" t="s">
        <v>714</v>
      </c>
      <c r="J122" s="80"/>
      <c r="K122">
        <f t="shared" si="3"/>
        <v>1</v>
      </c>
      <c r="L122" t="str">
        <f>IF(I122="UGR","UGR",_xlfn.XLOOKUP(D122,Lookup!O:O,Lookup!N:N,0))</f>
        <v>(8035) GOODERS - SHELL WE DANCE</v>
      </c>
      <c r="M122">
        <f t="shared" si="4"/>
        <v>11</v>
      </c>
    </row>
    <row r="123" spans="1:13" x14ac:dyDescent="0.25">
      <c r="A123" s="78">
        <v>45978</v>
      </c>
      <c r="B123" s="79" t="s">
        <v>712</v>
      </c>
      <c r="C123" s="80" t="s">
        <v>1451</v>
      </c>
      <c r="D123" s="81" t="s">
        <v>1128</v>
      </c>
      <c r="E123" s="26" t="s">
        <v>781</v>
      </c>
      <c r="F123" s="82">
        <v>40000</v>
      </c>
      <c r="G123" s="83" t="s">
        <v>622</v>
      </c>
      <c r="H123" s="84">
        <v>40000</v>
      </c>
      <c r="I123" s="80" t="s">
        <v>714</v>
      </c>
      <c r="J123" s="80"/>
      <c r="K123">
        <f t="shared" si="3"/>
        <v>1</v>
      </c>
      <c r="L123" t="str">
        <f>IF(I123="UGR","UGR",_xlfn.XLOOKUP(D123,Lookup!O:O,Lookup!N:N,0))</f>
        <v>(8035) GOODERS - SHELL WE DANCE</v>
      </c>
      <c r="M123">
        <f t="shared" si="4"/>
        <v>11</v>
      </c>
    </row>
    <row r="124" spans="1:13" x14ac:dyDescent="0.25">
      <c r="A124" s="78">
        <v>45979</v>
      </c>
      <c r="B124" s="79" t="s">
        <v>712</v>
      </c>
      <c r="C124" s="80" t="s">
        <v>1452</v>
      </c>
      <c r="D124" s="81" t="s">
        <v>1128</v>
      </c>
      <c r="E124" s="26" t="s">
        <v>781</v>
      </c>
      <c r="F124" s="82">
        <v>40000</v>
      </c>
      <c r="G124" s="83" t="s">
        <v>622</v>
      </c>
      <c r="H124" s="84">
        <v>40000</v>
      </c>
      <c r="I124" s="80" t="s">
        <v>714</v>
      </c>
      <c r="J124" s="80"/>
      <c r="K124">
        <f t="shared" si="3"/>
        <v>1</v>
      </c>
      <c r="L124" t="str">
        <f>IF(I124="UGR","UGR",_xlfn.XLOOKUP(D124,Lookup!O:O,Lookup!N:N,0))</f>
        <v>(8035) GOODERS - SHELL WE DANCE</v>
      </c>
      <c r="M124">
        <f t="shared" si="4"/>
        <v>11</v>
      </c>
    </row>
    <row r="125" spans="1:13" hidden="1" x14ac:dyDescent="0.25">
      <c r="A125" s="78">
        <v>45992</v>
      </c>
      <c r="B125" s="79" t="s">
        <v>712</v>
      </c>
      <c r="C125" s="80" t="s">
        <v>1453</v>
      </c>
      <c r="D125" s="81" t="s">
        <v>1128</v>
      </c>
      <c r="E125" s="26" t="s">
        <v>781</v>
      </c>
      <c r="F125" s="82">
        <v>40000</v>
      </c>
      <c r="G125" s="83" t="s">
        <v>622</v>
      </c>
      <c r="H125" s="84">
        <v>40000</v>
      </c>
      <c r="I125" s="80" t="s">
        <v>714</v>
      </c>
      <c r="J125" s="80"/>
      <c r="K125">
        <f t="shared" si="3"/>
        <v>1</v>
      </c>
      <c r="L125" t="str">
        <f>IF(I125="UGR","UGR",_xlfn.XLOOKUP(D125,Lookup!O:O,Lookup!N:N,0))</f>
        <v>(8035) GOODERS - SHELL WE DANCE</v>
      </c>
      <c r="M125">
        <f t="shared" si="4"/>
        <v>12</v>
      </c>
    </row>
    <row r="126" spans="1:13" hidden="1" x14ac:dyDescent="0.25">
      <c r="A126" s="78">
        <v>46014</v>
      </c>
      <c r="B126" s="79" t="s">
        <v>712</v>
      </c>
      <c r="C126" s="80" t="s">
        <v>1454</v>
      </c>
      <c r="D126" s="81" t="s">
        <v>1128</v>
      </c>
      <c r="E126" s="26" t="s">
        <v>781</v>
      </c>
      <c r="F126" s="82">
        <v>40000</v>
      </c>
      <c r="G126" s="83" t="s">
        <v>622</v>
      </c>
      <c r="H126" s="84">
        <v>40000</v>
      </c>
      <c r="I126" s="80" t="s">
        <v>714</v>
      </c>
      <c r="J126" s="80"/>
      <c r="K126">
        <f t="shared" si="3"/>
        <v>1</v>
      </c>
      <c r="L126" t="str">
        <f>IF(I126="UGR","UGR",_xlfn.XLOOKUP(D126,Lookup!O:O,Lookup!N:N,0))</f>
        <v>(8035) GOODERS - SHELL WE DANCE</v>
      </c>
      <c r="M126">
        <f t="shared" si="4"/>
        <v>12</v>
      </c>
    </row>
    <row r="127" spans="1:13" hidden="1" x14ac:dyDescent="0.25">
      <c r="A127" s="78">
        <v>46020</v>
      </c>
      <c r="B127" s="79" t="s">
        <v>712</v>
      </c>
      <c r="C127" s="80" t="s">
        <v>1455</v>
      </c>
      <c r="D127" s="81" t="s">
        <v>1128</v>
      </c>
      <c r="E127" s="26" t="s">
        <v>781</v>
      </c>
      <c r="F127" s="82">
        <v>40000</v>
      </c>
      <c r="G127" s="83" t="s">
        <v>622</v>
      </c>
      <c r="H127" s="84">
        <v>40000</v>
      </c>
      <c r="I127" s="80" t="s">
        <v>714</v>
      </c>
      <c r="J127" s="80"/>
      <c r="K127">
        <f t="shared" si="3"/>
        <v>1</v>
      </c>
      <c r="L127" t="str">
        <f>IF(I127="UGR","UGR",_xlfn.XLOOKUP(D127,Lookup!O:O,Lookup!N:N,0))</f>
        <v>(8035) GOODERS - SHELL WE DANCE</v>
      </c>
      <c r="M127">
        <f t="shared" si="4"/>
        <v>12</v>
      </c>
    </row>
    <row r="128" spans="1:13" hidden="1" x14ac:dyDescent="0.25">
      <c r="A128" s="78">
        <v>46021</v>
      </c>
      <c r="B128" s="79" t="s">
        <v>712</v>
      </c>
      <c r="C128" s="80" t="s">
        <v>1456</v>
      </c>
      <c r="D128" s="81" t="s">
        <v>1128</v>
      </c>
      <c r="E128" s="26" t="s">
        <v>781</v>
      </c>
      <c r="F128" s="82">
        <v>40000</v>
      </c>
      <c r="G128" s="83" t="s">
        <v>622</v>
      </c>
      <c r="H128" s="84">
        <v>40000</v>
      </c>
      <c r="I128" s="80" t="s">
        <v>714</v>
      </c>
      <c r="J128" s="80"/>
      <c r="K128">
        <f t="shared" si="3"/>
        <v>1</v>
      </c>
      <c r="L128" t="str">
        <f>IF(I128="UGR","UGR",_xlfn.XLOOKUP(D128,Lookup!O:O,Lookup!N:N,0))</f>
        <v>(8035) GOODERS - SHELL WE DANCE</v>
      </c>
      <c r="M128">
        <f t="shared" si="4"/>
        <v>12</v>
      </c>
    </row>
    <row r="129" spans="1:13" hidden="1" x14ac:dyDescent="0.25">
      <c r="A129" s="78">
        <v>46027</v>
      </c>
      <c r="B129" s="79" t="s">
        <v>712</v>
      </c>
      <c r="C129" s="80" t="s">
        <v>1457</v>
      </c>
      <c r="D129" s="81" t="s">
        <v>1128</v>
      </c>
      <c r="E129" s="26" t="s">
        <v>781</v>
      </c>
      <c r="F129" s="82">
        <v>40000</v>
      </c>
      <c r="G129" s="83" t="s">
        <v>622</v>
      </c>
      <c r="H129" s="84">
        <v>40000</v>
      </c>
      <c r="I129" s="80" t="s">
        <v>714</v>
      </c>
      <c r="J129" s="80"/>
      <c r="K129">
        <f t="shared" si="3"/>
        <v>1</v>
      </c>
      <c r="L129" t="str">
        <f>IF(I129="UGR","UGR",_xlfn.XLOOKUP(D129,Lookup!O:O,Lookup!N:N,0))</f>
        <v>(8035) GOODERS - SHELL WE DANCE</v>
      </c>
      <c r="M129">
        <f t="shared" si="4"/>
        <v>1</v>
      </c>
    </row>
    <row r="130" spans="1:13" hidden="1" x14ac:dyDescent="0.25">
      <c r="A130" s="78">
        <v>46028</v>
      </c>
      <c r="B130" s="79" t="s">
        <v>712</v>
      </c>
      <c r="C130" s="80" t="s">
        <v>1458</v>
      </c>
      <c r="D130" s="81" t="s">
        <v>1128</v>
      </c>
      <c r="E130" s="26" t="s">
        <v>781</v>
      </c>
      <c r="F130" s="82">
        <v>40000</v>
      </c>
      <c r="G130" s="83" t="s">
        <v>622</v>
      </c>
      <c r="H130" s="84">
        <v>40000</v>
      </c>
      <c r="I130" s="80" t="s">
        <v>714</v>
      </c>
      <c r="J130" s="80"/>
      <c r="K130">
        <f t="shared" si="3"/>
        <v>1</v>
      </c>
      <c r="L130" t="str">
        <f>IF(I130="UGR","UGR",_xlfn.XLOOKUP(D130,Lookup!O:O,Lookup!N:N,0))</f>
        <v>(8035) GOODERS - SHELL WE DANCE</v>
      </c>
      <c r="M130">
        <f t="shared" si="4"/>
        <v>1</v>
      </c>
    </row>
    <row r="131" spans="1:13" hidden="1" x14ac:dyDescent="0.25">
      <c r="A131" s="78">
        <v>46029</v>
      </c>
      <c r="B131" s="79" t="s">
        <v>712</v>
      </c>
      <c r="C131" s="80" t="s">
        <v>1459</v>
      </c>
      <c r="D131" s="81" t="s">
        <v>1128</v>
      </c>
      <c r="E131" s="26" t="s">
        <v>781</v>
      </c>
      <c r="F131" s="82">
        <v>40000</v>
      </c>
      <c r="G131" s="83" t="s">
        <v>622</v>
      </c>
      <c r="H131" s="84">
        <v>40000</v>
      </c>
      <c r="I131" s="80" t="s">
        <v>714</v>
      </c>
      <c r="J131" s="80"/>
      <c r="K131">
        <f t="shared" ref="K131:K194" si="5">IF(AND(B131=B130,C131=C130),0,1)</f>
        <v>1</v>
      </c>
      <c r="L131" t="str">
        <f>IF(I131="UGR","UGR",_xlfn.XLOOKUP(D131,Lookup!O:O,Lookup!N:N,0))</f>
        <v>(8035) GOODERS - SHELL WE DANCE</v>
      </c>
      <c r="M131">
        <f t="shared" ref="M131:M194" si="6">MONTH(A131)</f>
        <v>1</v>
      </c>
    </row>
    <row r="132" spans="1:13" x14ac:dyDescent="0.25">
      <c r="A132" s="78">
        <v>45980</v>
      </c>
      <c r="B132" s="79" t="s">
        <v>712</v>
      </c>
      <c r="C132" s="80" t="s">
        <v>1460</v>
      </c>
      <c r="D132" s="81" t="s">
        <v>1126</v>
      </c>
      <c r="E132" s="26" t="s">
        <v>808</v>
      </c>
      <c r="F132" s="82">
        <v>40000</v>
      </c>
      <c r="G132" s="83" t="s">
        <v>622</v>
      </c>
      <c r="H132" s="84">
        <v>40000</v>
      </c>
      <c r="I132" s="80" t="s">
        <v>714</v>
      </c>
      <c r="J132" s="80"/>
      <c r="K132">
        <f t="shared" si="5"/>
        <v>1</v>
      </c>
      <c r="L132" t="str">
        <f>IF(I132="UGR","UGR",_xlfn.XLOOKUP(D132,Lookup!O:O,Lookup!N:N,0))</f>
        <v>(8036) GOODERS - QUESO TELL ME MORE</v>
      </c>
      <c r="M132">
        <f t="shared" si="6"/>
        <v>11</v>
      </c>
    </row>
    <row r="133" spans="1:13" x14ac:dyDescent="0.25">
      <c r="A133" s="78">
        <v>45981</v>
      </c>
      <c r="B133" s="79" t="s">
        <v>712</v>
      </c>
      <c r="C133" s="80" t="s">
        <v>1461</v>
      </c>
      <c r="D133" s="81" t="s">
        <v>1126</v>
      </c>
      <c r="E133" s="26" t="s">
        <v>808</v>
      </c>
      <c r="F133" s="82">
        <v>40000</v>
      </c>
      <c r="G133" s="83" t="s">
        <v>622</v>
      </c>
      <c r="H133" s="84">
        <v>40000</v>
      </c>
      <c r="I133" s="80" t="s">
        <v>714</v>
      </c>
      <c r="J133" s="80"/>
      <c r="K133">
        <f t="shared" si="5"/>
        <v>1</v>
      </c>
      <c r="L133" t="str">
        <f>IF(I133="UGR","UGR",_xlfn.XLOOKUP(D133,Lookup!O:O,Lookup!N:N,0))</f>
        <v>(8036) GOODERS - QUESO TELL ME MORE</v>
      </c>
      <c r="M133">
        <f t="shared" si="6"/>
        <v>11</v>
      </c>
    </row>
    <row r="134" spans="1:13" x14ac:dyDescent="0.25">
      <c r="A134" s="78">
        <v>45985</v>
      </c>
      <c r="B134" s="79" t="s">
        <v>712</v>
      </c>
      <c r="C134" s="80" t="s">
        <v>1462</v>
      </c>
      <c r="D134" s="81" t="s">
        <v>1126</v>
      </c>
      <c r="E134" s="26" t="s">
        <v>808</v>
      </c>
      <c r="F134" s="82">
        <v>40000</v>
      </c>
      <c r="G134" s="83" t="s">
        <v>622</v>
      </c>
      <c r="H134" s="84">
        <v>40000</v>
      </c>
      <c r="I134" s="80" t="s">
        <v>714</v>
      </c>
      <c r="J134" s="80"/>
      <c r="K134">
        <f t="shared" si="5"/>
        <v>1</v>
      </c>
      <c r="L134" t="str">
        <f>IF(I134="UGR","UGR",_xlfn.XLOOKUP(D134,Lookup!O:O,Lookup!N:N,0))</f>
        <v>(8036) GOODERS - QUESO TELL ME MORE</v>
      </c>
      <c r="M134">
        <f t="shared" si="6"/>
        <v>11</v>
      </c>
    </row>
    <row r="135" spans="1:13" x14ac:dyDescent="0.25">
      <c r="A135" s="78">
        <v>45986</v>
      </c>
      <c r="B135" s="79" t="s">
        <v>712</v>
      </c>
      <c r="C135" s="80" t="s">
        <v>1463</v>
      </c>
      <c r="D135" s="81" t="s">
        <v>1126</v>
      </c>
      <c r="E135" s="26" t="s">
        <v>808</v>
      </c>
      <c r="F135" s="82">
        <v>40000</v>
      </c>
      <c r="G135" s="83" t="s">
        <v>622</v>
      </c>
      <c r="H135" s="84">
        <v>40000</v>
      </c>
      <c r="I135" s="80" t="s">
        <v>714</v>
      </c>
      <c r="J135" s="80"/>
      <c r="K135">
        <f t="shared" si="5"/>
        <v>1</v>
      </c>
      <c r="L135" t="str">
        <f>IF(I135="UGR","UGR",_xlfn.XLOOKUP(D135,Lookup!O:O,Lookup!N:N,0))</f>
        <v>(8036) GOODERS - QUESO TELL ME MORE</v>
      </c>
      <c r="M135">
        <f t="shared" si="6"/>
        <v>11</v>
      </c>
    </row>
    <row r="136" spans="1:13" x14ac:dyDescent="0.25">
      <c r="A136" s="78">
        <v>45987</v>
      </c>
      <c r="B136" s="79" t="s">
        <v>712</v>
      </c>
      <c r="C136" s="80" t="s">
        <v>1464</v>
      </c>
      <c r="D136" s="81" t="s">
        <v>1126</v>
      </c>
      <c r="E136" s="26" t="s">
        <v>808</v>
      </c>
      <c r="F136" s="82">
        <v>40000</v>
      </c>
      <c r="G136" s="83" t="s">
        <v>622</v>
      </c>
      <c r="H136" s="84">
        <v>40000</v>
      </c>
      <c r="I136" s="80" t="s">
        <v>714</v>
      </c>
      <c r="J136" s="80"/>
      <c r="K136">
        <f t="shared" si="5"/>
        <v>1</v>
      </c>
      <c r="L136" t="str">
        <f>IF(I136="UGR","UGR",_xlfn.XLOOKUP(D136,Lookup!O:O,Lookup!N:N,0))</f>
        <v>(8036) GOODERS - QUESO TELL ME MORE</v>
      </c>
      <c r="M136">
        <f t="shared" si="6"/>
        <v>11</v>
      </c>
    </row>
    <row r="137" spans="1:13" hidden="1" x14ac:dyDescent="0.25">
      <c r="A137" s="78">
        <v>46022</v>
      </c>
      <c r="B137" s="79" t="s">
        <v>712</v>
      </c>
      <c r="C137" s="80" t="s">
        <v>1465</v>
      </c>
      <c r="D137" s="81" t="s">
        <v>1126</v>
      </c>
      <c r="E137" s="26" t="s">
        <v>808</v>
      </c>
      <c r="F137" s="82">
        <v>40000</v>
      </c>
      <c r="G137" s="83" t="s">
        <v>622</v>
      </c>
      <c r="H137" s="84">
        <v>40000</v>
      </c>
      <c r="I137" s="80" t="s">
        <v>714</v>
      </c>
      <c r="J137" s="80"/>
      <c r="K137">
        <f t="shared" si="5"/>
        <v>1</v>
      </c>
      <c r="L137" t="str">
        <f>IF(I137="UGR","UGR",_xlfn.XLOOKUP(D137,Lookup!O:O,Lookup!N:N,0))</f>
        <v>(8036) GOODERS - QUESO TELL ME MORE</v>
      </c>
      <c r="M137">
        <f t="shared" si="6"/>
        <v>12</v>
      </c>
    </row>
    <row r="138" spans="1:13" hidden="1" x14ac:dyDescent="0.25">
      <c r="A138" s="78">
        <v>46030</v>
      </c>
      <c r="B138" s="79" t="s">
        <v>712</v>
      </c>
      <c r="C138" s="80" t="s">
        <v>1466</v>
      </c>
      <c r="D138" s="81" t="s">
        <v>1126</v>
      </c>
      <c r="E138" s="26" t="s">
        <v>808</v>
      </c>
      <c r="F138" s="82">
        <v>40000</v>
      </c>
      <c r="G138" s="83" t="s">
        <v>622</v>
      </c>
      <c r="H138" s="84">
        <v>40000</v>
      </c>
      <c r="I138" s="80" t="s">
        <v>714</v>
      </c>
      <c r="J138" s="80"/>
      <c r="K138">
        <f t="shared" si="5"/>
        <v>1</v>
      </c>
      <c r="L138" t="str">
        <f>IF(I138="UGR","UGR",_xlfn.XLOOKUP(D138,Lookup!O:O,Lookup!N:N,0))</f>
        <v>(8036) GOODERS - QUESO TELL ME MORE</v>
      </c>
      <c r="M138">
        <f t="shared" si="6"/>
        <v>1</v>
      </c>
    </row>
    <row r="139" spans="1:13" hidden="1" x14ac:dyDescent="0.25">
      <c r="A139" s="78">
        <v>46031</v>
      </c>
      <c r="B139" s="79" t="s">
        <v>712</v>
      </c>
      <c r="C139" s="80" t="s">
        <v>1467</v>
      </c>
      <c r="D139" s="81" t="s">
        <v>1126</v>
      </c>
      <c r="E139" s="26" t="s">
        <v>808</v>
      </c>
      <c r="F139" s="82">
        <v>40000</v>
      </c>
      <c r="G139" s="83" t="s">
        <v>622</v>
      </c>
      <c r="H139" s="84">
        <v>40000</v>
      </c>
      <c r="I139" s="80" t="s">
        <v>714</v>
      </c>
      <c r="J139" s="80"/>
      <c r="K139">
        <f t="shared" si="5"/>
        <v>1</v>
      </c>
      <c r="L139" t="str">
        <f>IF(I139="UGR","UGR",_xlfn.XLOOKUP(D139,Lookup!O:O,Lookup!N:N,0))</f>
        <v>(8036) GOODERS - QUESO TELL ME MORE</v>
      </c>
      <c r="M139">
        <f t="shared" si="6"/>
        <v>1</v>
      </c>
    </row>
    <row r="140" spans="1:13" hidden="1" x14ac:dyDescent="0.25">
      <c r="A140" s="78">
        <v>46034</v>
      </c>
      <c r="B140" s="79" t="s">
        <v>712</v>
      </c>
      <c r="C140" s="80" t="s">
        <v>1468</v>
      </c>
      <c r="D140" s="81" t="s">
        <v>1126</v>
      </c>
      <c r="E140" s="26" t="s">
        <v>808</v>
      </c>
      <c r="F140" s="82">
        <v>40000</v>
      </c>
      <c r="G140" s="83" t="s">
        <v>622</v>
      </c>
      <c r="H140" s="84">
        <v>40000</v>
      </c>
      <c r="I140" s="80" t="s">
        <v>714</v>
      </c>
      <c r="J140" s="80"/>
      <c r="K140">
        <f t="shared" si="5"/>
        <v>1</v>
      </c>
      <c r="L140" t="str">
        <f>IF(I140="UGR","UGR",_xlfn.XLOOKUP(D140,Lookup!O:O,Lookup!N:N,0))</f>
        <v>(8036) GOODERS - QUESO TELL ME MORE</v>
      </c>
      <c r="M140">
        <f t="shared" si="6"/>
        <v>1</v>
      </c>
    </row>
    <row r="141" spans="1:13" hidden="1" x14ac:dyDescent="0.25">
      <c r="A141" s="78">
        <v>46035</v>
      </c>
      <c r="B141" s="79" t="s">
        <v>712</v>
      </c>
      <c r="C141" s="80" t="s">
        <v>1469</v>
      </c>
      <c r="D141" s="81" t="s">
        <v>1126</v>
      </c>
      <c r="E141" s="26" t="s">
        <v>808</v>
      </c>
      <c r="F141" s="82">
        <v>40000</v>
      </c>
      <c r="G141" s="83" t="s">
        <v>622</v>
      </c>
      <c r="H141" s="84">
        <v>40000</v>
      </c>
      <c r="I141" s="80" t="s">
        <v>714</v>
      </c>
      <c r="J141" s="80"/>
      <c r="K141">
        <f t="shared" si="5"/>
        <v>1</v>
      </c>
      <c r="L141" t="str">
        <f>IF(I141="UGR","UGR",_xlfn.XLOOKUP(D141,Lookup!O:O,Lookup!N:N,0))</f>
        <v>(8036) GOODERS - QUESO TELL ME MORE</v>
      </c>
      <c r="M141">
        <f t="shared" si="6"/>
        <v>1</v>
      </c>
    </row>
    <row r="142" spans="1:13" hidden="1" x14ac:dyDescent="0.25">
      <c r="A142" s="78">
        <v>46036</v>
      </c>
      <c r="B142" s="79" t="s">
        <v>712</v>
      </c>
      <c r="C142" s="80" t="s">
        <v>1470</v>
      </c>
      <c r="D142" s="81" t="s">
        <v>1126</v>
      </c>
      <c r="E142" s="26" t="s">
        <v>808</v>
      </c>
      <c r="F142" s="82">
        <v>40000</v>
      </c>
      <c r="G142" s="83" t="s">
        <v>622</v>
      </c>
      <c r="H142" s="84">
        <v>40000</v>
      </c>
      <c r="I142" s="80" t="s">
        <v>714</v>
      </c>
      <c r="J142" s="80"/>
      <c r="K142">
        <f t="shared" si="5"/>
        <v>1</v>
      </c>
      <c r="L142" t="str">
        <f>IF(I142="UGR","UGR",_xlfn.XLOOKUP(D142,Lookup!O:O,Lookup!N:N,0))</f>
        <v>(8036) GOODERS - QUESO TELL ME MORE</v>
      </c>
      <c r="M142">
        <f t="shared" si="6"/>
        <v>1</v>
      </c>
    </row>
    <row r="143" spans="1:13" hidden="1" x14ac:dyDescent="0.25">
      <c r="A143" s="78">
        <v>46037</v>
      </c>
      <c r="B143" s="79" t="s">
        <v>712</v>
      </c>
      <c r="C143" s="80" t="s">
        <v>1471</v>
      </c>
      <c r="D143" s="81" t="s">
        <v>1126</v>
      </c>
      <c r="E143" s="26" t="s">
        <v>808</v>
      </c>
      <c r="F143" s="82">
        <v>40000</v>
      </c>
      <c r="G143" s="83" t="s">
        <v>622</v>
      </c>
      <c r="H143" s="84">
        <v>40000</v>
      </c>
      <c r="I143" s="80" t="s">
        <v>714</v>
      </c>
      <c r="J143" s="80"/>
      <c r="K143">
        <f t="shared" si="5"/>
        <v>1</v>
      </c>
      <c r="L143" t="str">
        <f>IF(I143="UGR","UGR",_xlfn.XLOOKUP(D143,Lookup!O:O,Lookup!N:N,0))</f>
        <v>(8036) GOODERS - QUESO TELL ME MORE</v>
      </c>
      <c r="M143">
        <f t="shared" si="6"/>
        <v>1</v>
      </c>
    </row>
    <row r="144" spans="1:13" hidden="1" x14ac:dyDescent="0.25">
      <c r="A144" s="78">
        <v>46038</v>
      </c>
      <c r="B144" s="79" t="s">
        <v>712</v>
      </c>
      <c r="C144" s="80" t="s">
        <v>1472</v>
      </c>
      <c r="D144" s="81" t="s">
        <v>1126</v>
      </c>
      <c r="E144" s="26" t="s">
        <v>808</v>
      </c>
      <c r="F144" s="82">
        <v>40000</v>
      </c>
      <c r="G144" s="83" t="s">
        <v>622</v>
      </c>
      <c r="H144" s="84">
        <v>40000</v>
      </c>
      <c r="I144" s="80" t="s">
        <v>714</v>
      </c>
      <c r="J144" s="80"/>
      <c r="K144">
        <f t="shared" si="5"/>
        <v>1</v>
      </c>
      <c r="L144" t="str">
        <f>IF(I144="UGR","UGR",_xlfn.XLOOKUP(D144,Lookup!O:O,Lookup!N:N,0))</f>
        <v>(8036) GOODERS - QUESO TELL ME MORE</v>
      </c>
      <c r="M144">
        <f t="shared" si="6"/>
        <v>1</v>
      </c>
    </row>
    <row r="145" spans="1:13" hidden="1" x14ac:dyDescent="0.25">
      <c r="A145" s="78">
        <v>45972</v>
      </c>
      <c r="B145" s="79" t="s">
        <v>682</v>
      </c>
      <c r="C145" s="80" t="s">
        <v>1160</v>
      </c>
      <c r="D145" s="81" t="s">
        <v>806</v>
      </c>
      <c r="E145" s="26" t="s">
        <v>807</v>
      </c>
      <c r="F145" s="82">
        <v>28000</v>
      </c>
      <c r="G145" s="83" t="s">
        <v>622</v>
      </c>
      <c r="H145" s="84">
        <v>28000</v>
      </c>
      <c r="I145" s="80" t="s">
        <v>94</v>
      </c>
      <c r="J145" s="80"/>
      <c r="K145">
        <f t="shared" si="5"/>
        <v>1</v>
      </c>
      <c r="L145" t="str">
        <f>IF(I145="UGR","UGR",_xlfn.XLOOKUP(D145,Lookup!O:O,Lookup!N:N,0))</f>
        <v>Non FG</v>
      </c>
      <c r="M145">
        <f t="shared" si="6"/>
        <v>11</v>
      </c>
    </row>
    <row r="146" spans="1:13" hidden="1" x14ac:dyDescent="0.25">
      <c r="A146" s="78">
        <v>45979</v>
      </c>
      <c r="B146" s="79" t="s">
        <v>682</v>
      </c>
      <c r="C146" s="80" t="s">
        <v>1473</v>
      </c>
      <c r="D146" s="81" t="s">
        <v>806</v>
      </c>
      <c r="E146" s="26" t="s">
        <v>807</v>
      </c>
      <c r="F146" s="82">
        <v>28000</v>
      </c>
      <c r="G146" s="83" t="s">
        <v>622</v>
      </c>
      <c r="H146" s="84">
        <v>28000</v>
      </c>
      <c r="I146" s="80" t="s">
        <v>94</v>
      </c>
      <c r="J146" s="80"/>
      <c r="K146">
        <f t="shared" si="5"/>
        <v>1</v>
      </c>
      <c r="L146" t="str">
        <f>IF(I146="UGR","UGR",_xlfn.XLOOKUP(D146,Lookup!O:O,Lookup!N:N,0))</f>
        <v>Non FG</v>
      </c>
      <c r="M146">
        <f t="shared" si="6"/>
        <v>11</v>
      </c>
    </row>
    <row r="147" spans="1:13" hidden="1" x14ac:dyDescent="0.25">
      <c r="A147" s="78">
        <v>45981</v>
      </c>
      <c r="B147" s="79" t="s">
        <v>682</v>
      </c>
      <c r="C147" s="80" t="s">
        <v>1474</v>
      </c>
      <c r="D147" s="81" t="s">
        <v>806</v>
      </c>
      <c r="E147" s="26" t="s">
        <v>807</v>
      </c>
      <c r="F147" s="82">
        <v>28000</v>
      </c>
      <c r="G147" s="83" t="s">
        <v>622</v>
      </c>
      <c r="H147" s="84">
        <v>28000</v>
      </c>
      <c r="I147" s="80" t="s">
        <v>94</v>
      </c>
      <c r="J147" s="80"/>
      <c r="K147">
        <f t="shared" si="5"/>
        <v>1</v>
      </c>
      <c r="L147" t="str">
        <f>IF(I147="UGR","UGR",_xlfn.XLOOKUP(D147,Lookup!O:O,Lookup!N:N,0))</f>
        <v>Non FG</v>
      </c>
      <c r="M147">
        <f t="shared" si="6"/>
        <v>11</v>
      </c>
    </row>
    <row r="148" spans="1:13" hidden="1" x14ac:dyDescent="0.25">
      <c r="A148" s="78">
        <v>45986</v>
      </c>
      <c r="B148" s="79" t="s">
        <v>682</v>
      </c>
      <c r="C148" s="80" t="s">
        <v>1475</v>
      </c>
      <c r="D148" s="81" t="s">
        <v>806</v>
      </c>
      <c r="E148" s="26" t="s">
        <v>807</v>
      </c>
      <c r="F148" s="82">
        <v>28000</v>
      </c>
      <c r="G148" s="83" t="s">
        <v>622</v>
      </c>
      <c r="H148" s="84">
        <v>28000</v>
      </c>
      <c r="I148" s="80" t="s">
        <v>94</v>
      </c>
      <c r="J148" s="80"/>
      <c r="K148">
        <f t="shared" si="5"/>
        <v>1</v>
      </c>
      <c r="L148" t="str">
        <f>IF(I148="UGR","UGR",_xlfn.XLOOKUP(D148,Lookup!O:O,Lookup!N:N,0))</f>
        <v>Non FG</v>
      </c>
      <c r="M148">
        <f t="shared" si="6"/>
        <v>11</v>
      </c>
    </row>
    <row r="149" spans="1:13" hidden="1" x14ac:dyDescent="0.25">
      <c r="A149" s="78">
        <v>45993</v>
      </c>
      <c r="B149" s="79" t="s">
        <v>682</v>
      </c>
      <c r="C149" s="80" t="s">
        <v>1476</v>
      </c>
      <c r="D149" s="81" t="s">
        <v>806</v>
      </c>
      <c r="E149" s="26" t="s">
        <v>807</v>
      </c>
      <c r="F149" s="82">
        <v>28000</v>
      </c>
      <c r="G149" s="83" t="s">
        <v>622</v>
      </c>
      <c r="H149" s="84">
        <v>28000</v>
      </c>
      <c r="I149" s="80" t="s">
        <v>94</v>
      </c>
      <c r="J149" s="80"/>
      <c r="K149">
        <f t="shared" si="5"/>
        <v>1</v>
      </c>
      <c r="L149" t="str">
        <f>IF(I149="UGR","UGR",_xlfn.XLOOKUP(D149,Lookup!O:O,Lookup!N:N,0))</f>
        <v>Non FG</v>
      </c>
      <c r="M149">
        <f t="shared" si="6"/>
        <v>12</v>
      </c>
    </row>
    <row r="150" spans="1:13" hidden="1" x14ac:dyDescent="0.25">
      <c r="A150" s="78">
        <v>46000</v>
      </c>
      <c r="B150" s="79" t="s">
        <v>682</v>
      </c>
      <c r="C150" s="80" t="s">
        <v>1477</v>
      </c>
      <c r="D150" s="81" t="s">
        <v>806</v>
      </c>
      <c r="E150" s="26" t="s">
        <v>807</v>
      </c>
      <c r="F150" s="82">
        <v>28000</v>
      </c>
      <c r="G150" s="83" t="s">
        <v>622</v>
      </c>
      <c r="H150" s="84">
        <v>28000</v>
      </c>
      <c r="I150" s="80" t="s">
        <v>94</v>
      </c>
      <c r="J150" s="80"/>
      <c r="K150">
        <f t="shared" si="5"/>
        <v>1</v>
      </c>
      <c r="L150" t="str">
        <f>IF(I150="UGR","UGR",_xlfn.XLOOKUP(D150,Lookup!O:O,Lookup!N:N,0))</f>
        <v>Non FG</v>
      </c>
      <c r="M150">
        <f t="shared" si="6"/>
        <v>12</v>
      </c>
    </row>
    <row r="151" spans="1:13" hidden="1" x14ac:dyDescent="0.25">
      <c r="A151" s="78">
        <v>46006</v>
      </c>
      <c r="B151" s="79" t="s">
        <v>682</v>
      </c>
      <c r="C151" s="80" t="s">
        <v>1478</v>
      </c>
      <c r="D151" s="81" t="s">
        <v>806</v>
      </c>
      <c r="E151" s="26" t="s">
        <v>807</v>
      </c>
      <c r="F151" s="82">
        <v>28000</v>
      </c>
      <c r="G151" s="83" t="s">
        <v>622</v>
      </c>
      <c r="H151" s="84">
        <v>28000</v>
      </c>
      <c r="I151" s="80" t="s">
        <v>94</v>
      </c>
      <c r="J151" s="80"/>
      <c r="K151">
        <f t="shared" si="5"/>
        <v>1</v>
      </c>
      <c r="L151" t="str">
        <f>IF(I151="UGR","UGR",_xlfn.XLOOKUP(D151,Lookup!O:O,Lookup!N:N,0))</f>
        <v>Non FG</v>
      </c>
      <c r="M151">
        <f t="shared" si="6"/>
        <v>12</v>
      </c>
    </row>
    <row r="152" spans="1:13" hidden="1" x14ac:dyDescent="0.25">
      <c r="A152" s="78">
        <v>46013</v>
      </c>
      <c r="B152" s="79" t="s">
        <v>682</v>
      </c>
      <c r="C152" s="80" t="s">
        <v>1479</v>
      </c>
      <c r="D152" s="81" t="s">
        <v>806</v>
      </c>
      <c r="E152" s="26" t="s">
        <v>807</v>
      </c>
      <c r="F152" s="82">
        <v>28000</v>
      </c>
      <c r="G152" s="83" t="s">
        <v>622</v>
      </c>
      <c r="H152" s="84">
        <v>28000</v>
      </c>
      <c r="I152" s="80" t="s">
        <v>94</v>
      </c>
      <c r="J152" s="80"/>
      <c r="K152">
        <f t="shared" si="5"/>
        <v>1</v>
      </c>
      <c r="L152" t="str">
        <f>IF(I152="UGR","UGR",_xlfn.XLOOKUP(D152,Lookup!O:O,Lookup!N:N,0))</f>
        <v>Non FG</v>
      </c>
      <c r="M152">
        <f t="shared" si="6"/>
        <v>12</v>
      </c>
    </row>
    <row r="153" spans="1:13" hidden="1" x14ac:dyDescent="0.25">
      <c r="A153" s="78">
        <v>46029</v>
      </c>
      <c r="B153" s="79" t="s">
        <v>682</v>
      </c>
      <c r="C153" s="80" t="s">
        <v>1480</v>
      </c>
      <c r="D153" s="81" t="s">
        <v>806</v>
      </c>
      <c r="E153" s="26" t="s">
        <v>807</v>
      </c>
      <c r="F153" s="82">
        <v>28000</v>
      </c>
      <c r="G153" s="83" t="s">
        <v>622</v>
      </c>
      <c r="H153" s="84">
        <v>28000</v>
      </c>
      <c r="I153" s="80" t="s">
        <v>94</v>
      </c>
      <c r="J153" s="80"/>
      <c r="K153">
        <f t="shared" si="5"/>
        <v>1</v>
      </c>
      <c r="L153" t="str">
        <f>IF(I153="UGR","UGR",_xlfn.XLOOKUP(D153,Lookup!O:O,Lookup!N:N,0))</f>
        <v>Non FG</v>
      </c>
      <c r="M153">
        <f t="shared" si="6"/>
        <v>1</v>
      </c>
    </row>
    <row r="154" spans="1:13" hidden="1" x14ac:dyDescent="0.25">
      <c r="A154" s="78">
        <v>45987</v>
      </c>
      <c r="B154" s="79" t="s">
        <v>715</v>
      </c>
      <c r="C154" s="80" t="s">
        <v>1481</v>
      </c>
      <c r="D154" s="81" t="s">
        <v>716</v>
      </c>
      <c r="E154" s="26" t="s">
        <v>717</v>
      </c>
      <c r="F154" s="82">
        <v>55000</v>
      </c>
      <c r="G154" s="83" t="s">
        <v>622</v>
      </c>
      <c r="H154" s="84">
        <v>55000</v>
      </c>
      <c r="I154" s="80" t="s">
        <v>94</v>
      </c>
      <c r="J154" s="80"/>
      <c r="K154">
        <f t="shared" si="5"/>
        <v>1</v>
      </c>
      <c r="L154" t="str">
        <f>IF(I154="UGR","UGR",_xlfn.XLOOKUP(D154,Lookup!O:O,Lookup!N:N,0))</f>
        <v>Non FG</v>
      </c>
      <c r="M154">
        <f t="shared" si="6"/>
        <v>11</v>
      </c>
    </row>
    <row r="155" spans="1:13" hidden="1" x14ac:dyDescent="0.25">
      <c r="A155" s="78">
        <v>45994</v>
      </c>
      <c r="B155" s="79" t="s">
        <v>715</v>
      </c>
      <c r="C155" s="80" t="s">
        <v>1482</v>
      </c>
      <c r="D155" s="81" t="s">
        <v>716</v>
      </c>
      <c r="E155" s="26" t="s">
        <v>717</v>
      </c>
      <c r="F155" s="82">
        <v>55000</v>
      </c>
      <c r="G155" s="83" t="s">
        <v>622</v>
      </c>
      <c r="H155" s="84">
        <v>55000</v>
      </c>
      <c r="I155" s="80" t="s">
        <v>94</v>
      </c>
      <c r="J155" s="80"/>
      <c r="K155">
        <f t="shared" si="5"/>
        <v>1</v>
      </c>
      <c r="L155" t="str">
        <f>IF(I155="UGR","UGR",_xlfn.XLOOKUP(D155,Lookup!O:O,Lookup!N:N,0))</f>
        <v>Non FG</v>
      </c>
      <c r="M155">
        <f t="shared" si="6"/>
        <v>12</v>
      </c>
    </row>
    <row r="156" spans="1:13" hidden="1" x14ac:dyDescent="0.25">
      <c r="A156" s="78">
        <v>45999</v>
      </c>
      <c r="B156" s="79" t="s">
        <v>715</v>
      </c>
      <c r="C156" s="80" t="s">
        <v>1483</v>
      </c>
      <c r="D156" s="81" t="s">
        <v>716</v>
      </c>
      <c r="E156" s="26" t="s">
        <v>717</v>
      </c>
      <c r="F156" s="82">
        <v>55000</v>
      </c>
      <c r="G156" s="83" t="s">
        <v>622</v>
      </c>
      <c r="H156" s="84">
        <v>55000</v>
      </c>
      <c r="I156" s="80" t="s">
        <v>94</v>
      </c>
      <c r="J156" s="80"/>
      <c r="K156">
        <f t="shared" si="5"/>
        <v>1</v>
      </c>
      <c r="L156" t="str">
        <f>IF(I156="UGR","UGR",_xlfn.XLOOKUP(D156,Lookup!O:O,Lookup!N:N,0))</f>
        <v>Non FG</v>
      </c>
      <c r="M156">
        <f t="shared" si="6"/>
        <v>12</v>
      </c>
    </row>
    <row r="157" spans="1:13" hidden="1" x14ac:dyDescent="0.25">
      <c r="A157" s="78">
        <v>46001</v>
      </c>
      <c r="B157" s="79" t="s">
        <v>715</v>
      </c>
      <c r="C157" s="80" t="s">
        <v>1484</v>
      </c>
      <c r="D157" s="81" t="s">
        <v>716</v>
      </c>
      <c r="E157" s="26" t="s">
        <v>717</v>
      </c>
      <c r="F157" s="82">
        <v>55000</v>
      </c>
      <c r="G157" s="83" t="s">
        <v>622</v>
      </c>
      <c r="H157" s="84">
        <v>55000</v>
      </c>
      <c r="I157" s="80" t="s">
        <v>94</v>
      </c>
      <c r="J157" s="80"/>
      <c r="K157">
        <f t="shared" si="5"/>
        <v>1</v>
      </c>
      <c r="L157" t="str">
        <f>IF(I157="UGR","UGR",_xlfn.XLOOKUP(D157,Lookup!O:O,Lookup!N:N,0))</f>
        <v>Non FG</v>
      </c>
      <c r="M157">
        <f t="shared" si="6"/>
        <v>12</v>
      </c>
    </row>
    <row r="158" spans="1:13" hidden="1" x14ac:dyDescent="0.25">
      <c r="A158" s="78">
        <v>46006</v>
      </c>
      <c r="B158" s="79" t="s">
        <v>715</v>
      </c>
      <c r="C158" s="80" t="s">
        <v>1485</v>
      </c>
      <c r="D158" s="81" t="s">
        <v>716</v>
      </c>
      <c r="E158" s="26" t="s">
        <v>717</v>
      </c>
      <c r="F158" s="82">
        <v>55000</v>
      </c>
      <c r="G158" s="83" t="s">
        <v>622</v>
      </c>
      <c r="H158" s="84">
        <v>55000</v>
      </c>
      <c r="I158" s="80" t="s">
        <v>94</v>
      </c>
      <c r="J158" s="80"/>
      <c r="K158">
        <f t="shared" si="5"/>
        <v>1</v>
      </c>
      <c r="L158" t="str">
        <f>IF(I158="UGR","UGR",_xlfn.XLOOKUP(D158,Lookup!O:O,Lookup!N:N,0))</f>
        <v>Non FG</v>
      </c>
      <c r="M158">
        <f t="shared" si="6"/>
        <v>12</v>
      </c>
    </row>
    <row r="159" spans="1:13" hidden="1" x14ac:dyDescent="0.25">
      <c r="A159" s="78">
        <v>46014</v>
      </c>
      <c r="B159" s="79" t="s">
        <v>715</v>
      </c>
      <c r="C159" s="80" t="s">
        <v>1486</v>
      </c>
      <c r="D159" s="81" t="s">
        <v>716</v>
      </c>
      <c r="E159" s="26" t="s">
        <v>717</v>
      </c>
      <c r="F159" s="82">
        <v>55000</v>
      </c>
      <c r="G159" s="83" t="s">
        <v>622</v>
      </c>
      <c r="H159" s="84">
        <v>55000</v>
      </c>
      <c r="I159" s="80" t="s">
        <v>94</v>
      </c>
      <c r="J159" s="80"/>
      <c r="K159">
        <f t="shared" si="5"/>
        <v>1</v>
      </c>
      <c r="L159" t="str">
        <f>IF(I159="UGR","UGR",_xlfn.XLOOKUP(D159,Lookup!O:O,Lookup!N:N,0))</f>
        <v>Non FG</v>
      </c>
      <c r="M159">
        <f t="shared" si="6"/>
        <v>12</v>
      </c>
    </row>
    <row r="160" spans="1:13" hidden="1" x14ac:dyDescent="0.25">
      <c r="A160" s="78">
        <v>46027</v>
      </c>
      <c r="B160" s="79" t="s">
        <v>715</v>
      </c>
      <c r="C160" s="80" t="s">
        <v>1487</v>
      </c>
      <c r="D160" s="81" t="s">
        <v>716</v>
      </c>
      <c r="E160" s="26" t="s">
        <v>717</v>
      </c>
      <c r="F160" s="82">
        <v>55000</v>
      </c>
      <c r="G160" s="83" t="s">
        <v>622</v>
      </c>
      <c r="H160" s="84">
        <v>55000</v>
      </c>
      <c r="I160" s="80" t="s">
        <v>94</v>
      </c>
      <c r="J160" s="80"/>
      <c r="K160">
        <f t="shared" si="5"/>
        <v>1</v>
      </c>
      <c r="L160" t="str">
        <f>IF(I160="UGR","UGR",_xlfn.XLOOKUP(D160,Lookup!O:O,Lookup!N:N,0))</f>
        <v>Non FG</v>
      </c>
      <c r="M160">
        <f t="shared" si="6"/>
        <v>1</v>
      </c>
    </row>
    <row r="161" spans="1:13" hidden="1" x14ac:dyDescent="0.25">
      <c r="A161" s="78">
        <v>45971</v>
      </c>
      <c r="B161" s="79" t="s">
        <v>715</v>
      </c>
      <c r="C161" s="80" t="s">
        <v>1074</v>
      </c>
      <c r="D161" s="81" t="s">
        <v>810</v>
      </c>
      <c r="E161" s="26" t="s">
        <v>811</v>
      </c>
      <c r="F161" s="82">
        <v>55000</v>
      </c>
      <c r="G161" s="83" t="s">
        <v>622</v>
      </c>
      <c r="H161" s="84">
        <v>55000</v>
      </c>
      <c r="I161" s="80" t="s">
        <v>94</v>
      </c>
      <c r="J161" s="80"/>
      <c r="K161">
        <f t="shared" si="5"/>
        <v>1</v>
      </c>
      <c r="L161" t="str">
        <f>IF(I161="UGR","UGR",_xlfn.XLOOKUP(D161,Lookup!O:O,Lookup!N:N,0))</f>
        <v>Non FG</v>
      </c>
      <c r="M161">
        <f t="shared" si="6"/>
        <v>11</v>
      </c>
    </row>
    <row r="162" spans="1:13" hidden="1" x14ac:dyDescent="0.25">
      <c r="A162" s="78">
        <v>45975</v>
      </c>
      <c r="B162" s="79" t="s">
        <v>715</v>
      </c>
      <c r="C162" s="80" t="s">
        <v>1068</v>
      </c>
      <c r="D162" s="81" t="s">
        <v>810</v>
      </c>
      <c r="E162" s="26" t="s">
        <v>811</v>
      </c>
      <c r="F162" s="82">
        <v>55000</v>
      </c>
      <c r="G162" s="83" t="s">
        <v>622</v>
      </c>
      <c r="H162" s="84">
        <v>55000</v>
      </c>
      <c r="I162" s="80" t="s">
        <v>94</v>
      </c>
      <c r="J162" s="80"/>
      <c r="K162">
        <f t="shared" si="5"/>
        <v>1</v>
      </c>
      <c r="L162" t="str">
        <f>IF(I162="UGR","UGR",_xlfn.XLOOKUP(D162,Lookup!O:O,Lookup!N:N,0))</f>
        <v>Non FG</v>
      </c>
      <c r="M162">
        <f t="shared" si="6"/>
        <v>11</v>
      </c>
    </row>
    <row r="163" spans="1:13" hidden="1" x14ac:dyDescent="0.25">
      <c r="A163" s="78">
        <v>45993</v>
      </c>
      <c r="B163" s="79" t="s">
        <v>715</v>
      </c>
      <c r="C163" s="80" t="s">
        <v>1488</v>
      </c>
      <c r="D163" s="81" t="s">
        <v>810</v>
      </c>
      <c r="E163" s="26" t="s">
        <v>811</v>
      </c>
      <c r="F163" s="82">
        <v>55000</v>
      </c>
      <c r="G163" s="83" t="s">
        <v>622</v>
      </c>
      <c r="H163" s="84">
        <v>55000</v>
      </c>
      <c r="I163" s="80" t="s">
        <v>94</v>
      </c>
      <c r="J163" s="80"/>
      <c r="K163">
        <f t="shared" si="5"/>
        <v>1</v>
      </c>
      <c r="L163" t="str">
        <f>IF(I163="UGR","UGR",_xlfn.XLOOKUP(D163,Lookup!O:O,Lookup!N:N,0))</f>
        <v>Non FG</v>
      </c>
      <c r="M163">
        <f t="shared" si="6"/>
        <v>12</v>
      </c>
    </row>
    <row r="164" spans="1:13" hidden="1" x14ac:dyDescent="0.25">
      <c r="A164" s="78">
        <v>45995</v>
      </c>
      <c r="B164" s="79" t="s">
        <v>715</v>
      </c>
      <c r="C164" s="80" t="s">
        <v>1489</v>
      </c>
      <c r="D164" s="81" t="s">
        <v>810</v>
      </c>
      <c r="E164" s="26" t="s">
        <v>811</v>
      </c>
      <c r="F164" s="82">
        <v>55000</v>
      </c>
      <c r="G164" s="83" t="s">
        <v>622</v>
      </c>
      <c r="H164" s="84">
        <v>55000</v>
      </c>
      <c r="I164" s="80" t="s">
        <v>94</v>
      </c>
      <c r="J164" s="80"/>
      <c r="K164">
        <f t="shared" si="5"/>
        <v>1</v>
      </c>
      <c r="L164" t="str">
        <f>IF(I164="UGR","UGR",_xlfn.XLOOKUP(D164,Lookup!O:O,Lookup!N:N,0))</f>
        <v>Non FG</v>
      </c>
      <c r="M164">
        <f t="shared" si="6"/>
        <v>12</v>
      </c>
    </row>
    <row r="165" spans="1:13" hidden="1" x14ac:dyDescent="0.25">
      <c r="A165" s="78">
        <v>46000</v>
      </c>
      <c r="B165" s="79" t="s">
        <v>715</v>
      </c>
      <c r="C165" s="80" t="s">
        <v>1490</v>
      </c>
      <c r="D165" s="81" t="s">
        <v>810</v>
      </c>
      <c r="E165" s="26" t="s">
        <v>811</v>
      </c>
      <c r="F165" s="82">
        <v>55000</v>
      </c>
      <c r="G165" s="83" t="s">
        <v>622</v>
      </c>
      <c r="H165" s="84">
        <v>55000</v>
      </c>
      <c r="I165" s="80" t="s">
        <v>94</v>
      </c>
      <c r="J165" s="80"/>
      <c r="K165">
        <f t="shared" si="5"/>
        <v>1</v>
      </c>
      <c r="L165" t="str">
        <f>IF(I165="UGR","UGR",_xlfn.XLOOKUP(D165,Lookup!O:O,Lookup!N:N,0))</f>
        <v>Non FG</v>
      </c>
      <c r="M165">
        <f t="shared" si="6"/>
        <v>12</v>
      </c>
    </row>
    <row r="166" spans="1:13" hidden="1" x14ac:dyDescent="0.25">
      <c r="A166" s="78">
        <v>46002</v>
      </c>
      <c r="B166" s="79" t="s">
        <v>715</v>
      </c>
      <c r="C166" s="80" t="s">
        <v>1491</v>
      </c>
      <c r="D166" s="81" t="s">
        <v>810</v>
      </c>
      <c r="E166" s="26" t="s">
        <v>811</v>
      </c>
      <c r="F166" s="82">
        <v>55000</v>
      </c>
      <c r="G166" s="83" t="s">
        <v>622</v>
      </c>
      <c r="H166" s="84">
        <v>55000</v>
      </c>
      <c r="I166" s="80" t="s">
        <v>94</v>
      </c>
      <c r="J166" s="80"/>
      <c r="K166">
        <f t="shared" si="5"/>
        <v>1</v>
      </c>
      <c r="L166" t="str">
        <f>IF(I166="UGR","UGR",_xlfn.XLOOKUP(D166,Lookup!O:O,Lookup!N:N,0))</f>
        <v>Non FG</v>
      </c>
      <c r="M166">
        <f t="shared" si="6"/>
        <v>12</v>
      </c>
    </row>
    <row r="167" spans="1:13" hidden="1" x14ac:dyDescent="0.25">
      <c r="A167" s="78">
        <v>46013</v>
      </c>
      <c r="B167" s="79" t="s">
        <v>715</v>
      </c>
      <c r="C167" s="80" t="s">
        <v>1492</v>
      </c>
      <c r="D167" s="81" t="s">
        <v>810</v>
      </c>
      <c r="E167" s="26" t="s">
        <v>811</v>
      </c>
      <c r="F167" s="82">
        <v>55000</v>
      </c>
      <c r="G167" s="83" t="s">
        <v>622</v>
      </c>
      <c r="H167" s="84">
        <v>55000</v>
      </c>
      <c r="I167" s="80" t="s">
        <v>94</v>
      </c>
      <c r="J167" s="80"/>
      <c r="K167">
        <f t="shared" si="5"/>
        <v>1</v>
      </c>
      <c r="L167" t="str">
        <f>IF(I167="UGR","UGR",_xlfn.XLOOKUP(D167,Lookup!O:O,Lookup!N:N,0))</f>
        <v>Non FG</v>
      </c>
      <c r="M167">
        <f t="shared" si="6"/>
        <v>12</v>
      </c>
    </row>
    <row r="168" spans="1:13" hidden="1" x14ac:dyDescent="0.25">
      <c r="A168" s="78">
        <v>46028</v>
      </c>
      <c r="B168" s="79" t="s">
        <v>715</v>
      </c>
      <c r="C168" s="80" t="s">
        <v>1493</v>
      </c>
      <c r="D168" s="81" t="s">
        <v>810</v>
      </c>
      <c r="E168" s="26" t="s">
        <v>811</v>
      </c>
      <c r="F168" s="82">
        <v>55000</v>
      </c>
      <c r="G168" s="83" t="s">
        <v>622</v>
      </c>
      <c r="H168" s="84">
        <v>55000</v>
      </c>
      <c r="I168" s="80" t="s">
        <v>94</v>
      </c>
      <c r="J168" s="80"/>
      <c r="K168">
        <f t="shared" si="5"/>
        <v>1</v>
      </c>
      <c r="L168" t="str">
        <f>IF(I168="UGR","UGR",_xlfn.XLOOKUP(D168,Lookup!O:O,Lookup!N:N,0))</f>
        <v>Non FG</v>
      </c>
      <c r="M168">
        <f t="shared" si="6"/>
        <v>1</v>
      </c>
    </row>
    <row r="169" spans="1:13" hidden="1" x14ac:dyDescent="0.25">
      <c r="A169" s="78">
        <v>45975</v>
      </c>
      <c r="B169" s="79" t="s">
        <v>679</v>
      </c>
      <c r="C169" s="80" t="s">
        <v>1494</v>
      </c>
      <c r="D169" s="81" t="s">
        <v>680</v>
      </c>
      <c r="E169" s="26" t="s">
        <v>681</v>
      </c>
      <c r="F169" s="82">
        <v>85000</v>
      </c>
      <c r="G169" s="83" t="s">
        <v>622</v>
      </c>
      <c r="H169" s="84">
        <v>0</v>
      </c>
      <c r="I169" s="80" t="s">
        <v>94</v>
      </c>
      <c r="J169" s="80"/>
      <c r="K169">
        <f t="shared" si="5"/>
        <v>1</v>
      </c>
      <c r="L169" t="str">
        <f>IF(I169="UGR","UGR",_xlfn.XLOOKUP(D169,Lookup!O:O,Lookup!N:N,0))</f>
        <v>Non FG</v>
      </c>
      <c r="M169">
        <f t="shared" si="6"/>
        <v>11</v>
      </c>
    </row>
    <row r="170" spans="1:13" hidden="1" x14ac:dyDescent="0.25">
      <c r="A170" s="78">
        <v>45987</v>
      </c>
      <c r="B170" s="79" t="s">
        <v>679</v>
      </c>
      <c r="C170" s="80" t="s">
        <v>1495</v>
      </c>
      <c r="D170" s="81" t="s">
        <v>680</v>
      </c>
      <c r="E170" s="26" t="s">
        <v>681</v>
      </c>
      <c r="F170" s="82">
        <v>85000</v>
      </c>
      <c r="G170" s="83" t="s">
        <v>622</v>
      </c>
      <c r="H170" s="84">
        <v>0</v>
      </c>
      <c r="I170" s="80" t="s">
        <v>94</v>
      </c>
      <c r="J170" s="80"/>
      <c r="K170">
        <f t="shared" si="5"/>
        <v>1</v>
      </c>
      <c r="L170" t="str">
        <f>IF(I170="UGR","UGR",_xlfn.XLOOKUP(D170,Lookup!O:O,Lookup!N:N,0))</f>
        <v>Non FG</v>
      </c>
      <c r="M170">
        <f t="shared" si="6"/>
        <v>11</v>
      </c>
    </row>
    <row r="171" spans="1:13" hidden="1" x14ac:dyDescent="0.25">
      <c r="A171" s="78">
        <v>45992</v>
      </c>
      <c r="B171" s="79" t="s">
        <v>679</v>
      </c>
      <c r="C171" s="80" t="s">
        <v>1496</v>
      </c>
      <c r="D171" s="81" t="s">
        <v>680</v>
      </c>
      <c r="E171" s="26" t="s">
        <v>681</v>
      </c>
      <c r="F171" s="82">
        <v>85000</v>
      </c>
      <c r="G171" s="83" t="s">
        <v>622</v>
      </c>
      <c r="H171" s="84">
        <v>0</v>
      </c>
      <c r="I171" s="80" t="s">
        <v>94</v>
      </c>
      <c r="J171" s="80"/>
      <c r="K171">
        <f t="shared" si="5"/>
        <v>1</v>
      </c>
      <c r="L171" t="str">
        <f>IF(I171="UGR","UGR",_xlfn.XLOOKUP(D171,Lookup!O:O,Lookup!N:N,0))</f>
        <v>Non FG</v>
      </c>
      <c r="M171">
        <f t="shared" si="6"/>
        <v>12</v>
      </c>
    </row>
    <row r="172" spans="1:13" hidden="1" x14ac:dyDescent="0.25">
      <c r="A172" s="78">
        <v>45995</v>
      </c>
      <c r="B172" s="79" t="s">
        <v>679</v>
      </c>
      <c r="C172" s="80" t="s">
        <v>1069</v>
      </c>
      <c r="D172" s="81" t="s">
        <v>680</v>
      </c>
      <c r="E172" s="26" t="s">
        <v>681</v>
      </c>
      <c r="F172" s="82">
        <v>85000</v>
      </c>
      <c r="G172" s="83" t="s">
        <v>622</v>
      </c>
      <c r="H172" s="84">
        <v>0</v>
      </c>
      <c r="I172" s="80" t="s">
        <v>94</v>
      </c>
      <c r="J172" s="80"/>
      <c r="K172">
        <f t="shared" si="5"/>
        <v>1</v>
      </c>
      <c r="L172" t="str">
        <f>IF(I172="UGR","UGR",_xlfn.XLOOKUP(D172,Lookup!O:O,Lookup!N:N,0))</f>
        <v>Non FG</v>
      </c>
      <c r="M172">
        <f t="shared" si="6"/>
        <v>12</v>
      </c>
    </row>
    <row r="173" spans="1:13" hidden="1" x14ac:dyDescent="0.25">
      <c r="A173" s="78">
        <v>46027</v>
      </c>
      <c r="B173" s="79" t="s">
        <v>679</v>
      </c>
      <c r="C173" s="80" t="s">
        <v>1497</v>
      </c>
      <c r="D173" s="81" t="s">
        <v>680</v>
      </c>
      <c r="E173" s="26" t="s">
        <v>681</v>
      </c>
      <c r="F173" s="82">
        <v>85000</v>
      </c>
      <c r="G173" s="83" t="s">
        <v>622</v>
      </c>
      <c r="H173" s="84">
        <v>0</v>
      </c>
      <c r="I173" s="80" t="s">
        <v>94</v>
      </c>
      <c r="J173" s="80"/>
      <c r="K173">
        <f t="shared" si="5"/>
        <v>1</v>
      </c>
      <c r="L173" t="str">
        <f>IF(I173="UGR","UGR",_xlfn.XLOOKUP(D173,Lookup!O:O,Lookup!N:N,0))</f>
        <v>Non FG</v>
      </c>
      <c r="M173">
        <f t="shared" si="6"/>
        <v>1</v>
      </c>
    </row>
    <row r="174" spans="1:13" hidden="1" x14ac:dyDescent="0.25">
      <c r="A174" s="78">
        <v>46034</v>
      </c>
      <c r="B174" s="79" t="s">
        <v>679</v>
      </c>
      <c r="C174" s="80" t="s">
        <v>1498</v>
      </c>
      <c r="D174" s="81" t="s">
        <v>680</v>
      </c>
      <c r="E174" s="26" t="s">
        <v>681</v>
      </c>
      <c r="F174" s="82">
        <v>85000</v>
      </c>
      <c r="G174" s="83" t="s">
        <v>622</v>
      </c>
      <c r="H174" s="84">
        <v>0</v>
      </c>
      <c r="I174" s="80" t="s">
        <v>94</v>
      </c>
      <c r="J174" s="80"/>
      <c r="K174">
        <f t="shared" si="5"/>
        <v>1</v>
      </c>
      <c r="L174" t="str">
        <f>IF(I174="UGR","UGR",_xlfn.XLOOKUP(D174,Lookup!O:O,Lookup!N:N,0))</f>
        <v>Non FG</v>
      </c>
      <c r="M174">
        <f t="shared" si="6"/>
        <v>1</v>
      </c>
    </row>
    <row r="175" spans="1:13" hidden="1" x14ac:dyDescent="0.25">
      <c r="A175" s="78">
        <v>45974</v>
      </c>
      <c r="B175" s="79" t="s">
        <v>679</v>
      </c>
      <c r="C175" s="80" t="s">
        <v>1499</v>
      </c>
      <c r="D175" s="81" t="s">
        <v>718</v>
      </c>
      <c r="E175" s="26" t="s">
        <v>719</v>
      </c>
      <c r="F175" s="82">
        <v>85000</v>
      </c>
      <c r="G175" s="83" t="s">
        <v>622</v>
      </c>
      <c r="H175" s="84">
        <v>0</v>
      </c>
      <c r="I175" s="80" t="s">
        <v>94</v>
      </c>
      <c r="J175" s="80"/>
      <c r="K175">
        <f t="shared" si="5"/>
        <v>1</v>
      </c>
      <c r="L175" t="str">
        <f>IF(I175="UGR","UGR",_xlfn.XLOOKUP(D175,Lookup!O:O,Lookup!N:N,0))</f>
        <v>Non FG</v>
      </c>
      <c r="M175">
        <f t="shared" si="6"/>
        <v>11</v>
      </c>
    </row>
    <row r="176" spans="1:13" hidden="1" x14ac:dyDescent="0.25">
      <c r="A176" s="78">
        <v>45979</v>
      </c>
      <c r="B176" s="79" t="s">
        <v>679</v>
      </c>
      <c r="C176" s="80" t="s">
        <v>1500</v>
      </c>
      <c r="D176" s="81" t="s">
        <v>718</v>
      </c>
      <c r="E176" s="26" t="s">
        <v>719</v>
      </c>
      <c r="F176" s="82">
        <v>85000</v>
      </c>
      <c r="G176" s="83" t="s">
        <v>622</v>
      </c>
      <c r="H176" s="84">
        <v>0</v>
      </c>
      <c r="I176" s="80" t="s">
        <v>94</v>
      </c>
      <c r="J176" s="80"/>
      <c r="K176">
        <f t="shared" si="5"/>
        <v>1</v>
      </c>
      <c r="L176" t="str">
        <f>IF(I176="UGR","UGR",_xlfn.XLOOKUP(D176,Lookup!O:O,Lookup!N:N,0))</f>
        <v>Non FG</v>
      </c>
      <c r="M176">
        <f t="shared" si="6"/>
        <v>11</v>
      </c>
    </row>
    <row r="177" spans="1:13" hidden="1" x14ac:dyDescent="0.25">
      <c r="A177" s="78">
        <v>45981</v>
      </c>
      <c r="B177" s="79" t="s">
        <v>679</v>
      </c>
      <c r="C177" s="80" t="s">
        <v>1129</v>
      </c>
      <c r="D177" s="81" t="s">
        <v>718</v>
      </c>
      <c r="E177" s="26" t="s">
        <v>719</v>
      </c>
      <c r="F177" s="82">
        <v>85000</v>
      </c>
      <c r="G177" s="83" t="s">
        <v>622</v>
      </c>
      <c r="H177" s="84">
        <v>0</v>
      </c>
      <c r="I177" s="80" t="s">
        <v>94</v>
      </c>
      <c r="J177" s="80"/>
      <c r="K177">
        <f t="shared" si="5"/>
        <v>1</v>
      </c>
      <c r="L177" t="str">
        <f>IF(I177="UGR","UGR",_xlfn.XLOOKUP(D177,Lookup!O:O,Lookup!N:N,0))</f>
        <v>Non FG</v>
      </c>
      <c r="M177">
        <f t="shared" si="6"/>
        <v>11</v>
      </c>
    </row>
    <row r="178" spans="1:13" hidden="1" x14ac:dyDescent="0.25">
      <c r="A178" s="78">
        <v>45994</v>
      </c>
      <c r="B178" s="79" t="s">
        <v>679</v>
      </c>
      <c r="C178" s="80" t="s">
        <v>1501</v>
      </c>
      <c r="D178" s="81" t="s">
        <v>718</v>
      </c>
      <c r="E178" s="26" t="s">
        <v>719</v>
      </c>
      <c r="F178" s="82">
        <v>85000</v>
      </c>
      <c r="G178" s="83" t="s">
        <v>622</v>
      </c>
      <c r="H178" s="84">
        <v>0</v>
      </c>
      <c r="I178" s="80" t="s">
        <v>94</v>
      </c>
      <c r="J178" s="80"/>
      <c r="K178">
        <f t="shared" si="5"/>
        <v>1</v>
      </c>
      <c r="L178" t="str">
        <f>IF(I178="UGR","UGR",_xlfn.XLOOKUP(D178,Lookup!O:O,Lookup!N:N,0))</f>
        <v>Non FG</v>
      </c>
      <c r="M178">
        <f t="shared" si="6"/>
        <v>12</v>
      </c>
    </row>
    <row r="179" spans="1:13" hidden="1" x14ac:dyDescent="0.25">
      <c r="A179" s="78">
        <v>46029</v>
      </c>
      <c r="B179" s="79" t="s">
        <v>679</v>
      </c>
      <c r="C179" s="80" t="s">
        <v>1502</v>
      </c>
      <c r="D179" s="81" t="s">
        <v>718</v>
      </c>
      <c r="E179" s="26" t="s">
        <v>719</v>
      </c>
      <c r="F179" s="82">
        <v>85000</v>
      </c>
      <c r="G179" s="83" t="s">
        <v>622</v>
      </c>
      <c r="H179" s="84">
        <v>0</v>
      </c>
      <c r="I179" s="80" t="s">
        <v>94</v>
      </c>
      <c r="J179" s="80"/>
      <c r="K179">
        <f t="shared" si="5"/>
        <v>1</v>
      </c>
      <c r="L179" t="str">
        <f>IF(I179="UGR","UGR",_xlfn.XLOOKUP(D179,Lookup!O:O,Lookup!N:N,0))</f>
        <v>Non FG</v>
      </c>
      <c r="M179">
        <f t="shared" si="6"/>
        <v>1</v>
      </c>
    </row>
    <row r="180" spans="1:13" hidden="1" x14ac:dyDescent="0.25">
      <c r="A180" s="78">
        <v>45995</v>
      </c>
      <c r="B180" s="79" t="s">
        <v>682</v>
      </c>
      <c r="C180" s="80" t="s">
        <v>1503</v>
      </c>
      <c r="D180" s="81" t="s">
        <v>753</v>
      </c>
      <c r="E180" s="26" t="s">
        <v>754</v>
      </c>
      <c r="F180" s="82">
        <v>29000</v>
      </c>
      <c r="G180" s="83" t="s">
        <v>622</v>
      </c>
      <c r="H180" s="84">
        <v>28999.999999999996</v>
      </c>
      <c r="I180" s="80" t="s">
        <v>94</v>
      </c>
      <c r="J180" s="80"/>
      <c r="K180">
        <f t="shared" si="5"/>
        <v>1</v>
      </c>
      <c r="L180" t="str">
        <f>IF(I180="UGR","UGR",_xlfn.XLOOKUP(D180,Lookup!O:O,Lookup!N:N,0))</f>
        <v>Non FG</v>
      </c>
      <c r="M180">
        <f t="shared" si="6"/>
        <v>12</v>
      </c>
    </row>
    <row r="181" spans="1:13" hidden="1" x14ac:dyDescent="0.25">
      <c r="A181" s="78">
        <v>46008</v>
      </c>
      <c r="B181" s="79" t="s">
        <v>682</v>
      </c>
      <c r="C181" s="80" t="s">
        <v>1504</v>
      </c>
      <c r="D181" s="81" t="s">
        <v>753</v>
      </c>
      <c r="E181" s="26" t="s">
        <v>754</v>
      </c>
      <c r="F181" s="82">
        <v>29000</v>
      </c>
      <c r="G181" s="83" t="s">
        <v>622</v>
      </c>
      <c r="H181" s="84">
        <v>28999.999999999996</v>
      </c>
      <c r="I181" s="80" t="s">
        <v>94</v>
      </c>
      <c r="J181" s="80"/>
      <c r="K181">
        <f t="shared" si="5"/>
        <v>1</v>
      </c>
      <c r="L181" t="str">
        <f>IF(I181="UGR","UGR",_xlfn.XLOOKUP(D181,Lookup!O:O,Lookup!N:N,0))</f>
        <v>Non FG</v>
      </c>
      <c r="M181">
        <f t="shared" si="6"/>
        <v>12</v>
      </c>
    </row>
    <row r="182" spans="1:13" hidden="1" x14ac:dyDescent="0.25">
      <c r="A182" s="78">
        <v>45992</v>
      </c>
      <c r="B182" s="79" t="s">
        <v>682</v>
      </c>
      <c r="C182" s="80" t="s">
        <v>1505</v>
      </c>
      <c r="D182" s="81" t="s">
        <v>738</v>
      </c>
      <c r="E182" s="26" t="s">
        <v>739</v>
      </c>
      <c r="F182" s="82">
        <v>28000</v>
      </c>
      <c r="G182" s="83" t="s">
        <v>622</v>
      </c>
      <c r="H182" s="84">
        <v>28000</v>
      </c>
      <c r="I182" s="80" t="s">
        <v>94</v>
      </c>
      <c r="J182" s="80"/>
      <c r="K182">
        <f t="shared" si="5"/>
        <v>1</v>
      </c>
      <c r="L182" t="str">
        <f>IF(I182="UGR","UGR",_xlfn.XLOOKUP(D182,Lookup!O:O,Lookup!N:N,0))</f>
        <v>Non FG</v>
      </c>
      <c r="M182">
        <f t="shared" si="6"/>
        <v>12</v>
      </c>
    </row>
    <row r="183" spans="1:13" hidden="1" x14ac:dyDescent="0.25">
      <c r="A183" s="78">
        <v>46002</v>
      </c>
      <c r="B183" s="79" t="s">
        <v>682</v>
      </c>
      <c r="C183" s="80" t="s">
        <v>1506</v>
      </c>
      <c r="D183" s="81" t="s">
        <v>738</v>
      </c>
      <c r="E183" s="26" t="s">
        <v>739</v>
      </c>
      <c r="F183" s="82">
        <v>28000</v>
      </c>
      <c r="G183" s="83" t="s">
        <v>622</v>
      </c>
      <c r="H183" s="84">
        <v>28000</v>
      </c>
      <c r="I183" s="80" t="s">
        <v>94</v>
      </c>
      <c r="J183" s="80"/>
      <c r="K183">
        <f t="shared" si="5"/>
        <v>1</v>
      </c>
      <c r="L183" t="str">
        <f>IF(I183="UGR","UGR",_xlfn.XLOOKUP(D183,Lookup!O:O,Lookup!N:N,0))</f>
        <v>Non FG</v>
      </c>
      <c r="M183">
        <f t="shared" si="6"/>
        <v>12</v>
      </c>
    </row>
    <row r="184" spans="1:13" hidden="1" x14ac:dyDescent="0.25">
      <c r="A184" s="78">
        <v>46027</v>
      </c>
      <c r="B184" s="79" t="s">
        <v>682</v>
      </c>
      <c r="C184" s="80" t="s">
        <v>1507</v>
      </c>
      <c r="D184" s="81" t="s">
        <v>738</v>
      </c>
      <c r="E184" s="26" t="s">
        <v>739</v>
      </c>
      <c r="F184" s="82">
        <v>28000</v>
      </c>
      <c r="G184" s="83" t="s">
        <v>622</v>
      </c>
      <c r="H184" s="84">
        <v>28000</v>
      </c>
      <c r="I184" s="80" t="s">
        <v>94</v>
      </c>
      <c r="J184" s="80"/>
      <c r="K184">
        <f t="shared" si="5"/>
        <v>1</v>
      </c>
      <c r="L184" t="str">
        <f>IF(I184="UGR","UGR",_xlfn.XLOOKUP(D184,Lookup!O:O,Lookup!N:N,0))</f>
        <v>Non FG</v>
      </c>
      <c r="M184">
        <f t="shared" si="6"/>
        <v>1</v>
      </c>
    </row>
    <row r="185" spans="1:13" hidden="1" x14ac:dyDescent="0.25">
      <c r="A185" s="78">
        <v>45973</v>
      </c>
      <c r="B185" s="79" t="s">
        <v>682</v>
      </c>
      <c r="C185" s="80" t="s">
        <v>1283</v>
      </c>
      <c r="D185" s="81" t="s">
        <v>720</v>
      </c>
      <c r="E185" s="26" t="s">
        <v>721</v>
      </c>
      <c r="F185" s="82">
        <v>24000</v>
      </c>
      <c r="G185" s="83" t="s">
        <v>622</v>
      </c>
      <c r="H185" s="84">
        <v>24000</v>
      </c>
      <c r="I185" s="80" t="s">
        <v>94</v>
      </c>
      <c r="J185" s="80"/>
      <c r="K185">
        <f t="shared" si="5"/>
        <v>1</v>
      </c>
      <c r="L185" t="str">
        <f>IF(I185="UGR","UGR",_xlfn.XLOOKUP(D185,Lookup!O:O,Lookup!N:N,0))</f>
        <v>Non FG</v>
      </c>
      <c r="M185">
        <f t="shared" si="6"/>
        <v>11</v>
      </c>
    </row>
    <row r="186" spans="1:13" hidden="1" x14ac:dyDescent="0.25">
      <c r="A186" s="78">
        <v>45974</v>
      </c>
      <c r="B186" s="79" t="s">
        <v>682</v>
      </c>
      <c r="C186" s="80" t="s">
        <v>1300</v>
      </c>
      <c r="D186" s="81" t="s">
        <v>720</v>
      </c>
      <c r="E186" s="26" t="s">
        <v>721</v>
      </c>
      <c r="F186" s="82">
        <v>10000</v>
      </c>
      <c r="G186" s="83" t="s">
        <v>622</v>
      </c>
      <c r="H186" s="84">
        <v>10000</v>
      </c>
      <c r="I186" s="80" t="s">
        <v>94</v>
      </c>
      <c r="J186" s="80"/>
      <c r="K186">
        <f t="shared" si="5"/>
        <v>1</v>
      </c>
      <c r="L186" t="str">
        <f>IF(I186="UGR","UGR",_xlfn.XLOOKUP(D186,Lookup!O:O,Lookup!N:N,0))</f>
        <v>Non FG</v>
      </c>
      <c r="M186">
        <f t="shared" si="6"/>
        <v>11</v>
      </c>
    </row>
    <row r="187" spans="1:13" hidden="1" x14ac:dyDescent="0.25">
      <c r="A187" s="78">
        <v>45978</v>
      </c>
      <c r="B187" s="79" t="s">
        <v>682</v>
      </c>
      <c r="C187" s="80" t="s">
        <v>1508</v>
      </c>
      <c r="D187" s="81" t="s">
        <v>683</v>
      </c>
      <c r="E187" s="26" t="s">
        <v>684</v>
      </c>
      <c r="F187" s="82">
        <v>30000</v>
      </c>
      <c r="G187" s="83" t="s">
        <v>622</v>
      </c>
      <c r="H187" s="84">
        <v>30000</v>
      </c>
      <c r="I187" s="80" t="s">
        <v>94</v>
      </c>
      <c r="J187" s="80"/>
      <c r="K187">
        <f t="shared" si="5"/>
        <v>1</v>
      </c>
      <c r="L187" t="str">
        <f>IF(I187="UGR","UGR",_xlfn.XLOOKUP(D187,Lookup!O:O,Lookup!N:N,0))</f>
        <v>Non FG</v>
      </c>
      <c r="M187">
        <f t="shared" si="6"/>
        <v>11</v>
      </c>
    </row>
    <row r="188" spans="1:13" hidden="1" x14ac:dyDescent="0.25">
      <c r="A188" s="78">
        <v>45987</v>
      </c>
      <c r="B188" s="79" t="s">
        <v>682</v>
      </c>
      <c r="C188" s="80" t="s">
        <v>1509</v>
      </c>
      <c r="D188" s="81" t="s">
        <v>683</v>
      </c>
      <c r="E188" s="26" t="s">
        <v>684</v>
      </c>
      <c r="F188" s="82">
        <v>30000</v>
      </c>
      <c r="G188" s="83" t="s">
        <v>622</v>
      </c>
      <c r="H188" s="84">
        <v>30000</v>
      </c>
      <c r="I188" s="80" t="s">
        <v>94</v>
      </c>
      <c r="J188" s="80"/>
      <c r="K188">
        <f t="shared" si="5"/>
        <v>1</v>
      </c>
      <c r="L188" t="str">
        <f>IF(I188="UGR","UGR",_xlfn.XLOOKUP(D188,Lookup!O:O,Lookup!N:N,0))</f>
        <v>Non FG</v>
      </c>
      <c r="M188">
        <f t="shared" si="6"/>
        <v>11</v>
      </c>
    </row>
    <row r="189" spans="1:13" hidden="1" x14ac:dyDescent="0.25">
      <c r="A189" s="78">
        <v>46001</v>
      </c>
      <c r="B189" s="79" t="s">
        <v>682</v>
      </c>
      <c r="C189" s="80" t="s">
        <v>1510</v>
      </c>
      <c r="D189" s="81" t="s">
        <v>683</v>
      </c>
      <c r="E189" s="26" t="s">
        <v>684</v>
      </c>
      <c r="F189" s="82">
        <v>30000</v>
      </c>
      <c r="G189" s="83" t="s">
        <v>622</v>
      </c>
      <c r="H189" s="84">
        <v>30000</v>
      </c>
      <c r="I189" s="80" t="s">
        <v>94</v>
      </c>
      <c r="J189" s="80"/>
      <c r="K189">
        <f t="shared" si="5"/>
        <v>1</v>
      </c>
      <c r="L189" t="str">
        <f>IF(I189="UGR","UGR",_xlfn.XLOOKUP(D189,Lookup!O:O,Lookup!N:N,0))</f>
        <v>Non FG</v>
      </c>
      <c r="M189">
        <f t="shared" si="6"/>
        <v>12</v>
      </c>
    </row>
    <row r="190" spans="1:13" hidden="1" x14ac:dyDescent="0.25">
      <c r="A190" s="78">
        <v>46028</v>
      </c>
      <c r="B190" s="79" t="s">
        <v>682</v>
      </c>
      <c r="C190" s="80" t="s">
        <v>1511</v>
      </c>
      <c r="D190" s="81" t="s">
        <v>683</v>
      </c>
      <c r="E190" s="26" t="s">
        <v>684</v>
      </c>
      <c r="F190" s="82">
        <v>30000</v>
      </c>
      <c r="G190" s="83" t="s">
        <v>622</v>
      </c>
      <c r="H190" s="84">
        <v>30000</v>
      </c>
      <c r="I190" s="80" t="s">
        <v>94</v>
      </c>
      <c r="J190" s="80"/>
      <c r="K190">
        <f t="shared" si="5"/>
        <v>1</v>
      </c>
      <c r="L190" t="str">
        <f>IF(I190="UGR","UGR",_xlfn.XLOOKUP(D190,Lookup!O:O,Lookup!N:N,0))</f>
        <v>Non FG</v>
      </c>
      <c r="M190">
        <f t="shared" si="6"/>
        <v>1</v>
      </c>
    </row>
    <row r="191" spans="1:13" hidden="1" x14ac:dyDescent="0.25">
      <c r="A191" s="78">
        <v>45980</v>
      </c>
      <c r="B191" s="79" t="s">
        <v>682</v>
      </c>
      <c r="C191" s="80" t="s">
        <v>1512</v>
      </c>
      <c r="D191" s="81" t="s">
        <v>767</v>
      </c>
      <c r="E191" s="26" t="s">
        <v>768</v>
      </c>
      <c r="F191" s="82">
        <v>27000</v>
      </c>
      <c r="G191" s="83" t="s">
        <v>622</v>
      </c>
      <c r="H191" s="84">
        <v>0</v>
      </c>
      <c r="I191" s="80" t="s">
        <v>94</v>
      </c>
      <c r="J191" s="80"/>
      <c r="K191">
        <f t="shared" si="5"/>
        <v>1</v>
      </c>
      <c r="L191" t="str">
        <f>IF(I191="UGR","UGR",_xlfn.XLOOKUP(D191,Lookup!O:O,Lookup!N:N,0))</f>
        <v>Non FG</v>
      </c>
      <c r="M191">
        <f t="shared" si="6"/>
        <v>11</v>
      </c>
    </row>
    <row r="192" spans="1:13" hidden="1" x14ac:dyDescent="0.25">
      <c r="A192" s="78">
        <v>45994</v>
      </c>
      <c r="B192" s="79" t="s">
        <v>682</v>
      </c>
      <c r="C192" s="80" t="s">
        <v>1513</v>
      </c>
      <c r="D192" s="81" t="s">
        <v>767</v>
      </c>
      <c r="E192" s="26" t="s">
        <v>768</v>
      </c>
      <c r="F192" s="82">
        <v>27000</v>
      </c>
      <c r="G192" s="83" t="s">
        <v>622</v>
      </c>
      <c r="H192" s="84">
        <v>0</v>
      </c>
      <c r="I192" s="80" t="s">
        <v>94</v>
      </c>
      <c r="J192" s="80"/>
      <c r="K192">
        <f t="shared" si="5"/>
        <v>1</v>
      </c>
      <c r="L192" t="str">
        <f>IF(I192="UGR","UGR",_xlfn.XLOOKUP(D192,Lookup!O:O,Lookup!N:N,0))</f>
        <v>Non FG</v>
      </c>
      <c r="M192">
        <f t="shared" si="6"/>
        <v>12</v>
      </c>
    </row>
    <row r="193" spans="1:13" hidden="1" x14ac:dyDescent="0.25">
      <c r="A193" s="78">
        <v>46007</v>
      </c>
      <c r="B193" s="79" t="s">
        <v>682</v>
      </c>
      <c r="C193" s="80" t="s">
        <v>1514</v>
      </c>
      <c r="D193" s="81" t="s">
        <v>767</v>
      </c>
      <c r="E193" s="26" t="s">
        <v>768</v>
      </c>
      <c r="F193" s="82">
        <v>27000</v>
      </c>
      <c r="G193" s="83" t="s">
        <v>622</v>
      </c>
      <c r="H193" s="84">
        <v>0</v>
      </c>
      <c r="I193" s="80" t="s">
        <v>94</v>
      </c>
      <c r="J193" s="80"/>
      <c r="K193">
        <f t="shared" si="5"/>
        <v>1</v>
      </c>
      <c r="L193" t="str">
        <f>IF(I193="UGR","UGR",_xlfn.XLOOKUP(D193,Lookup!O:O,Lookup!N:N,0))</f>
        <v>Non FG</v>
      </c>
      <c r="M193">
        <f t="shared" si="6"/>
        <v>12</v>
      </c>
    </row>
    <row r="194" spans="1:13" hidden="1" x14ac:dyDescent="0.25">
      <c r="A194" s="78">
        <v>46014</v>
      </c>
      <c r="B194" s="79" t="s">
        <v>682</v>
      </c>
      <c r="C194" s="80" t="s">
        <v>1515</v>
      </c>
      <c r="D194" s="81" t="s">
        <v>767</v>
      </c>
      <c r="E194" s="26" t="s">
        <v>768</v>
      </c>
      <c r="F194" s="82">
        <v>27000</v>
      </c>
      <c r="G194" s="83" t="s">
        <v>622</v>
      </c>
      <c r="H194" s="84">
        <v>0</v>
      </c>
      <c r="I194" s="80" t="s">
        <v>94</v>
      </c>
      <c r="J194" s="80"/>
      <c r="K194">
        <f t="shared" si="5"/>
        <v>1</v>
      </c>
      <c r="L194" t="str">
        <f>IF(I194="UGR","UGR",_xlfn.XLOOKUP(D194,Lookup!O:O,Lookup!N:N,0))</f>
        <v>Non FG</v>
      </c>
      <c r="M194">
        <f t="shared" si="6"/>
        <v>12</v>
      </c>
    </row>
    <row r="195" spans="1:13" hidden="1" x14ac:dyDescent="0.25">
      <c r="A195" s="78">
        <v>45971</v>
      </c>
      <c r="B195" s="79" t="s">
        <v>682</v>
      </c>
      <c r="C195" s="80" t="s">
        <v>1226</v>
      </c>
      <c r="D195" s="81" t="s">
        <v>769</v>
      </c>
      <c r="E195" s="26" t="s">
        <v>770</v>
      </c>
      <c r="F195" s="82">
        <v>27000</v>
      </c>
      <c r="G195" s="83" t="s">
        <v>622</v>
      </c>
      <c r="H195" s="84">
        <v>0</v>
      </c>
      <c r="I195" s="80" t="s">
        <v>94</v>
      </c>
      <c r="J195" s="80"/>
      <c r="K195">
        <f t="shared" ref="K195:K258" si="7">IF(AND(B195=B194,C195=C194),0,1)</f>
        <v>1</v>
      </c>
      <c r="L195" t="str">
        <f>IF(I195="UGR","UGR",_xlfn.XLOOKUP(D195,Lookup!O:O,Lookup!N:N,0))</f>
        <v>Non FG</v>
      </c>
      <c r="M195">
        <f t="shared" ref="M195:M258" si="8">MONTH(A195)</f>
        <v>11</v>
      </c>
    </row>
    <row r="196" spans="1:13" hidden="1" x14ac:dyDescent="0.25">
      <c r="A196" s="78">
        <v>45985</v>
      </c>
      <c r="B196" s="79" t="s">
        <v>682</v>
      </c>
      <c r="C196" s="80" t="s">
        <v>1516</v>
      </c>
      <c r="D196" s="81" t="s">
        <v>769</v>
      </c>
      <c r="E196" s="26" t="s">
        <v>770</v>
      </c>
      <c r="F196" s="82">
        <v>27000</v>
      </c>
      <c r="G196" s="83" t="s">
        <v>622</v>
      </c>
      <c r="H196" s="84">
        <v>0</v>
      </c>
      <c r="I196" s="80" t="s">
        <v>94</v>
      </c>
      <c r="J196" s="80"/>
      <c r="K196">
        <f t="shared" si="7"/>
        <v>1</v>
      </c>
      <c r="L196" t="str">
        <f>IF(I196="UGR","UGR",_xlfn.XLOOKUP(D196,Lookup!O:O,Lookup!N:N,0))</f>
        <v>Non FG</v>
      </c>
      <c r="M196">
        <f t="shared" si="8"/>
        <v>11</v>
      </c>
    </row>
    <row r="197" spans="1:13" hidden="1" x14ac:dyDescent="0.25">
      <c r="A197" s="78">
        <v>45999</v>
      </c>
      <c r="B197" s="79" t="s">
        <v>682</v>
      </c>
      <c r="C197" s="80" t="s">
        <v>1517</v>
      </c>
      <c r="D197" s="81" t="s">
        <v>769</v>
      </c>
      <c r="E197" s="26" t="s">
        <v>770</v>
      </c>
      <c r="F197" s="82">
        <v>27000</v>
      </c>
      <c r="G197" s="83" t="s">
        <v>622</v>
      </c>
      <c r="H197" s="84">
        <v>0</v>
      </c>
      <c r="I197" s="80" t="s">
        <v>94</v>
      </c>
      <c r="J197" s="80"/>
      <c r="K197">
        <f t="shared" si="7"/>
        <v>1</v>
      </c>
      <c r="L197" t="str">
        <f>IF(I197="UGR","UGR",_xlfn.XLOOKUP(D197,Lookup!O:O,Lookup!N:N,0))</f>
        <v>Non FG</v>
      </c>
      <c r="M197">
        <f t="shared" si="8"/>
        <v>12</v>
      </c>
    </row>
    <row r="198" spans="1:13" hidden="1" x14ac:dyDescent="0.25">
      <c r="A198" s="78">
        <v>46009</v>
      </c>
      <c r="B198" s="79" t="s">
        <v>682</v>
      </c>
      <c r="C198" s="80" t="s">
        <v>1518</v>
      </c>
      <c r="D198" s="81" t="s">
        <v>769</v>
      </c>
      <c r="E198" s="26" t="s">
        <v>770</v>
      </c>
      <c r="F198" s="82">
        <v>27000</v>
      </c>
      <c r="G198" s="83" t="s">
        <v>622</v>
      </c>
      <c r="H198" s="84">
        <v>0</v>
      </c>
      <c r="I198" s="80" t="s">
        <v>94</v>
      </c>
      <c r="J198" s="80"/>
      <c r="K198">
        <f t="shared" si="7"/>
        <v>1</v>
      </c>
      <c r="L198" t="str">
        <f>IF(I198="UGR","UGR",_xlfn.XLOOKUP(D198,Lookup!O:O,Lookup!N:N,0))</f>
        <v>Non FG</v>
      </c>
      <c r="M198">
        <f t="shared" si="8"/>
        <v>12</v>
      </c>
    </row>
    <row r="199" spans="1:13" hidden="1" x14ac:dyDescent="0.25">
      <c r="A199" s="78">
        <v>45980</v>
      </c>
      <c r="B199" s="79" t="s">
        <v>685</v>
      </c>
      <c r="C199" s="80" t="s">
        <v>1358</v>
      </c>
      <c r="D199" s="81" t="s">
        <v>722</v>
      </c>
      <c r="E199" s="26" t="s">
        <v>723</v>
      </c>
      <c r="F199" s="82">
        <v>40000</v>
      </c>
      <c r="G199" s="83" t="s">
        <v>622</v>
      </c>
      <c r="H199" s="84">
        <v>40000</v>
      </c>
      <c r="I199" s="80" t="s">
        <v>94</v>
      </c>
      <c r="J199" s="80"/>
      <c r="K199">
        <f t="shared" si="7"/>
        <v>1</v>
      </c>
      <c r="L199" t="str">
        <f>IF(I199="UGR","UGR",_xlfn.XLOOKUP(D199,Lookup!O:O,Lookup!N:N,0))</f>
        <v>Non FG</v>
      </c>
      <c r="M199">
        <f t="shared" si="8"/>
        <v>11</v>
      </c>
    </row>
    <row r="200" spans="1:13" hidden="1" x14ac:dyDescent="0.25">
      <c r="A200" s="78">
        <v>45982</v>
      </c>
      <c r="B200" s="79" t="s">
        <v>685</v>
      </c>
      <c r="C200" s="80" t="s">
        <v>1519</v>
      </c>
      <c r="D200" s="81" t="s">
        <v>722</v>
      </c>
      <c r="E200" s="26" t="s">
        <v>723</v>
      </c>
      <c r="F200" s="82">
        <v>40000</v>
      </c>
      <c r="G200" s="83" t="s">
        <v>622</v>
      </c>
      <c r="H200" s="84">
        <v>40000</v>
      </c>
      <c r="I200" s="80" t="s">
        <v>94</v>
      </c>
      <c r="J200" s="80"/>
      <c r="K200">
        <f t="shared" si="7"/>
        <v>1</v>
      </c>
      <c r="L200" t="str">
        <f>IF(I200="UGR","UGR",_xlfn.XLOOKUP(D200,Lookup!O:O,Lookup!N:N,0))</f>
        <v>Non FG</v>
      </c>
      <c r="M200">
        <f t="shared" si="8"/>
        <v>11</v>
      </c>
    </row>
    <row r="201" spans="1:13" hidden="1" x14ac:dyDescent="0.25">
      <c r="A201" s="78">
        <v>46034</v>
      </c>
      <c r="B201" s="79" t="s">
        <v>685</v>
      </c>
      <c r="C201" s="80" t="s">
        <v>1520</v>
      </c>
      <c r="D201" s="81" t="s">
        <v>722</v>
      </c>
      <c r="E201" s="26" t="s">
        <v>723</v>
      </c>
      <c r="F201" s="82">
        <v>40000</v>
      </c>
      <c r="G201" s="83" t="s">
        <v>622</v>
      </c>
      <c r="H201" s="84">
        <v>40000</v>
      </c>
      <c r="I201" s="80" t="s">
        <v>94</v>
      </c>
      <c r="J201" s="80"/>
      <c r="K201">
        <f t="shared" si="7"/>
        <v>1</v>
      </c>
      <c r="L201" t="str">
        <f>IF(I201="UGR","UGR",_xlfn.XLOOKUP(D201,Lookup!O:O,Lookup!N:N,0))</f>
        <v>Non FG</v>
      </c>
      <c r="M201">
        <f t="shared" si="8"/>
        <v>1</v>
      </c>
    </row>
    <row r="202" spans="1:13" hidden="1" x14ac:dyDescent="0.25">
      <c r="A202" s="78">
        <v>45978</v>
      </c>
      <c r="B202" s="79" t="s">
        <v>685</v>
      </c>
      <c r="C202" s="80" t="s">
        <v>1344</v>
      </c>
      <c r="D202" s="81" t="s">
        <v>686</v>
      </c>
      <c r="E202" s="26" t="s">
        <v>687</v>
      </c>
      <c r="F202" s="82">
        <v>40000</v>
      </c>
      <c r="G202" s="83" t="s">
        <v>622</v>
      </c>
      <c r="H202" s="84">
        <v>40000</v>
      </c>
      <c r="I202" s="80" t="s">
        <v>94</v>
      </c>
      <c r="J202" s="80"/>
      <c r="K202">
        <f t="shared" si="7"/>
        <v>1</v>
      </c>
      <c r="L202" t="str">
        <f>IF(I202="UGR","UGR",_xlfn.XLOOKUP(D202,Lookup!O:O,Lookup!N:N,0))</f>
        <v>Non FG</v>
      </c>
      <c r="M202">
        <f t="shared" si="8"/>
        <v>11</v>
      </c>
    </row>
    <row r="203" spans="1:13" hidden="1" x14ac:dyDescent="0.25">
      <c r="A203" s="78">
        <v>45979</v>
      </c>
      <c r="B203" s="79" t="s">
        <v>685</v>
      </c>
      <c r="C203" s="80" t="s">
        <v>1521</v>
      </c>
      <c r="D203" s="81" t="s">
        <v>686</v>
      </c>
      <c r="E203" s="26" t="s">
        <v>687</v>
      </c>
      <c r="F203" s="82">
        <v>40000</v>
      </c>
      <c r="G203" s="83" t="s">
        <v>622</v>
      </c>
      <c r="H203" s="84">
        <v>40000</v>
      </c>
      <c r="I203" s="80" t="s">
        <v>94</v>
      </c>
      <c r="J203" s="80"/>
      <c r="K203">
        <f t="shared" si="7"/>
        <v>1</v>
      </c>
      <c r="L203" t="str">
        <f>IF(I203="UGR","UGR",_xlfn.XLOOKUP(D203,Lookup!O:O,Lookup!N:N,0))</f>
        <v>Non FG</v>
      </c>
      <c r="M203">
        <f t="shared" si="8"/>
        <v>11</v>
      </c>
    </row>
    <row r="204" spans="1:13" hidden="1" x14ac:dyDescent="0.25">
      <c r="A204" s="78">
        <v>45985</v>
      </c>
      <c r="B204" s="79" t="s">
        <v>685</v>
      </c>
      <c r="C204" s="80" t="s">
        <v>1076</v>
      </c>
      <c r="D204" s="81" t="s">
        <v>686</v>
      </c>
      <c r="E204" s="26" t="s">
        <v>687</v>
      </c>
      <c r="F204" s="82">
        <v>40000</v>
      </c>
      <c r="G204" s="83" t="s">
        <v>622</v>
      </c>
      <c r="H204" s="84">
        <v>40000</v>
      </c>
      <c r="I204" s="80" t="s">
        <v>94</v>
      </c>
      <c r="J204" s="80"/>
      <c r="K204">
        <f t="shared" si="7"/>
        <v>1</v>
      </c>
      <c r="L204" t="str">
        <f>IF(I204="UGR","UGR",_xlfn.XLOOKUP(D204,Lookup!O:O,Lookup!N:N,0))</f>
        <v>Non FG</v>
      </c>
      <c r="M204">
        <f t="shared" si="8"/>
        <v>11</v>
      </c>
    </row>
    <row r="205" spans="1:13" hidden="1" x14ac:dyDescent="0.25">
      <c r="A205" s="78">
        <v>46035</v>
      </c>
      <c r="B205" s="79" t="s">
        <v>685</v>
      </c>
      <c r="C205" s="80" t="s">
        <v>1522</v>
      </c>
      <c r="D205" s="81" t="s">
        <v>686</v>
      </c>
      <c r="E205" s="26" t="s">
        <v>687</v>
      </c>
      <c r="F205" s="82">
        <v>40000</v>
      </c>
      <c r="G205" s="83" t="s">
        <v>622</v>
      </c>
      <c r="H205" s="84">
        <v>40000</v>
      </c>
      <c r="I205" s="80" t="s">
        <v>94</v>
      </c>
      <c r="J205" s="80"/>
      <c r="K205">
        <f t="shared" si="7"/>
        <v>1</v>
      </c>
      <c r="L205" t="str">
        <f>IF(I205="UGR","UGR",_xlfn.XLOOKUP(D205,Lookup!O:O,Lookup!N:N,0))</f>
        <v>Non FG</v>
      </c>
      <c r="M205">
        <f t="shared" si="8"/>
        <v>1</v>
      </c>
    </row>
    <row r="206" spans="1:13" hidden="1" x14ac:dyDescent="0.25">
      <c r="A206" s="78">
        <v>45981</v>
      </c>
      <c r="B206" s="79" t="s">
        <v>685</v>
      </c>
      <c r="C206" s="80" t="s">
        <v>1370</v>
      </c>
      <c r="D206" s="81" t="s">
        <v>740</v>
      </c>
      <c r="E206" s="26" t="s">
        <v>741</v>
      </c>
      <c r="F206" s="82">
        <v>40000</v>
      </c>
      <c r="G206" s="83" t="s">
        <v>622</v>
      </c>
      <c r="H206" s="84">
        <v>40000</v>
      </c>
      <c r="I206" s="80" t="s">
        <v>94</v>
      </c>
      <c r="J206" s="80"/>
      <c r="K206">
        <f t="shared" si="7"/>
        <v>1</v>
      </c>
      <c r="L206" t="str">
        <f>IF(I206="UGR","UGR",_xlfn.XLOOKUP(D206,Lookup!O:O,Lookup!N:N,0))</f>
        <v>Non FG</v>
      </c>
      <c r="M206">
        <f t="shared" si="8"/>
        <v>11</v>
      </c>
    </row>
    <row r="207" spans="1:13" hidden="1" x14ac:dyDescent="0.25">
      <c r="A207" s="78">
        <v>46036</v>
      </c>
      <c r="B207" s="79" t="s">
        <v>685</v>
      </c>
      <c r="C207" s="80" t="s">
        <v>1523</v>
      </c>
      <c r="D207" s="81" t="s">
        <v>740</v>
      </c>
      <c r="E207" s="26" t="s">
        <v>741</v>
      </c>
      <c r="F207" s="82">
        <v>40000</v>
      </c>
      <c r="G207" s="83" t="s">
        <v>622</v>
      </c>
      <c r="H207" s="84">
        <v>40000</v>
      </c>
      <c r="I207" s="80" t="s">
        <v>94</v>
      </c>
      <c r="J207" s="80"/>
      <c r="K207">
        <f t="shared" si="7"/>
        <v>1</v>
      </c>
      <c r="L207" t="str">
        <f>IF(I207="UGR","UGR",_xlfn.XLOOKUP(D207,Lookup!O:O,Lookup!N:N,0))</f>
        <v>Non FG</v>
      </c>
      <c r="M207">
        <f t="shared" si="8"/>
        <v>1</v>
      </c>
    </row>
    <row r="208" spans="1:13" hidden="1" x14ac:dyDescent="0.25">
      <c r="A208" s="78">
        <v>45973</v>
      </c>
      <c r="B208" s="79" t="s">
        <v>685</v>
      </c>
      <c r="C208" s="80" t="s">
        <v>1240</v>
      </c>
      <c r="D208" s="81" t="s">
        <v>782</v>
      </c>
      <c r="E208" s="26" t="s">
        <v>783</v>
      </c>
      <c r="F208" s="82">
        <v>25000</v>
      </c>
      <c r="G208" s="83" t="s">
        <v>622</v>
      </c>
      <c r="H208" s="84">
        <v>25000.000000000004</v>
      </c>
      <c r="I208" s="80" t="s">
        <v>94</v>
      </c>
      <c r="J208" s="80"/>
      <c r="K208">
        <f t="shared" si="7"/>
        <v>1</v>
      </c>
      <c r="L208" t="str">
        <f>IF(I208="UGR","UGR",_xlfn.XLOOKUP(D208,Lookup!O:O,Lookup!N:N,0))</f>
        <v>Non FG</v>
      </c>
      <c r="M208">
        <f t="shared" si="8"/>
        <v>11</v>
      </c>
    </row>
    <row r="209" spans="1:13" hidden="1" x14ac:dyDescent="0.25">
      <c r="A209" s="78">
        <v>45987</v>
      </c>
      <c r="B209" s="79" t="s">
        <v>685</v>
      </c>
      <c r="C209" s="80" t="s">
        <v>1301</v>
      </c>
      <c r="D209" s="81" t="s">
        <v>782</v>
      </c>
      <c r="E209" s="26" t="s">
        <v>783</v>
      </c>
      <c r="F209" s="82">
        <v>25000</v>
      </c>
      <c r="G209" s="83" t="s">
        <v>622</v>
      </c>
      <c r="H209" s="84">
        <v>25000.000000000004</v>
      </c>
      <c r="I209" s="80" t="s">
        <v>94</v>
      </c>
      <c r="J209" s="80"/>
      <c r="K209">
        <f t="shared" si="7"/>
        <v>1</v>
      </c>
      <c r="L209" t="str">
        <f>IF(I209="UGR","UGR",_xlfn.XLOOKUP(D209,Lookup!O:O,Lookup!N:N,0))</f>
        <v>Non FG</v>
      </c>
      <c r="M209">
        <f t="shared" si="8"/>
        <v>11</v>
      </c>
    </row>
    <row r="210" spans="1:13" hidden="1" x14ac:dyDescent="0.25">
      <c r="A210" s="78">
        <v>45994</v>
      </c>
      <c r="B210" s="79" t="s">
        <v>685</v>
      </c>
      <c r="C210" s="80" t="s">
        <v>1343</v>
      </c>
      <c r="D210" s="81" t="s">
        <v>782</v>
      </c>
      <c r="E210" s="26" t="s">
        <v>783</v>
      </c>
      <c r="F210" s="82">
        <v>25000</v>
      </c>
      <c r="G210" s="83" t="s">
        <v>622</v>
      </c>
      <c r="H210" s="84">
        <v>25000.000000000004</v>
      </c>
      <c r="I210" s="80" t="s">
        <v>94</v>
      </c>
      <c r="J210" s="80"/>
      <c r="K210">
        <f t="shared" si="7"/>
        <v>1</v>
      </c>
      <c r="L210" t="str">
        <f>IF(I210="UGR","UGR",_xlfn.XLOOKUP(D210,Lookup!O:O,Lookup!N:N,0))</f>
        <v>Non FG</v>
      </c>
      <c r="M210">
        <f t="shared" si="8"/>
        <v>12</v>
      </c>
    </row>
    <row r="211" spans="1:13" hidden="1" x14ac:dyDescent="0.25">
      <c r="A211" s="78">
        <v>46003</v>
      </c>
      <c r="B211" s="79" t="s">
        <v>685</v>
      </c>
      <c r="C211" s="80" t="s">
        <v>1524</v>
      </c>
      <c r="D211" s="81" t="s">
        <v>782</v>
      </c>
      <c r="E211" s="26" t="s">
        <v>783</v>
      </c>
      <c r="F211" s="82">
        <v>25000</v>
      </c>
      <c r="G211" s="83" t="s">
        <v>622</v>
      </c>
      <c r="H211" s="84">
        <v>25000.000000000004</v>
      </c>
      <c r="I211" s="80" t="s">
        <v>94</v>
      </c>
      <c r="J211" s="80"/>
      <c r="K211">
        <f t="shared" si="7"/>
        <v>1</v>
      </c>
      <c r="L211" t="str">
        <f>IF(I211="UGR","UGR",_xlfn.XLOOKUP(D211,Lookup!O:O,Lookup!N:N,0))</f>
        <v>Non FG</v>
      </c>
      <c r="M211">
        <f t="shared" si="8"/>
        <v>12</v>
      </c>
    </row>
    <row r="212" spans="1:13" hidden="1" x14ac:dyDescent="0.25">
      <c r="A212" s="78">
        <v>46008</v>
      </c>
      <c r="B212" s="79" t="s">
        <v>685</v>
      </c>
      <c r="C212" s="80" t="s">
        <v>1525</v>
      </c>
      <c r="D212" s="81" t="s">
        <v>782</v>
      </c>
      <c r="E212" s="26" t="s">
        <v>783</v>
      </c>
      <c r="F212" s="82">
        <v>25000</v>
      </c>
      <c r="G212" s="83" t="s">
        <v>622</v>
      </c>
      <c r="H212" s="84">
        <v>25000.000000000004</v>
      </c>
      <c r="I212" s="80" t="s">
        <v>94</v>
      </c>
      <c r="J212" s="80"/>
      <c r="K212">
        <f t="shared" si="7"/>
        <v>1</v>
      </c>
      <c r="L212" t="str">
        <f>IF(I212="UGR","UGR",_xlfn.XLOOKUP(D212,Lookup!O:O,Lookup!N:N,0))</f>
        <v>Non FG</v>
      </c>
      <c r="M212">
        <f t="shared" si="8"/>
        <v>12</v>
      </c>
    </row>
    <row r="213" spans="1:13" hidden="1" x14ac:dyDescent="0.25">
      <c r="A213" s="78">
        <v>46028</v>
      </c>
      <c r="B213" s="79" t="s">
        <v>685</v>
      </c>
      <c r="C213" s="80" t="s">
        <v>1526</v>
      </c>
      <c r="D213" s="81" t="s">
        <v>782</v>
      </c>
      <c r="E213" s="26" t="s">
        <v>783</v>
      </c>
      <c r="F213" s="82">
        <v>25000</v>
      </c>
      <c r="G213" s="83" t="s">
        <v>622</v>
      </c>
      <c r="H213" s="84">
        <v>25000.000000000004</v>
      </c>
      <c r="I213" s="80" t="s">
        <v>94</v>
      </c>
      <c r="J213" s="80"/>
      <c r="K213">
        <f t="shared" si="7"/>
        <v>1</v>
      </c>
      <c r="L213" t="str">
        <f>IF(I213="UGR","UGR",_xlfn.XLOOKUP(D213,Lookup!O:O,Lookup!N:N,0))</f>
        <v>Non FG</v>
      </c>
      <c r="M213">
        <f t="shared" si="8"/>
        <v>1</v>
      </c>
    </row>
    <row r="214" spans="1:13" hidden="1" x14ac:dyDescent="0.25">
      <c r="A214" s="78">
        <v>46042</v>
      </c>
      <c r="B214" s="79" t="s">
        <v>685</v>
      </c>
      <c r="C214" s="80" t="s">
        <v>1527</v>
      </c>
      <c r="D214" s="81" t="s">
        <v>782</v>
      </c>
      <c r="E214" s="26" t="s">
        <v>783</v>
      </c>
      <c r="F214" s="82">
        <v>25000</v>
      </c>
      <c r="G214" s="83" t="s">
        <v>622</v>
      </c>
      <c r="H214" s="84">
        <v>25000.000000000004</v>
      </c>
      <c r="I214" s="80" t="s">
        <v>94</v>
      </c>
      <c r="J214" s="80"/>
      <c r="K214">
        <f t="shared" si="7"/>
        <v>1</v>
      </c>
      <c r="L214" t="str">
        <f>IF(I214="UGR","UGR",_xlfn.XLOOKUP(D214,Lookup!O:O,Lookup!N:N,0))</f>
        <v>Non FG</v>
      </c>
      <c r="M214">
        <f t="shared" si="8"/>
        <v>1</v>
      </c>
    </row>
    <row r="215" spans="1:13" hidden="1" x14ac:dyDescent="0.25">
      <c r="A215" s="78">
        <v>45971</v>
      </c>
      <c r="B215" s="79" t="s">
        <v>685</v>
      </c>
      <c r="C215" s="80" t="s">
        <v>1172</v>
      </c>
      <c r="D215" s="81" t="s">
        <v>784</v>
      </c>
      <c r="E215" s="26" t="s">
        <v>785</v>
      </c>
      <c r="F215" s="82">
        <v>25000</v>
      </c>
      <c r="G215" s="83" t="s">
        <v>622</v>
      </c>
      <c r="H215" s="84">
        <v>25000.000000000004</v>
      </c>
      <c r="I215" s="80" t="s">
        <v>94</v>
      </c>
      <c r="J215" s="80"/>
      <c r="K215">
        <f t="shared" si="7"/>
        <v>1</v>
      </c>
      <c r="L215" t="str">
        <f>IF(I215="UGR","UGR",_xlfn.XLOOKUP(D215,Lookup!O:O,Lookup!N:N,0))</f>
        <v>Non FG</v>
      </c>
      <c r="M215">
        <f t="shared" si="8"/>
        <v>11</v>
      </c>
    </row>
    <row r="216" spans="1:13" hidden="1" x14ac:dyDescent="0.25">
      <c r="A216" s="78">
        <v>45972</v>
      </c>
      <c r="B216" s="79" t="s">
        <v>685</v>
      </c>
      <c r="C216" s="80" t="s">
        <v>1227</v>
      </c>
      <c r="D216" s="81" t="s">
        <v>784</v>
      </c>
      <c r="E216" s="26" t="s">
        <v>785</v>
      </c>
      <c r="F216" s="82">
        <v>25000</v>
      </c>
      <c r="G216" s="83" t="s">
        <v>622</v>
      </c>
      <c r="H216" s="84">
        <v>25000.000000000004</v>
      </c>
      <c r="I216" s="80" t="s">
        <v>94</v>
      </c>
      <c r="J216" s="80"/>
      <c r="K216">
        <f t="shared" si="7"/>
        <v>1</v>
      </c>
      <c r="L216" t="str">
        <f>IF(I216="UGR","UGR",_xlfn.XLOOKUP(D216,Lookup!O:O,Lookup!N:N,0))</f>
        <v>Non FG</v>
      </c>
      <c r="M216">
        <f t="shared" si="8"/>
        <v>11</v>
      </c>
    </row>
    <row r="217" spans="1:13" hidden="1" x14ac:dyDescent="0.25">
      <c r="A217" s="78">
        <v>45974</v>
      </c>
      <c r="B217" s="79" t="s">
        <v>685</v>
      </c>
      <c r="C217" s="80" t="s">
        <v>1256</v>
      </c>
      <c r="D217" s="81" t="s">
        <v>784</v>
      </c>
      <c r="E217" s="26" t="s">
        <v>785</v>
      </c>
      <c r="F217" s="82">
        <v>25000</v>
      </c>
      <c r="G217" s="83" t="s">
        <v>622</v>
      </c>
      <c r="H217" s="84">
        <v>25000.000000000004</v>
      </c>
      <c r="I217" s="80" t="s">
        <v>94</v>
      </c>
      <c r="J217" s="80"/>
      <c r="K217">
        <f t="shared" si="7"/>
        <v>1</v>
      </c>
      <c r="L217" t="str">
        <f>IF(I217="UGR","UGR",_xlfn.XLOOKUP(D217,Lookup!O:O,Lookup!N:N,0))</f>
        <v>Non FG</v>
      </c>
      <c r="M217">
        <f t="shared" si="8"/>
        <v>11</v>
      </c>
    </row>
    <row r="218" spans="1:13" hidden="1" x14ac:dyDescent="0.25">
      <c r="A218" s="78">
        <v>45975</v>
      </c>
      <c r="B218" s="79" t="s">
        <v>685</v>
      </c>
      <c r="C218" s="80" t="s">
        <v>1270</v>
      </c>
      <c r="D218" s="81" t="s">
        <v>784</v>
      </c>
      <c r="E218" s="26" t="s">
        <v>785</v>
      </c>
      <c r="F218" s="82">
        <v>25000</v>
      </c>
      <c r="G218" s="83" t="s">
        <v>622</v>
      </c>
      <c r="H218" s="84">
        <v>25000.000000000004</v>
      </c>
      <c r="I218" s="80" t="s">
        <v>94</v>
      </c>
      <c r="J218" s="80"/>
      <c r="K218">
        <f t="shared" si="7"/>
        <v>1</v>
      </c>
      <c r="L218" t="str">
        <f>IF(I218="UGR","UGR",_xlfn.XLOOKUP(D218,Lookup!O:O,Lookup!N:N,0))</f>
        <v>Non FG</v>
      </c>
      <c r="M218">
        <f t="shared" si="8"/>
        <v>11</v>
      </c>
    </row>
    <row r="219" spans="1:13" hidden="1" x14ac:dyDescent="0.25">
      <c r="A219" s="78">
        <v>45986</v>
      </c>
      <c r="B219" s="79" t="s">
        <v>685</v>
      </c>
      <c r="C219" s="80" t="s">
        <v>1284</v>
      </c>
      <c r="D219" s="81" t="s">
        <v>784</v>
      </c>
      <c r="E219" s="26" t="s">
        <v>785</v>
      </c>
      <c r="F219" s="82">
        <v>25000</v>
      </c>
      <c r="G219" s="83" t="s">
        <v>622</v>
      </c>
      <c r="H219" s="84">
        <v>25000.000000000004</v>
      </c>
      <c r="I219" s="80" t="s">
        <v>94</v>
      </c>
      <c r="J219" s="80"/>
      <c r="K219">
        <f t="shared" si="7"/>
        <v>1</v>
      </c>
      <c r="L219" t="str">
        <f>IF(I219="UGR","UGR",_xlfn.XLOOKUP(D219,Lookup!O:O,Lookup!N:N,0))</f>
        <v>Non FG</v>
      </c>
      <c r="M219">
        <f t="shared" si="8"/>
        <v>11</v>
      </c>
    </row>
    <row r="220" spans="1:13" hidden="1" x14ac:dyDescent="0.25">
      <c r="A220" s="78">
        <v>45992</v>
      </c>
      <c r="B220" s="79" t="s">
        <v>685</v>
      </c>
      <c r="C220" s="80" t="s">
        <v>1317</v>
      </c>
      <c r="D220" s="81" t="s">
        <v>784</v>
      </c>
      <c r="E220" s="26" t="s">
        <v>785</v>
      </c>
      <c r="F220" s="82">
        <v>25000</v>
      </c>
      <c r="G220" s="83" t="s">
        <v>622</v>
      </c>
      <c r="H220" s="84">
        <v>25000.000000000004</v>
      </c>
      <c r="I220" s="80" t="s">
        <v>94</v>
      </c>
      <c r="J220" s="80"/>
      <c r="K220">
        <f t="shared" si="7"/>
        <v>1</v>
      </c>
      <c r="L220" t="str">
        <f>IF(I220="UGR","UGR",_xlfn.XLOOKUP(D220,Lookup!O:O,Lookup!N:N,0))</f>
        <v>Non FG</v>
      </c>
      <c r="M220">
        <f t="shared" si="8"/>
        <v>12</v>
      </c>
    </row>
    <row r="221" spans="1:13" hidden="1" x14ac:dyDescent="0.25">
      <c r="A221" s="78">
        <v>45993</v>
      </c>
      <c r="B221" s="79" t="s">
        <v>685</v>
      </c>
      <c r="C221" s="80" t="s">
        <v>1331</v>
      </c>
      <c r="D221" s="81" t="s">
        <v>784</v>
      </c>
      <c r="E221" s="26" t="s">
        <v>785</v>
      </c>
      <c r="F221" s="82">
        <v>25000</v>
      </c>
      <c r="G221" s="83" t="s">
        <v>622</v>
      </c>
      <c r="H221" s="84">
        <v>25000.000000000004</v>
      </c>
      <c r="I221" s="80" t="s">
        <v>94</v>
      </c>
      <c r="J221" s="80"/>
      <c r="K221">
        <f t="shared" si="7"/>
        <v>1</v>
      </c>
      <c r="L221" t="str">
        <f>IF(I221="UGR","UGR",_xlfn.XLOOKUP(D221,Lookup!O:O,Lookup!N:N,0))</f>
        <v>Non FG</v>
      </c>
      <c r="M221">
        <f t="shared" si="8"/>
        <v>12</v>
      </c>
    </row>
    <row r="222" spans="1:13" hidden="1" x14ac:dyDescent="0.25">
      <c r="A222" s="78">
        <v>45995</v>
      </c>
      <c r="B222" s="79" t="s">
        <v>685</v>
      </c>
      <c r="C222" s="80" t="s">
        <v>1136</v>
      </c>
      <c r="D222" s="81" t="s">
        <v>784</v>
      </c>
      <c r="E222" s="26" t="s">
        <v>785</v>
      </c>
      <c r="F222" s="82">
        <v>25000</v>
      </c>
      <c r="G222" s="83" t="s">
        <v>622</v>
      </c>
      <c r="H222" s="84">
        <v>25000.000000000004</v>
      </c>
      <c r="I222" s="80" t="s">
        <v>94</v>
      </c>
      <c r="J222" s="80"/>
      <c r="K222">
        <f t="shared" si="7"/>
        <v>1</v>
      </c>
      <c r="L222" t="str">
        <f>IF(I222="UGR","UGR",_xlfn.XLOOKUP(D222,Lookup!O:O,Lookup!N:N,0))</f>
        <v>Non FG</v>
      </c>
      <c r="M222">
        <f t="shared" si="8"/>
        <v>12</v>
      </c>
    </row>
    <row r="223" spans="1:13" hidden="1" x14ac:dyDescent="0.25">
      <c r="A223" s="78">
        <v>45999</v>
      </c>
      <c r="B223" s="79" t="s">
        <v>685</v>
      </c>
      <c r="C223" s="80" t="s">
        <v>1528</v>
      </c>
      <c r="D223" s="81" t="s">
        <v>784</v>
      </c>
      <c r="E223" s="26" t="s">
        <v>785</v>
      </c>
      <c r="F223" s="82">
        <v>25000</v>
      </c>
      <c r="G223" s="83" t="s">
        <v>622</v>
      </c>
      <c r="H223" s="84">
        <v>25000.000000000004</v>
      </c>
      <c r="I223" s="80" t="s">
        <v>94</v>
      </c>
      <c r="J223" s="80"/>
      <c r="K223">
        <f t="shared" si="7"/>
        <v>1</v>
      </c>
      <c r="L223" t="str">
        <f>IF(I223="UGR","UGR",_xlfn.XLOOKUP(D223,Lookup!O:O,Lookup!N:N,0))</f>
        <v>Non FG</v>
      </c>
      <c r="M223">
        <f t="shared" si="8"/>
        <v>12</v>
      </c>
    </row>
    <row r="224" spans="1:13" hidden="1" x14ac:dyDescent="0.25">
      <c r="A224" s="78">
        <v>46000</v>
      </c>
      <c r="B224" s="79" t="s">
        <v>685</v>
      </c>
      <c r="C224" s="80" t="s">
        <v>1529</v>
      </c>
      <c r="D224" s="81" t="s">
        <v>784</v>
      </c>
      <c r="E224" s="26" t="s">
        <v>785</v>
      </c>
      <c r="F224" s="82">
        <v>25000</v>
      </c>
      <c r="G224" s="83" t="s">
        <v>622</v>
      </c>
      <c r="H224" s="84">
        <v>25000.000000000004</v>
      </c>
      <c r="I224" s="80" t="s">
        <v>94</v>
      </c>
      <c r="J224" s="80"/>
      <c r="K224">
        <f t="shared" si="7"/>
        <v>1</v>
      </c>
      <c r="L224" t="str">
        <f>IF(I224="UGR","UGR",_xlfn.XLOOKUP(D224,Lookup!O:O,Lookup!N:N,0))</f>
        <v>Non FG</v>
      </c>
      <c r="M224">
        <f t="shared" si="8"/>
        <v>12</v>
      </c>
    </row>
    <row r="225" spans="1:13" hidden="1" x14ac:dyDescent="0.25">
      <c r="A225" s="78">
        <v>46001</v>
      </c>
      <c r="B225" s="79" t="s">
        <v>685</v>
      </c>
      <c r="C225" s="80" t="s">
        <v>1530</v>
      </c>
      <c r="D225" s="81" t="s">
        <v>784</v>
      </c>
      <c r="E225" s="26" t="s">
        <v>785</v>
      </c>
      <c r="F225" s="82">
        <v>25000</v>
      </c>
      <c r="G225" s="83" t="s">
        <v>622</v>
      </c>
      <c r="H225" s="84">
        <v>25000.000000000004</v>
      </c>
      <c r="I225" s="80" t="s">
        <v>94</v>
      </c>
      <c r="J225" s="80"/>
      <c r="K225">
        <f t="shared" si="7"/>
        <v>1</v>
      </c>
      <c r="L225" t="str">
        <f>IF(I225="UGR","UGR",_xlfn.XLOOKUP(D225,Lookup!O:O,Lookup!N:N,0))</f>
        <v>Non FG</v>
      </c>
      <c r="M225">
        <f t="shared" si="8"/>
        <v>12</v>
      </c>
    </row>
    <row r="226" spans="1:13" hidden="1" x14ac:dyDescent="0.25">
      <c r="A226" s="78">
        <v>46002</v>
      </c>
      <c r="B226" s="79" t="s">
        <v>685</v>
      </c>
      <c r="C226" s="80" t="s">
        <v>1531</v>
      </c>
      <c r="D226" s="81" t="s">
        <v>784</v>
      </c>
      <c r="E226" s="26" t="s">
        <v>785</v>
      </c>
      <c r="F226" s="82">
        <v>25000</v>
      </c>
      <c r="G226" s="83" t="s">
        <v>622</v>
      </c>
      <c r="H226" s="84">
        <v>25000.000000000004</v>
      </c>
      <c r="I226" s="80" t="s">
        <v>94</v>
      </c>
      <c r="J226" s="80"/>
      <c r="K226">
        <f t="shared" si="7"/>
        <v>1</v>
      </c>
      <c r="L226" t="str">
        <f>IF(I226="UGR","UGR",_xlfn.XLOOKUP(D226,Lookup!O:O,Lookup!N:N,0))</f>
        <v>Non FG</v>
      </c>
      <c r="M226">
        <f t="shared" si="8"/>
        <v>12</v>
      </c>
    </row>
    <row r="227" spans="1:13" hidden="1" x14ac:dyDescent="0.25">
      <c r="A227" s="78">
        <v>46006</v>
      </c>
      <c r="B227" s="79" t="s">
        <v>685</v>
      </c>
      <c r="C227" s="80" t="s">
        <v>1532</v>
      </c>
      <c r="D227" s="81" t="s">
        <v>784</v>
      </c>
      <c r="E227" s="26" t="s">
        <v>785</v>
      </c>
      <c r="F227" s="82">
        <v>25000</v>
      </c>
      <c r="G227" s="83" t="s">
        <v>622</v>
      </c>
      <c r="H227" s="84">
        <v>25000.000000000004</v>
      </c>
      <c r="I227" s="80" t="s">
        <v>94</v>
      </c>
      <c r="J227" s="80"/>
      <c r="K227">
        <f t="shared" si="7"/>
        <v>1</v>
      </c>
      <c r="L227" t="str">
        <f>IF(I227="UGR","UGR",_xlfn.XLOOKUP(D227,Lookup!O:O,Lookup!N:N,0))</f>
        <v>Non FG</v>
      </c>
      <c r="M227">
        <f t="shared" si="8"/>
        <v>12</v>
      </c>
    </row>
    <row r="228" spans="1:13" hidden="1" x14ac:dyDescent="0.25">
      <c r="A228" s="78">
        <v>46007</v>
      </c>
      <c r="B228" s="79" t="s">
        <v>685</v>
      </c>
      <c r="C228" s="80" t="s">
        <v>1533</v>
      </c>
      <c r="D228" s="81" t="s">
        <v>784</v>
      </c>
      <c r="E228" s="26" t="s">
        <v>785</v>
      </c>
      <c r="F228" s="82">
        <v>25000</v>
      </c>
      <c r="G228" s="83" t="s">
        <v>622</v>
      </c>
      <c r="H228" s="84">
        <v>25000.000000000004</v>
      </c>
      <c r="I228" s="80" t="s">
        <v>94</v>
      </c>
      <c r="J228" s="80"/>
      <c r="K228">
        <f t="shared" si="7"/>
        <v>1</v>
      </c>
      <c r="L228" t="str">
        <f>IF(I228="UGR","UGR",_xlfn.XLOOKUP(D228,Lookup!O:O,Lookup!N:N,0))</f>
        <v>Non FG</v>
      </c>
      <c r="M228">
        <f t="shared" si="8"/>
        <v>12</v>
      </c>
    </row>
    <row r="229" spans="1:13" hidden="1" x14ac:dyDescent="0.25">
      <c r="A229" s="78">
        <v>46009</v>
      </c>
      <c r="B229" s="79" t="s">
        <v>685</v>
      </c>
      <c r="C229" s="80" t="s">
        <v>1534</v>
      </c>
      <c r="D229" s="81" t="s">
        <v>784</v>
      </c>
      <c r="E229" s="26" t="s">
        <v>785</v>
      </c>
      <c r="F229" s="82">
        <v>25000</v>
      </c>
      <c r="G229" s="83" t="s">
        <v>622</v>
      </c>
      <c r="H229" s="84">
        <v>25000.000000000004</v>
      </c>
      <c r="I229" s="80" t="s">
        <v>94</v>
      </c>
      <c r="J229" s="80"/>
      <c r="K229">
        <f t="shared" si="7"/>
        <v>1</v>
      </c>
      <c r="L229" t="str">
        <f>IF(I229="UGR","UGR",_xlfn.XLOOKUP(D229,Lookup!O:O,Lookup!N:N,0))</f>
        <v>Non FG</v>
      </c>
      <c r="M229">
        <f t="shared" si="8"/>
        <v>12</v>
      </c>
    </row>
    <row r="230" spans="1:13" hidden="1" x14ac:dyDescent="0.25">
      <c r="A230" s="78">
        <v>46013</v>
      </c>
      <c r="B230" s="79" t="s">
        <v>685</v>
      </c>
      <c r="C230" s="80" t="s">
        <v>1535</v>
      </c>
      <c r="D230" s="81" t="s">
        <v>784</v>
      </c>
      <c r="E230" s="26" t="s">
        <v>785</v>
      </c>
      <c r="F230" s="82">
        <v>25000</v>
      </c>
      <c r="G230" s="83" t="s">
        <v>622</v>
      </c>
      <c r="H230" s="84">
        <v>25000.000000000004</v>
      </c>
      <c r="I230" s="80" t="s">
        <v>94</v>
      </c>
      <c r="J230" s="80"/>
      <c r="K230">
        <f t="shared" si="7"/>
        <v>1</v>
      </c>
      <c r="L230" t="str">
        <f>IF(I230="UGR","UGR",_xlfn.XLOOKUP(D230,Lookup!O:O,Lookup!N:N,0))</f>
        <v>Non FG</v>
      </c>
      <c r="M230">
        <f t="shared" si="8"/>
        <v>12</v>
      </c>
    </row>
    <row r="231" spans="1:13" hidden="1" x14ac:dyDescent="0.25">
      <c r="A231" s="78">
        <v>46014</v>
      </c>
      <c r="B231" s="79" t="s">
        <v>685</v>
      </c>
      <c r="C231" s="80" t="s">
        <v>1536</v>
      </c>
      <c r="D231" s="81" t="s">
        <v>784</v>
      </c>
      <c r="E231" s="26" t="s">
        <v>785</v>
      </c>
      <c r="F231" s="82">
        <v>25000</v>
      </c>
      <c r="G231" s="83" t="s">
        <v>622</v>
      </c>
      <c r="H231" s="84">
        <v>25000.000000000004</v>
      </c>
      <c r="I231" s="80" t="s">
        <v>94</v>
      </c>
      <c r="J231" s="80"/>
      <c r="K231">
        <f t="shared" si="7"/>
        <v>1</v>
      </c>
      <c r="L231" t="str">
        <f>IF(I231="UGR","UGR",_xlfn.XLOOKUP(D231,Lookup!O:O,Lookup!N:N,0))</f>
        <v>Non FG</v>
      </c>
      <c r="M231">
        <f t="shared" si="8"/>
        <v>12</v>
      </c>
    </row>
    <row r="232" spans="1:13" hidden="1" x14ac:dyDescent="0.25">
      <c r="A232" s="78">
        <v>46027</v>
      </c>
      <c r="B232" s="79" t="s">
        <v>685</v>
      </c>
      <c r="C232" s="80" t="s">
        <v>1537</v>
      </c>
      <c r="D232" s="81" t="s">
        <v>784</v>
      </c>
      <c r="E232" s="26" t="s">
        <v>785</v>
      </c>
      <c r="F232" s="82">
        <v>25000</v>
      </c>
      <c r="G232" s="83" t="s">
        <v>622</v>
      </c>
      <c r="H232" s="84">
        <v>25000.000000000004</v>
      </c>
      <c r="I232" s="80" t="s">
        <v>94</v>
      </c>
      <c r="J232" s="80"/>
      <c r="K232">
        <f t="shared" si="7"/>
        <v>1</v>
      </c>
      <c r="L232" t="str">
        <f>IF(I232="UGR","UGR",_xlfn.XLOOKUP(D232,Lookup!O:O,Lookup!N:N,0))</f>
        <v>Non FG</v>
      </c>
      <c r="M232">
        <f t="shared" si="8"/>
        <v>1</v>
      </c>
    </row>
    <row r="233" spans="1:13" hidden="1" x14ac:dyDescent="0.25">
      <c r="A233" s="78">
        <v>46029</v>
      </c>
      <c r="B233" s="79" t="s">
        <v>685</v>
      </c>
      <c r="C233" s="80" t="s">
        <v>1538</v>
      </c>
      <c r="D233" s="81" t="s">
        <v>784</v>
      </c>
      <c r="E233" s="26" t="s">
        <v>785</v>
      </c>
      <c r="F233" s="82">
        <v>25000</v>
      </c>
      <c r="G233" s="83" t="s">
        <v>622</v>
      </c>
      <c r="H233" s="84">
        <v>25000.000000000004</v>
      </c>
      <c r="I233" s="80" t="s">
        <v>94</v>
      </c>
      <c r="J233" s="80"/>
      <c r="K233">
        <f t="shared" si="7"/>
        <v>1</v>
      </c>
      <c r="L233" t="str">
        <f>IF(I233="UGR","UGR",_xlfn.XLOOKUP(D233,Lookup!O:O,Lookup!N:N,0))</f>
        <v>Non FG</v>
      </c>
      <c r="M233">
        <f t="shared" si="8"/>
        <v>1</v>
      </c>
    </row>
    <row r="234" spans="1:13" hidden="1" x14ac:dyDescent="0.25">
      <c r="A234" s="78">
        <v>46030</v>
      </c>
      <c r="B234" s="79" t="s">
        <v>685</v>
      </c>
      <c r="C234" s="80" t="s">
        <v>1539</v>
      </c>
      <c r="D234" s="81" t="s">
        <v>784</v>
      </c>
      <c r="E234" s="26" t="s">
        <v>785</v>
      </c>
      <c r="F234" s="82">
        <v>25000</v>
      </c>
      <c r="G234" s="83" t="s">
        <v>622</v>
      </c>
      <c r="H234" s="84">
        <v>25000.000000000004</v>
      </c>
      <c r="I234" s="80" t="s">
        <v>94</v>
      </c>
      <c r="J234" s="80"/>
      <c r="K234">
        <f t="shared" si="7"/>
        <v>1</v>
      </c>
      <c r="L234" t="str">
        <f>IF(I234="UGR","UGR",_xlfn.XLOOKUP(D234,Lookup!O:O,Lookup!N:N,0))</f>
        <v>Non FG</v>
      </c>
      <c r="M234">
        <f t="shared" si="8"/>
        <v>1</v>
      </c>
    </row>
    <row r="235" spans="1:13" hidden="1" x14ac:dyDescent="0.25">
      <c r="A235" s="78">
        <v>46041</v>
      </c>
      <c r="B235" s="79" t="s">
        <v>685</v>
      </c>
      <c r="C235" s="80" t="s">
        <v>1540</v>
      </c>
      <c r="D235" s="81" t="s">
        <v>784</v>
      </c>
      <c r="E235" s="26" t="s">
        <v>785</v>
      </c>
      <c r="F235" s="82">
        <v>25000</v>
      </c>
      <c r="G235" s="83" t="s">
        <v>622</v>
      </c>
      <c r="H235" s="84">
        <v>25000.000000000004</v>
      </c>
      <c r="I235" s="80" t="s">
        <v>94</v>
      </c>
      <c r="J235" s="80"/>
      <c r="K235">
        <f t="shared" si="7"/>
        <v>1</v>
      </c>
      <c r="L235" t="str">
        <f>IF(I235="UGR","UGR",_xlfn.XLOOKUP(D235,Lookup!O:O,Lookup!N:N,0))</f>
        <v>Non FG</v>
      </c>
      <c r="M235">
        <f t="shared" si="8"/>
        <v>1</v>
      </c>
    </row>
    <row r="236" spans="1:13" hidden="1" x14ac:dyDescent="0.25">
      <c r="A236" s="78">
        <v>46043</v>
      </c>
      <c r="B236" s="79" t="s">
        <v>685</v>
      </c>
      <c r="C236" s="80" t="s">
        <v>1541</v>
      </c>
      <c r="D236" s="81" t="s">
        <v>784</v>
      </c>
      <c r="E236" s="26" t="s">
        <v>785</v>
      </c>
      <c r="F236" s="82">
        <v>25000</v>
      </c>
      <c r="G236" s="83" t="s">
        <v>622</v>
      </c>
      <c r="H236" s="84">
        <v>25000.000000000004</v>
      </c>
      <c r="I236" s="80" t="s">
        <v>94</v>
      </c>
      <c r="J236" s="80"/>
      <c r="K236">
        <f t="shared" si="7"/>
        <v>1</v>
      </c>
      <c r="L236" t="str">
        <f>IF(I236="UGR","UGR",_xlfn.XLOOKUP(D236,Lookup!O:O,Lookup!N:N,0))</f>
        <v>Non FG</v>
      </c>
      <c r="M236">
        <f t="shared" si="8"/>
        <v>1</v>
      </c>
    </row>
    <row r="237" spans="1:13" hidden="1" x14ac:dyDescent="0.25">
      <c r="A237" s="78">
        <v>45978</v>
      </c>
      <c r="B237" s="79" t="s">
        <v>688</v>
      </c>
      <c r="C237" s="80" t="s">
        <v>1285</v>
      </c>
      <c r="D237" s="81" t="s">
        <v>689</v>
      </c>
      <c r="E237" s="26" t="s">
        <v>690</v>
      </c>
      <c r="F237" s="82">
        <v>80000</v>
      </c>
      <c r="G237" s="83" t="s">
        <v>622</v>
      </c>
      <c r="H237" s="84">
        <v>0</v>
      </c>
      <c r="I237" s="80" t="s">
        <v>94</v>
      </c>
      <c r="J237" s="80"/>
      <c r="K237">
        <f t="shared" si="7"/>
        <v>1</v>
      </c>
      <c r="L237" t="str">
        <f>IF(I237="UGR","UGR",_xlfn.XLOOKUP(D237,Lookup!O:O,Lookup!N:N,0))</f>
        <v>Non FG</v>
      </c>
      <c r="M237">
        <f t="shared" si="8"/>
        <v>11</v>
      </c>
    </row>
    <row r="238" spans="1:13" hidden="1" x14ac:dyDescent="0.25">
      <c r="A238" s="78">
        <v>45979</v>
      </c>
      <c r="B238" s="79" t="s">
        <v>688</v>
      </c>
      <c r="C238" s="80" t="s">
        <v>1302</v>
      </c>
      <c r="D238" s="81" t="s">
        <v>689</v>
      </c>
      <c r="E238" s="26" t="s">
        <v>690</v>
      </c>
      <c r="F238" s="82">
        <v>80000</v>
      </c>
      <c r="G238" s="83" t="s">
        <v>622</v>
      </c>
      <c r="H238" s="84">
        <v>0</v>
      </c>
      <c r="I238" s="80" t="s">
        <v>94</v>
      </c>
      <c r="J238" s="80"/>
      <c r="K238">
        <f t="shared" si="7"/>
        <v>1</v>
      </c>
      <c r="L238" t="str">
        <f>IF(I238="UGR","UGR",_xlfn.XLOOKUP(D238,Lookup!O:O,Lookup!N:N,0))</f>
        <v>Non FG</v>
      </c>
      <c r="M238">
        <f t="shared" si="8"/>
        <v>11</v>
      </c>
    </row>
    <row r="239" spans="1:13" hidden="1" x14ac:dyDescent="0.25">
      <c r="A239" s="78">
        <v>45992</v>
      </c>
      <c r="B239" s="79" t="s">
        <v>688</v>
      </c>
      <c r="C239" s="80" t="s">
        <v>1542</v>
      </c>
      <c r="D239" s="81" t="s">
        <v>689</v>
      </c>
      <c r="E239" s="26" t="s">
        <v>690</v>
      </c>
      <c r="F239" s="82">
        <v>80000</v>
      </c>
      <c r="G239" s="83" t="s">
        <v>622</v>
      </c>
      <c r="H239" s="84">
        <v>0</v>
      </c>
      <c r="I239" s="80" t="s">
        <v>94</v>
      </c>
      <c r="J239" s="80"/>
      <c r="K239">
        <f t="shared" si="7"/>
        <v>1</v>
      </c>
      <c r="L239" t="str">
        <f>IF(I239="UGR","UGR",_xlfn.XLOOKUP(D239,Lookup!O:O,Lookup!N:N,0))</f>
        <v>Non FG</v>
      </c>
      <c r="M239">
        <f t="shared" si="8"/>
        <v>12</v>
      </c>
    </row>
    <row r="240" spans="1:13" hidden="1" x14ac:dyDescent="0.25">
      <c r="A240" s="78">
        <v>45993</v>
      </c>
      <c r="B240" s="79" t="s">
        <v>688</v>
      </c>
      <c r="C240" s="80" t="s">
        <v>1543</v>
      </c>
      <c r="D240" s="81" t="s">
        <v>689</v>
      </c>
      <c r="E240" s="26" t="s">
        <v>690</v>
      </c>
      <c r="F240" s="82">
        <v>80000</v>
      </c>
      <c r="G240" s="83" t="s">
        <v>622</v>
      </c>
      <c r="H240" s="84">
        <v>0</v>
      </c>
      <c r="I240" s="80" t="s">
        <v>94</v>
      </c>
      <c r="J240" s="80"/>
      <c r="K240">
        <f t="shared" si="7"/>
        <v>1</v>
      </c>
      <c r="L240" t="str">
        <f>IF(I240="UGR","UGR",_xlfn.XLOOKUP(D240,Lookup!O:O,Lookup!N:N,0))</f>
        <v>Non FG</v>
      </c>
      <c r="M240">
        <f t="shared" si="8"/>
        <v>12</v>
      </c>
    </row>
    <row r="241" spans="1:13" hidden="1" x14ac:dyDescent="0.25">
      <c r="A241" s="78">
        <v>45994</v>
      </c>
      <c r="B241" s="79" t="s">
        <v>688</v>
      </c>
      <c r="C241" s="80" t="s">
        <v>1544</v>
      </c>
      <c r="D241" s="81" t="s">
        <v>689</v>
      </c>
      <c r="E241" s="26" t="s">
        <v>690</v>
      </c>
      <c r="F241" s="82">
        <v>80000</v>
      </c>
      <c r="G241" s="83" t="s">
        <v>622</v>
      </c>
      <c r="H241" s="84">
        <v>0</v>
      </c>
      <c r="I241" s="80" t="s">
        <v>94</v>
      </c>
      <c r="J241" s="80"/>
      <c r="K241">
        <f t="shared" si="7"/>
        <v>1</v>
      </c>
      <c r="L241" t="str">
        <f>IF(I241="UGR","UGR",_xlfn.XLOOKUP(D241,Lookup!O:O,Lookup!N:N,0))</f>
        <v>Non FG</v>
      </c>
      <c r="M241">
        <f t="shared" si="8"/>
        <v>12</v>
      </c>
    </row>
    <row r="242" spans="1:13" hidden="1" x14ac:dyDescent="0.25">
      <c r="A242" s="78">
        <v>45995</v>
      </c>
      <c r="B242" s="79" t="s">
        <v>688</v>
      </c>
      <c r="C242" s="80" t="s">
        <v>1545</v>
      </c>
      <c r="D242" s="81" t="s">
        <v>689</v>
      </c>
      <c r="E242" s="26" t="s">
        <v>690</v>
      </c>
      <c r="F242" s="82">
        <v>80000</v>
      </c>
      <c r="G242" s="83" t="s">
        <v>622</v>
      </c>
      <c r="H242" s="84">
        <v>0</v>
      </c>
      <c r="I242" s="80" t="s">
        <v>94</v>
      </c>
      <c r="J242" s="80"/>
      <c r="K242">
        <f t="shared" si="7"/>
        <v>1</v>
      </c>
      <c r="L242" t="str">
        <f>IF(I242="UGR","UGR",_xlfn.XLOOKUP(D242,Lookup!O:O,Lookup!N:N,0))</f>
        <v>Non FG</v>
      </c>
      <c r="M242">
        <f t="shared" si="8"/>
        <v>12</v>
      </c>
    </row>
    <row r="243" spans="1:13" hidden="1" x14ac:dyDescent="0.25">
      <c r="A243" s="78">
        <v>45999</v>
      </c>
      <c r="B243" s="79" t="s">
        <v>688</v>
      </c>
      <c r="C243" s="80" t="s">
        <v>1044</v>
      </c>
      <c r="D243" s="81" t="s">
        <v>689</v>
      </c>
      <c r="E243" s="26" t="s">
        <v>690</v>
      </c>
      <c r="F243" s="82">
        <v>80000</v>
      </c>
      <c r="G243" s="83" t="s">
        <v>622</v>
      </c>
      <c r="H243" s="84">
        <v>0</v>
      </c>
      <c r="I243" s="80" t="s">
        <v>94</v>
      </c>
      <c r="J243" s="80"/>
      <c r="K243">
        <f t="shared" si="7"/>
        <v>1</v>
      </c>
      <c r="L243" t="str">
        <f>IF(I243="UGR","UGR",_xlfn.XLOOKUP(D243,Lookup!O:O,Lookup!N:N,0))</f>
        <v>Non FG</v>
      </c>
      <c r="M243">
        <f t="shared" si="8"/>
        <v>12</v>
      </c>
    </row>
    <row r="244" spans="1:13" hidden="1" x14ac:dyDescent="0.25">
      <c r="A244" s="78">
        <v>46000</v>
      </c>
      <c r="B244" s="79" t="s">
        <v>688</v>
      </c>
      <c r="C244" s="80" t="s">
        <v>1546</v>
      </c>
      <c r="D244" s="81" t="s">
        <v>689</v>
      </c>
      <c r="E244" s="26" t="s">
        <v>690</v>
      </c>
      <c r="F244" s="82">
        <v>80000</v>
      </c>
      <c r="G244" s="83" t="s">
        <v>622</v>
      </c>
      <c r="H244" s="84">
        <v>0</v>
      </c>
      <c r="I244" s="80" t="s">
        <v>94</v>
      </c>
      <c r="J244" s="80"/>
      <c r="K244">
        <f t="shared" si="7"/>
        <v>1</v>
      </c>
      <c r="L244" t="str">
        <f>IF(I244="UGR","UGR",_xlfn.XLOOKUP(D244,Lookup!O:O,Lookup!N:N,0))</f>
        <v>Non FG</v>
      </c>
      <c r="M244">
        <f t="shared" si="8"/>
        <v>12</v>
      </c>
    </row>
    <row r="245" spans="1:13" hidden="1" x14ac:dyDescent="0.25">
      <c r="A245" s="78">
        <v>46001</v>
      </c>
      <c r="B245" s="79" t="s">
        <v>688</v>
      </c>
      <c r="C245" s="80" t="s">
        <v>1547</v>
      </c>
      <c r="D245" s="81" t="s">
        <v>689</v>
      </c>
      <c r="E245" s="26" t="s">
        <v>690</v>
      </c>
      <c r="F245" s="82">
        <v>80000</v>
      </c>
      <c r="G245" s="83" t="s">
        <v>622</v>
      </c>
      <c r="H245" s="84">
        <v>0</v>
      </c>
      <c r="I245" s="80" t="s">
        <v>94</v>
      </c>
      <c r="J245" s="80"/>
      <c r="K245">
        <f t="shared" si="7"/>
        <v>1</v>
      </c>
      <c r="L245" t="str">
        <f>IF(I245="UGR","UGR",_xlfn.XLOOKUP(D245,Lookup!O:O,Lookup!N:N,0))</f>
        <v>Non FG</v>
      </c>
      <c r="M245">
        <f t="shared" si="8"/>
        <v>12</v>
      </c>
    </row>
    <row r="246" spans="1:13" hidden="1" x14ac:dyDescent="0.25">
      <c r="A246" s="78">
        <v>46002</v>
      </c>
      <c r="B246" s="79" t="s">
        <v>688</v>
      </c>
      <c r="C246" s="80" t="s">
        <v>1548</v>
      </c>
      <c r="D246" s="81" t="s">
        <v>689</v>
      </c>
      <c r="E246" s="26" t="s">
        <v>690</v>
      </c>
      <c r="F246" s="82">
        <v>80000</v>
      </c>
      <c r="G246" s="83" t="s">
        <v>622</v>
      </c>
      <c r="H246" s="84">
        <v>0</v>
      </c>
      <c r="I246" s="80" t="s">
        <v>94</v>
      </c>
      <c r="J246" s="80"/>
      <c r="K246">
        <f t="shared" si="7"/>
        <v>1</v>
      </c>
      <c r="L246" t="str">
        <f>IF(I246="UGR","UGR",_xlfn.XLOOKUP(D246,Lookup!O:O,Lookup!N:N,0))</f>
        <v>Non FG</v>
      </c>
      <c r="M246">
        <f t="shared" si="8"/>
        <v>12</v>
      </c>
    </row>
    <row r="247" spans="1:13" hidden="1" x14ac:dyDescent="0.25">
      <c r="A247" s="78">
        <v>46006</v>
      </c>
      <c r="B247" s="79" t="s">
        <v>688</v>
      </c>
      <c r="C247" s="80" t="s">
        <v>1549</v>
      </c>
      <c r="D247" s="81" t="s">
        <v>689</v>
      </c>
      <c r="E247" s="26" t="s">
        <v>690</v>
      </c>
      <c r="F247" s="82">
        <v>80000</v>
      </c>
      <c r="G247" s="83" t="s">
        <v>622</v>
      </c>
      <c r="H247" s="84">
        <v>0</v>
      </c>
      <c r="I247" s="80" t="s">
        <v>94</v>
      </c>
      <c r="J247" s="80"/>
      <c r="K247">
        <f t="shared" si="7"/>
        <v>1</v>
      </c>
      <c r="L247" t="str">
        <f>IF(I247="UGR","UGR",_xlfn.XLOOKUP(D247,Lookup!O:O,Lookup!N:N,0))</f>
        <v>Non FG</v>
      </c>
      <c r="M247">
        <f t="shared" si="8"/>
        <v>12</v>
      </c>
    </row>
    <row r="248" spans="1:13" hidden="1" x14ac:dyDescent="0.25">
      <c r="A248" s="78">
        <v>46007</v>
      </c>
      <c r="B248" s="79" t="s">
        <v>688</v>
      </c>
      <c r="C248" s="80" t="s">
        <v>1550</v>
      </c>
      <c r="D248" s="81" t="s">
        <v>689</v>
      </c>
      <c r="E248" s="26" t="s">
        <v>690</v>
      </c>
      <c r="F248" s="82">
        <v>80000</v>
      </c>
      <c r="G248" s="83" t="s">
        <v>622</v>
      </c>
      <c r="H248" s="84">
        <v>0</v>
      </c>
      <c r="I248" s="80" t="s">
        <v>94</v>
      </c>
      <c r="J248" s="80"/>
      <c r="K248">
        <f t="shared" si="7"/>
        <v>1</v>
      </c>
      <c r="L248" t="str">
        <f>IF(I248="UGR","UGR",_xlfn.XLOOKUP(D248,Lookup!O:O,Lookup!N:N,0))</f>
        <v>Non FG</v>
      </c>
      <c r="M248">
        <f t="shared" si="8"/>
        <v>12</v>
      </c>
    </row>
    <row r="249" spans="1:13" hidden="1" x14ac:dyDescent="0.25">
      <c r="A249" s="78">
        <v>46008</v>
      </c>
      <c r="B249" s="79" t="s">
        <v>688</v>
      </c>
      <c r="C249" s="80" t="s">
        <v>1551</v>
      </c>
      <c r="D249" s="81" t="s">
        <v>689</v>
      </c>
      <c r="E249" s="26" t="s">
        <v>690</v>
      </c>
      <c r="F249" s="82">
        <v>80000</v>
      </c>
      <c r="G249" s="83" t="s">
        <v>622</v>
      </c>
      <c r="H249" s="84">
        <v>0</v>
      </c>
      <c r="I249" s="80" t="s">
        <v>94</v>
      </c>
      <c r="J249" s="80"/>
      <c r="K249">
        <f t="shared" si="7"/>
        <v>1</v>
      </c>
      <c r="L249" t="str">
        <f>IF(I249="UGR","UGR",_xlfn.XLOOKUP(D249,Lookup!O:O,Lookup!N:N,0))</f>
        <v>Non FG</v>
      </c>
      <c r="M249">
        <f t="shared" si="8"/>
        <v>12</v>
      </c>
    </row>
    <row r="250" spans="1:13" hidden="1" x14ac:dyDescent="0.25">
      <c r="A250" s="78">
        <v>46009</v>
      </c>
      <c r="B250" s="79" t="s">
        <v>688</v>
      </c>
      <c r="C250" s="80" t="s">
        <v>1552</v>
      </c>
      <c r="D250" s="81" t="s">
        <v>689</v>
      </c>
      <c r="E250" s="26" t="s">
        <v>690</v>
      </c>
      <c r="F250" s="82">
        <v>80000</v>
      </c>
      <c r="G250" s="83" t="s">
        <v>622</v>
      </c>
      <c r="H250" s="84">
        <v>0</v>
      </c>
      <c r="I250" s="80" t="s">
        <v>94</v>
      </c>
      <c r="J250" s="80"/>
      <c r="K250">
        <f t="shared" si="7"/>
        <v>1</v>
      </c>
      <c r="L250" t="str">
        <f>IF(I250="UGR","UGR",_xlfn.XLOOKUP(D250,Lookup!O:O,Lookup!N:N,0))</f>
        <v>Non FG</v>
      </c>
      <c r="M250">
        <f t="shared" si="8"/>
        <v>12</v>
      </c>
    </row>
    <row r="251" spans="1:13" hidden="1" x14ac:dyDescent="0.25">
      <c r="A251" s="78">
        <v>46013</v>
      </c>
      <c r="B251" s="79" t="s">
        <v>688</v>
      </c>
      <c r="C251" s="80" t="s">
        <v>1553</v>
      </c>
      <c r="D251" s="81" t="s">
        <v>689</v>
      </c>
      <c r="E251" s="26" t="s">
        <v>690</v>
      </c>
      <c r="F251" s="82">
        <v>80000</v>
      </c>
      <c r="G251" s="83" t="s">
        <v>622</v>
      </c>
      <c r="H251" s="84">
        <v>0</v>
      </c>
      <c r="I251" s="80" t="s">
        <v>94</v>
      </c>
      <c r="J251" s="80"/>
      <c r="K251">
        <f t="shared" si="7"/>
        <v>1</v>
      </c>
      <c r="L251" t="str">
        <f>IF(I251="UGR","UGR",_xlfn.XLOOKUP(D251,Lookup!O:O,Lookup!N:N,0))</f>
        <v>Non FG</v>
      </c>
      <c r="M251">
        <f t="shared" si="8"/>
        <v>12</v>
      </c>
    </row>
    <row r="252" spans="1:13" hidden="1" x14ac:dyDescent="0.25">
      <c r="A252" s="78">
        <v>46034</v>
      </c>
      <c r="B252" s="79" t="s">
        <v>688</v>
      </c>
      <c r="C252" s="80" t="s">
        <v>1554</v>
      </c>
      <c r="D252" s="81" t="s">
        <v>689</v>
      </c>
      <c r="E252" s="26" t="s">
        <v>690</v>
      </c>
      <c r="F252" s="82">
        <v>80000</v>
      </c>
      <c r="G252" s="83" t="s">
        <v>622</v>
      </c>
      <c r="H252" s="84">
        <v>0</v>
      </c>
      <c r="I252" s="80" t="s">
        <v>94</v>
      </c>
      <c r="J252" s="80"/>
      <c r="K252">
        <f t="shared" si="7"/>
        <v>1</v>
      </c>
      <c r="L252" t="str">
        <f>IF(I252="UGR","UGR",_xlfn.XLOOKUP(D252,Lookup!O:O,Lookup!N:N,0))</f>
        <v>Non FG</v>
      </c>
      <c r="M252">
        <f t="shared" si="8"/>
        <v>1</v>
      </c>
    </row>
    <row r="253" spans="1:13" hidden="1" x14ac:dyDescent="0.25">
      <c r="A253" s="78">
        <v>46035</v>
      </c>
      <c r="B253" s="79" t="s">
        <v>688</v>
      </c>
      <c r="C253" s="80" t="s">
        <v>1555</v>
      </c>
      <c r="D253" s="81" t="s">
        <v>689</v>
      </c>
      <c r="E253" s="26" t="s">
        <v>690</v>
      </c>
      <c r="F253" s="82">
        <v>80000</v>
      </c>
      <c r="G253" s="83" t="s">
        <v>622</v>
      </c>
      <c r="H253" s="84">
        <v>0</v>
      </c>
      <c r="I253" s="80" t="s">
        <v>94</v>
      </c>
      <c r="J253" s="80"/>
      <c r="K253">
        <f t="shared" si="7"/>
        <v>1</v>
      </c>
      <c r="L253" t="str">
        <f>IF(I253="UGR","UGR",_xlfn.XLOOKUP(D253,Lookup!O:O,Lookup!N:N,0))</f>
        <v>Non FG</v>
      </c>
      <c r="M253">
        <f t="shared" si="8"/>
        <v>1</v>
      </c>
    </row>
    <row r="254" spans="1:13" hidden="1" x14ac:dyDescent="0.25">
      <c r="A254" s="78">
        <v>46036</v>
      </c>
      <c r="B254" s="79" t="s">
        <v>688</v>
      </c>
      <c r="C254" s="80" t="s">
        <v>1556</v>
      </c>
      <c r="D254" s="81" t="s">
        <v>689</v>
      </c>
      <c r="E254" s="26" t="s">
        <v>690</v>
      </c>
      <c r="F254" s="82">
        <v>80000</v>
      </c>
      <c r="G254" s="83" t="s">
        <v>622</v>
      </c>
      <c r="H254" s="84">
        <v>0</v>
      </c>
      <c r="I254" s="80" t="s">
        <v>94</v>
      </c>
      <c r="J254" s="80"/>
      <c r="K254">
        <f t="shared" si="7"/>
        <v>1</v>
      </c>
      <c r="L254" t="str">
        <f>IF(I254="UGR","UGR",_xlfn.XLOOKUP(D254,Lookup!O:O,Lookup!N:N,0))</f>
        <v>Non FG</v>
      </c>
      <c r="M254">
        <f t="shared" si="8"/>
        <v>1</v>
      </c>
    </row>
    <row r="255" spans="1:13" hidden="1" x14ac:dyDescent="0.25">
      <c r="A255" s="78">
        <v>46037</v>
      </c>
      <c r="B255" s="79" t="s">
        <v>688</v>
      </c>
      <c r="C255" s="80" t="s">
        <v>1557</v>
      </c>
      <c r="D255" s="81" t="s">
        <v>689</v>
      </c>
      <c r="E255" s="26" t="s">
        <v>690</v>
      </c>
      <c r="F255" s="82">
        <v>80000</v>
      </c>
      <c r="G255" s="83" t="s">
        <v>622</v>
      </c>
      <c r="H255" s="84">
        <v>0</v>
      </c>
      <c r="I255" s="80" t="s">
        <v>94</v>
      </c>
      <c r="J255" s="80"/>
      <c r="K255">
        <f t="shared" si="7"/>
        <v>1</v>
      </c>
      <c r="L255" t="str">
        <f>IF(I255="UGR","UGR",_xlfn.XLOOKUP(D255,Lookup!O:O,Lookup!N:N,0))</f>
        <v>Non FG</v>
      </c>
      <c r="M255">
        <f t="shared" si="8"/>
        <v>1</v>
      </c>
    </row>
    <row r="256" spans="1:13" hidden="1" x14ac:dyDescent="0.25">
      <c r="A256" s="78">
        <v>46041</v>
      </c>
      <c r="B256" s="79" t="s">
        <v>688</v>
      </c>
      <c r="C256" s="80" t="s">
        <v>1558</v>
      </c>
      <c r="D256" s="81" t="s">
        <v>689</v>
      </c>
      <c r="E256" s="26" t="s">
        <v>690</v>
      </c>
      <c r="F256" s="82">
        <v>80000</v>
      </c>
      <c r="G256" s="83" t="s">
        <v>622</v>
      </c>
      <c r="H256" s="84">
        <v>0</v>
      </c>
      <c r="I256" s="80" t="s">
        <v>94</v>
      </c>
      <c r="J256" s="80"/>
      <c r="K256">
        <f t="shared" si="7"/>
        <v>1</v>
      </c>
      <c r="L256" t="str">
        <f>IF(I256="UGR","UGR",_xlfn.XLOOKUP(D256,Lookup!O:O,Lookup!N:N,0))</f>
        <v>Non FG</v>
      </c>
      <c r="M256">
        <f t="shared" si="8"/>
        <v>1</v>
      </c>
    </row>
    <row r="257" spans="1:13" hidden="1" x14ac:dyDescent="0.25">
      <c r="A257" s="78">
        <v>46048</v>
      </c>
      <c r="B257" s="79" t="s">
        <v>688</v>
      </c>
      <c r="C257" s="80" t="s">
        <v>1559</v>
      </c>
      <c r="D257" s="81" t="s">
        <v>689</v>
      </c>
      <c r="E257" s="26" t="s">
        <v>690</v>
      </c>
      <c r="F257" s="82">
        <v>80000</v>
      </c>
      <c r="G257" s="83" t="s">
        <v>622</v>
      </c>
      <c r="H257" s="84">
        <v>0</v>
      </c>
      <c r="I257" s="80" t="s">
        <v>94</v>
      </c>
      <c r="J257" s="80"/>
      <c r="K257">
        <f t="shared" si="7"/>
        <v>1</v>
      </c>
      <c r="L257" t="str">
        <f>IF(I257="UGR","UGR",_xlfn.XLOOKUP(D257,Lookup!O:O,Lookup!N:N,0))</f>
        <v>Non FG</v>
      </c>
      <c r="M257">
        <f t="shared" si="8"/>
        <v>1</v>
      </c>
    </row>
    <row r="258" spans="1:13" hidden="1" x14ac:dyDescent="0.25">
      <c r="A258" s="78">
        <v>46049</v>
      </c>
      <c r="B258" s="79" t="s">
        <v>688</v>
      </c>
      <c r="C258" s="80" t="s">
        <v>1560</v>
      </c>
      <c r="D258" s="81" t="s">
        <v>689</v>
      </c>
      <c r="E258" s="26" t="s">
        <v>690</v>
      </c>
      <c r="F258" s="82">
        <v>80000</v>
      </c>
      <c r="G258" s="83" t="s">
        <v>622</v>
      </c>
      <c r="H258" s="84">
        <v>0</v>
      </c>
      <c r="I258" s="80" t="s">
        <v>94</v>
      </c>
      <c r="J258" s="80"/>
      <c r="K258">
        <f t="shared" si="7"/>
        <v>1</v>
      </c>
      <c r="L258" t="str">
        <f>IF(I258="UGR","UGR",_xlfn.XLOOKUP(D258,Lookup!O:O,Lookup!N:N,0))</f>
        <v>Non FG</v>
      </c>
      <c r="M258">
        <f t="shared" si="8"/>
        <v>1</v>
      </c>
    </row>
    <row r="259" spans="1:13" hidden="1" x14ac:dyDescent="0.25">
      <c r="A259" s="78">
        <v>46050</v>
      </c>
      <c r="B259" s="79" t="s">
        <v>688</v>
      </c>
      <c r="C259" s="80" t="s">
        <v>1561</v>
      </c>
      <c r="D259" s="81" t="s">
        <v>689</v>
      </c>
      <c r="E259" s="26" t="s">
        <v>690</v>
      </c>
      <c r="F259" s="82">
        <v>80000</v>
      </c>
      <c r="G259" s="83" t="s">
        <v>622</v>
      </c>
      <c r="H259" s="84">
        <v>0</v>
      </c>
      <c r="I259" s="80" t="s">
        <v>94</v>
      </c>
      <c r="J259" s="80"/>
      <c r="K259">
        <f t="shared" ref="K259:K322" si="9">IF(AND(B259=B258,C259=C258),0,1)</f>
        <v>1</v>
      </c>
      <c r="L259" t="str">
        <f>IF(I259="UGR","UGR",_xlfn.XLOOKUP(D259,Lookup!O:O,Lookup!N:N,0))</f>
        <v>Non FG</v>
      </c>
      <c r="M259">
        <f t="shared" ref="M259:M322" si="10">MONTH(A259)</f>
        <v>1</v>
      </c>
    </row>
    <row r="260" spans="1:13" hidden="1" x14ac:dyDescent="0.25">
      <c r="A260" s="78">
        <v>46051</v>
      </c>
      <c r="B260" s="79" t="s">
        <v>688</v>
      </c>
      <c r="C260" s="80" t="s">
        <v>1562</v>
      </c>
      <c r="D260" s="81" t="s">
        <v>689</v>
      </c>
      <c r="E260" s="26" t="s">
        <v>690</v>
      </c>
      <c r="F260" s="82">
        <v>80000</v>
      </c>
      <c r="G260" s="83" t="s">
        <v>622</v>
      </c>
      <c r="H260" s="84">
        <v>0</v>
      </c>
      <c r="I260" s="80" t="s">
        <v>94</v>
      </c>
      <c r="J260" s="80"/>
      <c r="K260">
        <f t="shared" si="9"/>
        <v>1</v>
      </c>
      <c r="L260" t="str">
        <f>IF(I260="UGR","UGR",_xlfn.XLOOKUP(D260,Lookup!O:O,Lookup!N:N,0))</f>
        <v>Non FG</v>
      </c>
      <c r="M260">
        <f t="shared" si="10"/>
        <v>1</v>
      </c>
    </row>
    <row r="261" spans="1:13" hidden="1" x14ac:dyDescent="0.25">
      <c r="A261" s="78">
        <v>45971</v>
      </c>
      <c r="B261" s="79" t="s">
        <v>688</v>
      </c>
      <c r="C261" s="80" t="s">
        <v>1173</v>
      </c>
      <c r="D261" s="81" t="s">
        <v>691</v>
      </c>
      <c r="E261" s="26" t="s">
        <v>692</v>
      </c>
      <c r="F261" s="82">
        <v>80000</v>
      </c>
      <c r="G261" s="83" t="s">
        <v>622</v>
      </c>
      <c r="H261" s="84">
        <v>0</v>
      </c>
      <c r="I261" s="80" t="s">
        <v>94</v>
      </c>
      <c r="J261" s="80"/>
      <c r="K261">
        <f t="shared" si="9"/>
        <v>1</v>
      </c>
      <c r="L261" t="str">
        <f>IF(I261="UGR","UGR",_xlfn.XLOOKUP(D261,Lookup!O:O,Lookup!N:N,0))</f>
        <v>Non FG</v>
      </c>
      <c r="M261">
        <f t="shared" si="10"/>
        <v>11</v>
      </c>
    </row>
    <row r="262" spans="1:13" hidden="1" x14ac:dyDescent="0.25">
      <c r="A262" s="78">
        <v>45972</v>
      </c>
      <c r="B262" s="79" t="s">
        <v>688</v>
      </c>
      <c r="C262" s="80" t="s">
        <v>1228</v>
      </c>
      <c r="D262" s="81" t="s">
        <v>691</v>
      </c>
      <c r="E262" s="26" t="s">
        <v>692</v>
      </c>
      <c r="F262" s="82">
        <v>80000</v>
      </c>
      <c r="G262" s="83" t="s">
        <v>622</v>
      </c>
      <c r="H262" s="84">
        <v>0</v>
      </c>
      <c r="I262" s="80" t="s">
        <v>94</v>
      </c>
      <c r="J262" s="80"/>
      <c r="K262">
        <f t="shared" si="9"/>
        <v>1</v>
      </c>
      <c r="L262" t="str">
        <f>IF(I262="UGR","UGR",_xlfn.XLOOKUP(D262,Lookup!O:O,Lookup!N:N,0))</f>
        <v>Non FG</v>
      </c>
      <c r="M262">
        <f t="shared" si="10"/>
        <v>11</v>
      </c>
    </row>
    <row r="263" spans="1:13" hidden="1" x14ac:dyDescent="0.25">
      <c r="A263" s="78">
        <v>45973</v>
      </c>
      <c r="B263" s="79" t="s">
        <v>688</v>
      </c>
      <c r="C263" s="80" t="s">
        <v>1241</v>
      </c>
      <c r="D263" s="81" t="s">
        <v>691</v>
      </c>
      <c r="E263" s="26" t="s">
        <v>692</v>
      </c>
      <c r="F263" s="82">
        <v>80000</v>
      </c>
      <c r="G263" s="83" t="s">
        <v>622</v>
      </c>
      <c r="H263" s="84">
        <v>0</v>
      </c>
      <c r="I263" s="80" t="s">
        <v>94</v>
      </c>
      <c r="J263" s="80"/>
      <c r="K263">
        <f t="shared" si="9"/>
        <v>1</v>
      </c>
      <c r="L263" t="str">
        <f>IF(I263="UGR","UGR",_xlfn.XLOOKUP(D263,Lookup!O:O,Lookup!N:N,0))</f>
        <v>Non FG</v>
      </c>
      <c r="M263">
        <f t="shared" si="10"/>
        <v>11</v>
      </c>
    </row>
    <row r="264" spans="1:13" hidden="1" x14ac:dyDescent="0.25">
      <c r="A264" s="78">
        <v>45974</v>
      </c>
      <c r="B264" s="79" t="s">
        <v>688</v>
      </c>
      <c r="C264" s="80" t="s">
        <v>1257</v>
      </c>
      <c r="D264" s="81" t="s">
        <v>691</v>
      </c>
      <c r="E264" s="26" t="s">
        <v>692</v>
      </c>
      <c r="F264" s="82">
        <v>80000</v>
      </c>
      <c r="G264" s="83" t="s">
        <v>622</v>
      </c>
      <c r="H264" s="84">
        <v>0</v>
      </c>
      <c r="I264" s="80" t="s">
        <v>94</v>
      </c>
      <c r="J264" s="80"/>
      <c r="K264">
        <f t="shared" si="9"/>
        <v>1</v>
      </c>
      <c r="L264" t="str">
        <f>IF(I264="UGR","UGR",_xlfn.XLOOKUP(D264,Lookup!O:O,Lookup!N:N,0))</f>
        <v>Non FG</v>
      </c>
      <c r="M264">
        <f t="shared" si="10"/>
        <v>11</v>
      </c>
    </row>
    <row r="265" spans="1:13" hidden="1" x14ac:dyDescent="0.25">
      <c r="A265" s="78">
        <v>45980</v>
      </c>
      <c r="B265" s="79" t="s">
        <v>688</v>
      </c>
      <c r="C265" s="80" t="s">
        <v>1318</v>
      </c>
      <c r="D265" s="81" t="s">
        <v>691</v>
      </c>
      <c r="E265" s="26" t="s">
        <v>692</v>
      </c>
      <c r="F265" s="82">
        <v>80000</v>
      </c>
      <c r="G265" s="83" t="s">
        <v>622</v>
      </c>
      <c r="H265" s="84">
        <v>0</v>
      </c>
      <c r="I265" s="80" t="s">
        <v>94</v>
      </c>
      <c r="J265" s="80"/>
      <c r="K265">
        <f t="shared" si="9"/>
        <v>1</v>
      </c>
      <c r="L265" t="str">
        <f>IF(I265="UGR","UGR",_xlfn.XLOOKUP(D265,Lookup!O:O,Lookup!N:N,0))</f>
        <v>Non FG</v>
      </c>
      <c r="M265">
        <f t="shared" si="10"/>
        <v>11</v>
      </c>
    </row>
    <row r="266" spans="1:13" hidden="1" x14ac:dyDescent="0.25">
      <c r="A266" s="78">
        <v>45981</v>
      </c>
      <c r="B266" s="79" t="s">
        <v>688</v>
      </c>
      <c r="C266" s="80" t="s">
        <v>1332</v>
      </c>
      <c r="D266" s="81" t="s">
        <v>691</v>
      </c>
      <c r="E266" s="26" t="s">
        <v>692</v>
      </c>
      <c r="F266" s="82">
        <v>80000</v>
      </c>
      <c r="G266" s="83" t="s">
        <v>622</v>
      </c>
      <c r="H266" s="84">
        <v>0</v>
      </c>
      <c r="I266" s="80" t="s">
        <v>94</v>
      </c>
      <c r="J266" s="80"/>
      <c r="K266">
        <f t="shared" si="9"/>
        <v>1</v>
      </c>
      <c r="L266" t="str">
        <f>IF(I266="UGR","UGR",_xlfn.XLOOKUP(D266,Lookup!O:O,Lookup!N:N,0))</f>
        <v>Non FG</v>
      </c>
      <c r="M266">
        <f t="shared" si="10"/>
        <v>11</v>
      </c>
    </row>
    <row r="267" spans="1:13" hidden="1" x14ac:dyDescent="0.25">
      <c r="A267" s="78">
        <v>45985</v>
      </c>
      <c r="B267" s="79" t="s">
        <v>688</v>
      </c>
      <c r="C267" s="80" t="s">
        <v>1345</v>
      </c>
      <c r="D267" s="81" t="s">
        <v>691</v>
      </c>
      <c r="E267" s="26" t="s">
        <v>692</v>
      </c>
      <c r="F267" s="82">
        <v>80000</v>
      </c>
      <c r="G267" s="83" t="s">
        <v>622</v>
      </c>
      <c r="H267" s="84">
        <v>0</v>
      </c>
      <c r="I267" s="80" t="s">
        <v>94</v>
      </c>
      <c r="J267" s="80"/>
      <c r="K267">
        <f t="shared" si="9"/>
        <v>1</v>
      </c>
      <c r="L267" t="str">
        <f>IF(I267="UGR","UGR",_xlfn.XLOOKUP(D267,Lookup!O:O,Lookup!N:N,0))</f>
        <v>Non FG</v>
      </c>
      <c r="M267">
        <f t="shared" si="10"/>
        <v>11</v>
      </c>
    </row>
    <row r="268" spans="1:13" hidden="1" x14ac:dyDescent="0.25">
      <c r="A268" s="78">
        <v>45986</v>
      </c>
      <c r="B268" s="79" t="s">
        <v>688</v>
      </c>
      <c r="C268" s="80" t="s">
        <v>1359</v>
      </c>
      <c r="D268" s="81" t="s">
        <v>691</v>
      </c>
      <c r="E268" s="26" t="s">
        <v>692</v>
      </c>
      <c r="F268" s="82">
        <v>80000</v>
      </c>
      <c r="G268" s="83" t="s">
        <v>622</v>
      </c>
      <c r="H268" s="84">
        <v>0</v>
      </c>
      <c r="I268" s="80" t="s">
        <v>94</v>
      </c>
      <c r="J268" s="80"/>
      <c r="K268">
        <f t="shared" si="9"/>
        <v>1</v>
      </c>
      <c r="L268" t="str">
        <f>IF(I268="UGR","UGR",_xlfn.XLOOKUP(D268,Lookup!O:O,Lookup!N:N,0))</f>
        <v>Non FG</v>
      </c>
      <c r="M268">
        <f t="shared" si="10"/>
        <v>11</v>
      </c>
    </row>
    <row r="269" spans="1:13" hidden="1" x14ac:dyDescent="0.25">
      <c r="A269" s="78">
        <v>45987</v>
      </c>
      <c r="B269" s="79" t="s">
        <v>688</v>
      </c>
      <c r="C269" s="80" t="s">
        <v>1371</v>
      </c>
      <c r="D269" s="81" t="s">
        <v>691</v>
      </c>
      <c r="E269" s="26" t="s">
        <v>692</v>
      </c>
      <c r="F269" s="82">
        <v>80000</v>
      </c>
      <c r="G269" s="83" t="s">
        <v>622</v>
      </c>
      <c r="H269" s="84">
        <v>0</v>
      </c>
      <c r="I269" s="80" t="s">
        <v>94</v>
      </c>
      <c r="J269" s="80"/>
      <c r="K269">
        <f t="shared" si="9"/>
        <v>1</v>
      </c>
      <c r="L269" t="str">
        <f>IF(I269="UGR","UGR",_xlfn.XLOOKUP(D269,Lookup!O:O,Lookup!N:N,0))</f>
        <v>Non FG</v>
      </c>
      <c r="M269">
        <f t="shared" si="10"/>
        <v>11</v>
      </c>
    </row>
    <row r="270" spans="1:13" hidden="1" x14ac:dyDescent="0.25">
      <c r="A270" s="78">
        <v>46014</v>
      </c>
      <c r="B270" s="79" t="s">
        <v>688</v>
      </c>
      <c r="C270" s="80" t="s">
        <v>1563</v>
      </c>
      <c r="D270" s="81" t="s">
        <v>691</v>
      </c>
      <c r="E270" s="26" t="s">
        <v>692</v>
      </c>
      <c r="F270" s="82">
        <v>80000</v>
      </c>
      <c r="G270" s="83" t="s">
        <v>622</v>
      </c>
      <c r="H270" s="84">
        <v>0</v>
      </c>
      <c r="I270" s="80" t="s">
        <v>94</v>
      </c>
      <c r="J270" s="80"/>
      <c r="K270">
        <f t="shared" si="9"/>
        <v>1</v>
      </c>
      <c r="L270" t="str">
        <f>IF(I270="UGR","UGR",_xlfn.XLOOKUP(D270,Lookup!O:O,Lookup!N:N,0))</f>
        <v>Non FG</v>
      </c>
      <c r="M270">
        <f t="shared" si="10"/>
        <v>12</v>
      </c>
    </row>
    <row r="271" spans="1:13" hidden="1" x14ac:dyDescent="0.25">
      <c r="A271" s="78">
        <v>46027</v>
      </c>
      <c r="B271" s="79" t="s">
        <v>688</v>
      </c>
      <c r="C271" s="80" t="s">
        <v>1564</v>
      </c>
      <c r="D271" s="81" t="s">
        <v>691</v>
      </c>
      <c r="E271" s="26" t="s">
        <v>692</v>
      </c>
      <c r="F271" s="82">
        <v>80000</v>
      </c>
      <c r="G271" s="83" t="s">
        <v>622</v>
      </c>
      <c r="H271" s="84">
        <v>0</v>
      </c>
      <c r="I271" s="80" t="s">
        <v>94</v>
      </c>
      <c r="J271" s="80"/>
      <c r="K271">
        <f t="shared" si="9"/>
        <v>1</v>
      </c>
      <c r="L271" t="str">
        <f>IF(I271="UGR","UGR",_xlfn.XLOOKUP(D271,Lookup!O:O,Lookup!N:N,0))</f>
        <v>Non FG</v>
      </c>
      <c r="M271">
        <f t="shared" si="10"/>
        <v>1</v>
      </c>
    </row>
    <row r="272" spans="1:13" hidden="1" x14ac:dyDescent="0.25">
      <c r="A272" s="78">
        <v>46028</v>
      </c>
      <c r="B272" s="79" t="s">
        <v>688</v>
      </c>
      <c r="C272" s="80" t="s">
        <v>1565</v>
      </c>
      <c r="D272" s="81" t="s">
        <v>691</v>
      </c>
      <c r="E272" s="26" t="s">
        <v>692</v>
      </c>
      <c r="F272" s="82">
        <v>80000</v>
      </c>
      <c r="G272" s="83" t="s">
        <v>622</v>
      </c>
      <c r="H272" s="84">
        <v>0</v>
      </c>
      <c r="I272" s="80" t="s">
        <v>94</v>
      </c>
      <c r="J272" s="80"/>
      <c r="K272">
        <f t="shared" si="9"/>
        <v>1</v>
      </c>
      <c r="L272" t="str">
        <f>IF(I272="UGR","UGR",_xlfn.XLOOKUP(D272,Lookup!O:O,Lookup!N:N,0))</f>
        <v>Non FG</v>
      </c>
      <c r="M272">
        <f t="shared" si="10"/>
        <v>1</v>
      </c>
    </row>
    <row r="273" spans="1:13" hidden="1" x14ac:dyDescent="0.25">
      <c r="A273" s="78">
        <v>46029</v>
      </c>
      <c r="B273" s="79" t="s">
        <v>688</v>
      </c>
      <c r="C273" s="80" t="s">
        <v>1566</v>
      </c>
      <c r="D273" s="81" t="s">
        <v>691</v>
      </c>
      <c r="E273" s="26" t="s">
        <v>692</v>
      </c>
      <c r="F273" s="82">
        <v>80000</v>
      </c>
      <c r="G273" s="83" t="s">
        <v>622</v>
      </c>
      <c r="H273" s="84">
        <v>0</v>
      </c>
      <c r="I273" s="80" t="s">
        <v>94</v>
      </c>
      <c r="J273" s="80"/>
      <c r="K273">
        <f t="shared" si="9"/>
        <v>1</v>
      </c>
      <c r="L273" t="str">
        <f>IF(I273="UGR","UGR",_xlfn.XLOOKUP(D273,Lookup!O:O,Lookup!N:N,0))</f>
        <v>Non FG</v>
      </c>
      <c r="M273">
        <f t="shared" si="10"/>
        <v>1</v>
      </c>
    </row>
    <row r="274" spans="1:13" hidden="1" x14ac:dyDescent="0.25">
      <c r="A274" s="78">
        <v>46030</v>
      </c>
      <c r="B274" s="79" t="s">
        <v>688</v>
      </c>
      <c r="C274" s="80" t="s">
        <v>1567</v>
      </c>
      <c r="D274" s="81" t="s">
        <v>691</v>
      </c>
      <c r="E274" s="26" t="s">
        <v>692</v>
      </c>
      <c r="F274" s="82">
        <v>80000</v>
      </c>
      <c r="G274" s="83" t="s">
        <v>622</v>
      </c>
      <c r="H274" s="84">
        <v>0</v>
      </c>
      <c r="I274" s="80" t="s">
        <v>94</v>
      </c>
      <c r="J274" s="80"/>
      <c r="K274">
        <f t="shared" si="9"/>
        <v>1</v>
      </c>
      <c r="L274" t="str">
        <f>IF(I274="UGR","UGR",_xlfn.XLOOKUP(D274,Lookup!O:O,Lookup!N:N,0))</f>
        <v>Non FG</v>
      </c>
      <c r="M274">
        <f t="shared" si="10"/>
        <v>1</v>
      </c>
    </row>
    <row r="275" spans="1:13" hidden="1" x14ac:dyDescent="0.25">
      <c r="A275" s="78">
        <v>46042</v>
      </c>
      <c r="B275" s="79" t="s">
        <v>688</v>
      </c>
      <c r="C275" s="80" t="s">
        <v>1568</v>
      </c>
      <c r="D275" s="81" t="s">
        <v>691</v>
      </c>
      <c r="E275" s="26" t="s">
        <v>692</v>
      </c>
      <c r="F275" s="82">
        <v>80000</v>
      </c>
      <c r="G275" s="83" t="s">
        <v>622</v>
      </c>
      <c r="H275" s="84">
        <v>0</v>
      </c>
      <c r="I275" s="80" t="s">
        <v>94</v>
      </c>
      <c r="J275" s="80"/>
      <c r="K275">
        <f t="shared" si="9"/>
        <v>1</v>
      </c>
      <c r="L275" t="str">
        <f>IF(I275="UGR","UGR",_xlfn.XLOOKUP(D275,Lookup!O:O,Lookup!N:N,0))</f>
        <v>Non FG</v>
      </c>
      <c r="M275">
        <f t="shared" si="10"/>
        <v>1</v>
      </c>
    </row>
    <row r="276" spans="1:13" hidden="1" x14ac:dyDescent="0.25">
      <c r="A276" s="78">
        <v>46043</v>
      </c>
      <c r="B276" s="79" t="s">
        <v>688</v>
      </c>
      <c r="C276" s="80" t="s">
        <v>1569</v>
      </c>
      <c r="D276" s="81" t="s">
        <v>691</v>
      </c>
      <c r="E276" s="26" t="s">
        <v>692</v>
      </c>
      <c r="F276" s="82">
        <v>80000</v>
      </c>
      <c r="G276" s="83" t="s">
        <v>622</v>
      </c>
      <c r="H276" s="84">
        <v>0</v>
      </c>
      <c r="I276" s="80" t="s">
        <v>94</v>
      </c>
      <c r="J276" s="80"/>
      <c r="K276">
        <f t="shared" si="9"/>
        <v>1</v>
      </c>
      <c r="L276" t="str">
        <f>IF(I276="UGR","UGR",_xlfn.XLOOKUP(D276,Lookup!O:O,Lookup!N:N,0))</f>
        <v>Non FG</v>
      </c>
      <c r="M276">
        <f t="shared" si="10"/>
        <v>1</v>
      </c>
    </row>
    <row r="277" spans="1:13" hidden="1" x14ac:dyDescent="0.25">
      <c r="A277" s="78">
        <v>46044</v>
      </c>
      <c r="B277" s="79" t="s">
        <v>688</v>
      </c>
      <c r="C277" s="80" t="s">
        <v>1570</v>
      </c>
      <c r="D277" s="81" t="s">
        <v>691</v>
      </c>
      <c r="E277" s="26" t="s">
        <v>692</v>
      </c>
      <c r="F277" s="82">
        <v>80000</v>
      </c>
      <c r="G277" s="83" t="s">
        <v>622</v>
      </c>
      <c r="H277" s="84">
        <v>0</v>
      </c>
      <c r="I277" s="80" t="s">
        <v>94</v>
      </c>
      <c r="J277" s="80"/>
      <c r="K277">
        <f t="shared" si="9"/>
        <v>1</v>
      </c>
      <c r="L277" t="str">
        <f>IF(I277="UGR","UGR",_xlfn.XLOOKUP(D277,Lookup!O:O,Lookup!N:N,0))</f>
        <v>Non FG</v>
      </c>
      <c r="M277">
        <f t="shared" si="10"/>
        <v>1</v>
      </c>
    </row>
    <row r="278" spans="1:13" x14ac:dyDescent="0.25">
      <c r="A278" s="78">
        <v>45972</v>
      </c>
      <c r="B278" s="79" t="s">
        <v>693</v>
      </c>
      <c r="C278" s="80" t="s">
        <v>1242</v>
      </c>
      <c r="D278" s="81" t="s">
        <v>222</v>
      </c>
      <c r="E278" s="26" t="s">
        <v>694</v>
      </c>
      <c r="F278" s="82">
        <v>9121</v>
      </c>
      <c r="G278" s="83" t="s">
        <v>619</v>
      </c>
      <c r="H278" s="84">
        <v>9121</v>
      </c>
      <c r="I278" s="80" t="s">
        <v>94</v>
      </c>
      <c r="J278" s="80"/>
      <c r="K278">
        <f t="shared" si="9"/>
        <v>1</v>
      </c>
      <c r="L278" t="str">
        <f>IF(I278="UGR","UGR",_xlfn.XLOOKUP(D278,Lookup!O:O,Lookup!N:N,0))</f>
        <v>MRE Cases</v>
      </c>
      <c r="M278">
        <f t="shared" si="10"/>
        <v>11</v>
      </c>
    </row>
    <row r="279" spans="1:13" x14ac:dyDescent="0.25">
      <c r="A279" s="78">
        <v>45973</v>
      </c>
      <c r="B279" s="79" t="s">
        <v>693</v>
      </c>
      <c r="C279" s="80" t="s">
        <v>1286</v>
      </c>
      <c r="D279" s="81" t="s">
        <v>222</v>
      </c>
      <c r="E279" s="26" t="s">
        <v>694</v>
      </c>
      <c r="F279" s="82">
        <v>9120</v>
      </c>
      <c r="G279" s="83" t="s">
        <v>619</v>
      </c>
      <c r="H279" s="84">
        <v>9120</v>
      </c>
      <c r="I279" s="80" t="s">
        <v>94</v>
      </c>
      <c r="J279" s="80"/>
      <c r="K279">
        <f t="shared" si="9"/>
        <v>1</v>
      </c>
      <c r="L279" t="str">
        <f>IF(I279="UGR","UGR",_xlfn.XLOOKUP(D279,Lookup!O:O,Lookup!N:N,0))</f>
        <v>MRE Cases</v>
      </c>
      <c r="M279">
        <f t="shared" si="10"/>
        <v>11</v>
      </c>
    </row>
    <row r="280" spans="1:13" x14ac:dyDescent="0.25">
      <c r="A280" s="78">
        <v>45978</v>
      </c>
      <c r="B280" s="79" t="s">
        <v>693</v>
      </c>
      <c r="C280" s="80" t="s">
        <v>1303</v>
      </c>
      <c r="D280" s="81" t="s">
        <v>222</v>
      </c>
      <c r="E280" s="26" t="s">
        <v>694</v>
      </c>
      <c r="F280" s="82">
        <v>9120</v>
      </c>
      <c r="G280" s="83" t="s">
        <v>619</v>
      </c>
      <c r="H280" s="84">
        <v>9120</v>
      </c>
      <c r="I280" s="80" t="s">
        <v>94</v>
      </c>
      <c r="J280" s="80"/>
      <c r="K280">
        <f t="shared" si="9"/>
        <v>1</v>
      </c>
      <c r="L280" t="str">
        <f>IF(I280="UGR","UGR",_xlfn.XLOOKUP(D280,Lookup!O:O,Lookup!N:N,0))</f>
        <v>MRE Cases</v>
      </c>
      <c r="M280">
        <f t="shared" si="10"/>
        <v>11</v>
      </c>
    </row>
    <row r="281" spans="1:13" x14ac:dyDescent="0.25">
      <c r="A281" s="78">
        <v>45980</v>
      </c>
      <c r="B281" s="79" t="s">
        <v>693</v>
      </c>
      <c r="C281" s="80" t="s">
        <v>1333</v>
      </c>
      <c r="D281" s="81" t="s">
        <v>222</v>
      </c>
      <c r="E281" s="26" t="s">
        <v>694</v>
      </c>
      <c r="F281" s="82">
        <v>9120</v>
      </c>
      <c r="G281" s="83" t="s">
        <v>619</v>
      </c>
      <c r="H281" s="84">
        <v>9120</v>
      </c>
      <c r="I281" s="80" t="s">
        <v>94</v>
      </c>
      <c r="J281" s="80"/>
      <c r="K281">
        <f t="shared" si="9"/>
        <v>1</v>
      </c>
      <c r="L281" t="str">
        <f>IF(I281="UGR","UGR",_xlfn.XLOOKUP(D281,Lookup!O:O,Lookup!N:N,0))</f>
        <v>MRE Cases</v>
      </c>
      <c r="M281">
        <f t="shared" si="10"/>
        <v>11</v>
      </c>
    </row>
    <row r="282" spans="1:13" x14ac:dyDescent="0.25">
      <c r="A282" s="78">
        <v>45985</v>
      </c>
      <c r="B282" s="79" t="s">
        <v>693</v>
      </c>
      <c r="C282" s="80" t="s">
        <v>1360</v>
      </c>
      <c r="D282" s="81" t="s">
        <v>222</v>
      </c>
      <c r="E282" s="26" t="s">
        <v>694</v>
      </c>
      <c r="F282" s="82">
        <v>9120</v>
      </c>
      <c r="G282" s="83" t="s">
        <v>619</v>
      </c>
      <c r="H282" s="84">
        <v>9120</v>
      </c>
      <c r="I282" s="80" t="s">
        <v>94</v>
      </c>
      <c r="J282" s="80"/>
      <c r="K282">
        <f t="shared" si="9"/>
        <v>1</v>
      </c>
      <c r="L282" t="str">
        <f>IF(I282="UGR","UGR",_xlfn.XLOOKUP(D282,Lookup!O:O,Lookup!N:N,0))</f>
        <v>MRE Cases</v>
      </c>
      <c r="M282">
        <f t="shared" si="10"/>
        <v>11</v>
      </c>
    </row>
    <row r="283" spans="1:13" x14ac:dyDescent="0.25">
      <c r="A283" s="78">
        <v>45986</v>
      </c>
      <c r="B283" s="79" t="s">
        <v>693</v>
      </c>
      <c r="C283" s="80" t="s">
        <v>1571</v>
      </c>
      <c r="D283" s="81" t="s">
        <v>222</v>
      </c>
      <c r="E283" s="26" t="s">
        <v>694</v>
      </c>
      <c r="F283" s="82">
        <v>5352</v>
      </c>
      <c r="G283" s="83" t="s">
        <v>619</v>
      </c>
      <c r="H283" s="84">
        <v>5352</v>
      </c>
      <c r="I283" s="80" t="s">
        <v>94</v>
      </c>
      <c r="J283" s="80"/>
      <c r="K283">
        <f t="shared" si="9"/>
        <v>1</v>
      </c>
      <c r="L283" t="str">
        <f>IF(I283="UGR","UGR",_xlfn.XLOOKUP(D283,Lookup!O:O,Lookup!N:N,0))</f>
        <v>MRE Cases</v>
      </c>
      <c r="M283">
        <f t="shared" si="10"/>
        <v>11</v>
      </c>
    </row>
    <row r="284" spans="1:13" hidden="1" x14ac:dyDescent="0.25">
      <c r="A284" s="78">
        <v>45993</v>
      </c>
      <c r="B284" s="79" t="s">
        <v>693</v>
      </c>
      <c r="C284" s="80" t="s">
        <v>1572</v>
      </c>
      <c r="D284" s="81" t="s">
        <v>222</v>
      </c>
      <c r="E284" s="26" t="s">
        <v>694</v>
      </c>
      <c r="F284" s="82">
        <v>9120</v>
      </c>
      <c r="G284" s="83" t="s">
        <v>619</v>
      </c>
      <c r="H284" s="84">
        <v>9120</v>
      </c>
      <c r="I284" s="80" t="s">
        <v>94</v>
      </c>
      <c r="J284" s="80"/>
      <c r="K284">
        <f t="shared" si="9"/>
        <v>1</v>
      </c>
      <c r="L284" t="str">
        <f>IF(I284="UGR","UGR",_xlfn.XLOOKUP(D284,Lookup!O:O,Lookup!N:N,0))</f>
        <v>MRE Cases</v>
      </c>
      <c r="M284">
        <f t="shared" si="10"/>
        <v>12</v>
      </c>
    </row>
    <row r="285" spans="1:13" hidden="1" x14ac:dyDescent="0.25">
      <c r="A285" s="78">
        <v>45995</v>
      </c>
      <c r="B285" s="79" t="s">
        <v>693</v>
      </c>
      <c r="C285" s="80" t="s">
        <v>1573</v>
      </c>
      <c r="D285" s="81" t="s">
        <v>222</v>
      </c>
      <c r="E285" s="26" t="s">
        <v>694</v>
      </c>
      <c r="F285" s="82">
        <v>9120</v>
      </c>
      <c r="G285" s="83" t="s">
        <v>619</v>
      </c>
      <c r="H285" s="84">
        <v>9120</v>
      </c>
      <c r="I285" s="80" t="s">
        <v>94</v>
      </c>
      <c r="J285" s="80"/>
      <c r="K285">
        <f t="shared" si="9"/>
        <v>1</v>
      </c>
      <c r="L285" t="str">
        <f>IF(I285="UGR","UGR",_xlfn.XLOOKUP(D285,Lookup!O:O,Lookup!N:N,0))</f>
        <v>MRE Cases</v>
      </c>
      <c r="M285">
        <f t="shared" si="10"/>
        <v>12</v>
      </c>
    </row>
    <row r="286" spans="1:13" hidden="1" x14ac:dyDescent="0.25">
      <c r="A286" s="78">
        <v>45999</v>
      </c>
      <c r="B286" s="79" t="s">
        <v>693</v>
      </c>
      <c r="C286" s="80" t="s">
        <v>1574</v>
      </c>
      <c r="D286" s="81" t="s">
        <v>222</v>
      </c>
      <c r="E286" s="26" t="s">
        <v>694</v>
      </c>
      <c r="F286" s="82">
        <v>9120</v>
      </c>
      <c r="G286" s="83" t="s">
        <v>619</v>
      </c>
      <c r="H286" s="84">
        <v>9120</v>
      </c>
      <c r="I286" s="80" t="s">
        <v>94</v>
      </c>
      <c r="J286" s="80"/>
      <c r="K286">
        <f t="shared" si="9"/>
        <v>1</v>
      </c>
      <c r="L286" t="str">
        <f>IF(I286="UGR","UGR",_xlfn.XLOOKUP(D286,Lookup!O:O,Lookup!N:N,0))</f>
        <v>MRE Cases</v>
      </c>
      <c r="M286">
        <f t="shared" si="10"/>
        <v>12</v>
      </c>
    </row>
    <row r="287" spans="1:13" hidden="1" x14ac:dyDescent="0.25">
      <c r="A287" s="78">
        <v>46001</v>
      </c>
      <c r="B287" s="79" t="s">
        <v>693</v>
      </c>
      <c r="C287" s="80" t="s">
        <v>1575</v>
      </c>
      <c r="D287" s="81" t="s">
        <v>222</v>
      </c>
      <c r="E287" s="26" t="s">
        <v>694</v>
      </c>
      <c r="F287" s="82">
        <v>9120</v>
      </c>
      <c r="G287" s="83" t="s">
        <v>619</v>
      </c>
      <c r="H287" s="84">
        <v>9120</v>
      </c>
      <c r="I287" s="80" t="s">
        <v>94</v>
      </c>
      <c r="J287" s="80"/>
      <c r="K287">
        <f t="shared" si="9"/>
        <v>1</v>
      </c>
      <c r="L287" t="str">
        <f>IF(I287="UGR","UGR",_xlfn.XLOOKUP(D287,Lookup!O:O,Lookup!N:N,0))</f>
        <v>MRE Cases</v>
      </c>
      <c r="M287">
        <f t="shared" si="10"/>
        <v>12</v>
      </c>
    </row>
    <row r="288" spans="1:13" hidden="1" x14ac:dyDescent="0.25">
      <c r="A288" s="78">
        <v>46006</v>
      </c>
      <c r="B288" s="79" t="s">
        <v>693</v>
      </c>
      <c r="C288" s="80" t="s">
        <v>1576</v>
      </c>
      <c r="D288" s="81" t="s">
        <v>222</v>
      </c>
      <c r="E288" s="26" t="s">
        <v>694</v>
      </c>
      <c r="F288" s="82">
        <v>9120</v>
      </c>
      <c r="G288" s="83" t="s">
        <v>619</v>
      </c>
      <c r="H288" s="84">
        <v>9120</v>
      </c>
      <c r="I288" s="80" t="s">
        <v>94</v>
      </c>
      <c r="J288" s="80"/>
      <c r="K288">
        <f t="shared" si="9"/>
        <v>1</v>
      </c>
      <c r="L288" t="str">
        <f>IF(I288="UGR","UGR",_xlfn.XLOOKUP(D288,Lookup!O:O,Lookup!N:N,0))</f>
        <v>MRE Cases</v>
      </c>
      <c r="M288">
        <f t="shared" si="10"/>
        <v>12</v>
      </c>
    </row>
    <row r="289" spans="1:13" hidden="1" x14ac:dyDescent="0.25">
      <c r="A289" s="78">
        <v>46008</v>
      </c>
      <c r="B289" s="79" t="s">
        <v>693</v>
      </c>
      <c r="C289" s="80" t="s">
        <v>1577</v>
      </c>
      <c r="D289" s="81" t="s">
        <v>222</v>
      </c>
      <c r="E289" s="26" t="s">
        <v>694</v>
      </c>
      <c r="F289" s="82">
        <v>9120</v>
      </c>
      <c r="G289" s="83" t="s">
        <v>619</v>
      </c>
      <c r="H289" s="84">
        <v>9120</v>
      </c>
      <c r="I289" s="80" t="s">
        <v>94</v>
      </c>
      <c r="J289" s="80"/>
      <c r="K289">
        <f t="shared" si="9"/>
        <v>1</v>
      </c>
      <c r="L289" t="str">
        <f>IF(I289="UGR","UGR",_xlfn.XLOOKUP(D289,Lookup!O:O,Lookup!N:N,0))</f>
        <v>MRE Cases</v>
      </c>
      <c r="M289">
        <f t="shared" si="10"/>
        <v>12</v>
      </c>
    </row>
    <row r="290" spans="1:13" hidden="1" x14ac:dyDescent="0.25">
      <c r="A290" s="78">
        <v>46009</v>
      </c>
      <c r="B290" s="79" t="s">
        <v>693</v>
      </c>
      <c r="C290" s="80" t="s">
        <v>1578</v>
      </c>
      <c r="D290" s="81" t="s">
        <v>222</v>
      </c>
      <c r="E290" s="26" t="s">
        <v>694</v>
      </c>
      <c r="F290" s="82">
        <v>9120</v>
      </c>
      <c r="G290" s="83" t="s">
        <v>619</v>
      </c>
      <c r="H290" s="84">
        <v>9120</v>
      </c>
      <c r="I290" s="80" t="s">
        <v>94</v>
      </c>
      <c r="J290" s="80"/>
      <c r="K290">
        <f t="shared" si="9"/>
        <v>1</v>
      </c>
      <c r="L290" t="str">
        <f>IF(I290="UGR","UGR",_xlfn.XLOOKUP(D290,Lookup!O:O,Lookup!N:N,0))</f>
        <v>MRE Cases</v>
      </c>
      <c r="M290">
        <f t="shared" si="10"/>
        <v>12</v>
      </c>
    </row>
    <row r="291" spans="1:13" hidden="1" x14ac:dyDescent="0.25">
      <c r="A291" s="78">
        <v>46013</v>
      </c>
      <c r="B291" s="79" t="s">
        <v>693</v>
      </c>
      <c r="C291" s="80" t="s">
        <v>1579</v>
      </c>
      <c r="D291" s="81" t="s">
        <v>222</v>
      </c>
      <c r="E291" s="26" t="s">
        <v>694</v>
      </c>
      <c r="F291" s="82">
        <v>9120</v>
      </c>
      <c r="G291" s="83" t="s">
        <v>619</v>
      </c>
      <c r="H291" s="84">
        <v>9120</v>
      </c>
      <c r="I291" s="80" t="s">
        <v>94</v>
      </c>
      <c r="J291" s="80"/>
      <c r="K291">
        <f t="shared" si="9"/>
        <v>1</v>
      </c>
      <c r="L291" t="str">
        <f>IF(I291="UGR","UGR",_xlfn.XLOOKUP(D291,Lookup!O:O,Lookup!N:N,0))</f>
        <v>MRE Cases</v>
      </c>
      <c r="M291">
        <f t="shared" si="10"/>
        <v>12</v>
      </c>
    </row>
    <row r="292" spans="1:13" hidden="1" x14ac:dyDescent="0.25">
      <c r="A292" s="78">
        <v>46014</v>
      </c>
      <c r="B292" s="79" t="s">
        <v>693</v>
      </c>
      <c r="C292" s="80" t="s">
        <v>1580</v>
      </c>
      <c r="D292" s="81" t="s">
        <v>222</v>
      </c>
      <c r="E292" s="26" t="s">
        <v>694</v>
      </c>
      <c r="F292" s="82">
        <v>2720</v>
      </c>
      <c r="G292" s="83" t="s">
        <v>619</v>
      </c>
      <c r="H292" s="84">
        <v>2720</v>
      </c>
      <c r="I292" s="80" t="s">
        <v>94</v>
      </c>
      <c r="J292" s="80"/>
      <c r="K292">
        <f t="shared" si="9"/>
        <v>1</v>
      </c>
      <c r="L292" t="str">
        <f>IF(I292="UGR","UGR",_xlfn.XLOOKUP(D292,Lookup!O:O,Lookup!N:N,0))</f>
        <v>MRE Cases</v>
      </c>
      <c r="M292">
        <f t="shared" si="10"/>
        <v>12</v>
      </c>
    </row>
    <row r="293" spans="1:13" hidden="1" x14ac:dyDescent="0.25">
      <c r="A293" s="78">
        <v>46029</v>
      </c>
      <c r="B293" s="79" t="s">
        <v>693</v>
      </c>
      <c r="C293" s="80" t="s">
        <v>1581</v>
      </c>
      <c r="D293" s="81" t="s">
        <v>1582</v>
      </c>
      <c r="E293" s="26" t="s">
        <v>1583</v>
      </c>
      <c r="F293" s="82">
        <v>9120</v>
      </c>
      <c r="G293" s="83" t="s">
        <v>619</v>
      </c>
      <c r="H293" s="84">
        <v>9120</v>
      </c>
      <c r="I293" s="80" t="s">
        <v>94</v>
      </c>
      <c r="J293" s="80"/>
      <c r="K293">
        <f t="shared" si="9"/>
        <v>1</v>
      </c>
      <c r="L293" t="str">
        <f>IF(I293="UGR","UGR",_xlfn.XLOOKUP(D293,Lookup!O:O,Lookup!N:N,0))</f>
        <v>MRE Cases</v>
      </c>
      <c r="M293">
        <f t="shared" si="10"/>
        <v>1</v>
      </c>
    </row>
    <row r="294" spans="1:13" hidden="1" x14ac:dyDescent="0.25">
      <c r="A294" s="78">
        <v>46035</v>
      </c>
      <c r="B294" s="79" t="s">
        <v>693</v>
      </c>
      <c r="C294" s="80" t="s">
        <v>1584</v>
      </c>
      <c r="D294" s="81" t="s">
        <v>1582</v>
      </c>
      <c r="E294" s="26" t="s">
        <v>1583</v>
      </c>
      <c r="F294" s="82">
        <v>9120</v>
      </c>
      <c r="G294" s="83" t="s">
        <v>619</v>
      </c>
      <c r="H294" s="84">
        <v>9120</v>
      </c>
      <c r="I294" s="80" t="s">
        <v>94</v>
      </c>
      <c r="J294" s="80"/>
      <c r="K294">
        <f t="shared" si="9"/>
        <v>1</v>
      </c>
      <c r="L294" t="str">
        <f>IF(I294="UGR","UGR",_xlfn.XLOOKUP(D294,Lookup!O:O,Lookup!N:N,0))</f>
        <v>MRE Cases</v>
      </c>
      <c r="M294">
        <f t="shared" si="10"/>
        <v>1</v>
      </c>
    </row>
    <row r="295" spans="1:13" hidden="1" x14ac:dyDescent="0.25">
      <c r="A295" s="78">
        <v>46037</v>
      </c>
      <c r="B295" s="79" t="s">
        <v>693</v>
      </c>
      <c r="C295" s="80" t="s">
        <v>1585</v>
      </c>
      <c r="D295" s="81" t="s">
        <v>1582</v>
      </c>
      <c r="E295" s="26" t="s">
        <v>1583</v>
      </c>
      <c r="F295" s="82">
        <v>9120</v>
      </c>
      <c r="G295" s="83" t="s">
        <v>619</v>
      </c>
      <c r="H295" s="84">
        <v>9120</v>
      </c>
      <c r="I295" s="80" t="s">
        <v>94</v>
      </c>
      <c r="J295" s="80"/>
      <c r="K295">
        <f t="shared" si="9"/>
        <v>1</v>
      </c>
      <c r="L295" t="str">
        <f>IF(I295="UGR","UGR",_xlfn.XLOOKUP(D295,Lookup!O:O,Lookup!N:N,0))</f>
        <v>MRE Cases</v>
      </c>
      <c r="M295">
        <f t="shared" si="10"/>
        <v>1</v>
      </c>
    </row>
    <row r="296" spans="1:13" hidden="1" x14ac:dyDescent="0.25">
      <c r="A296" s="78">
        <v>46042</v>
      </c>
      <c r="B296" s="79" t="s">
        <v>693</v>
      </c>
      <c r="C296" s="80" t="s">
        <v>1586</v>
      </c>
      <c r="D296" s="81" t="s">
        <v>1582</v>
      </c>
      <c r="E296" s="26" t="s">
        <v>1583</v>
      </c>
      <c r="F296" s="82">
        <v>9120</v>
      </c>
      <c r="G296" s="83" t="s">
        <v>619</v>
      </c>
      <c r="H296" s="84">
        <v>9120</v>
      </c>
      <c r="I296" s="80" t="s">
        <v>94</v>
      </c>
      <c r="J296" s="80"/>
      <c r="K296">
        <f t="shared" si="9"/>
        <v>1</v>
      </c>
      <c r="L296" t="str">
        <f>IF(I296="UGR","UGR",_xlfn.XLOOKUP(D296,Lookup!O:O,Lookup!N:N,0))</f>
        <v>MRE Cases</v>
      </c>
      <c r="M296">
        <f t="shared" si="10"/>
        <v>1</v>
      </c>
    </row>
    <row r="297" spans="1:13" hidden="1" x14ac:dyDescent="0.25">
      <c r="A297" s="78">
        <v>46044</v>
      </c>
      <c r="B297" s="79" t="s">
        <v>693</v>
      </c>
      <c r="C297" s="80" t="s">
        <v>1587</v>
      </c>
      <c r="D297" s="81" t="s">
        <v>1582</v>
      </c>
      <c r="E297" s="26" t="s">
        <v>1583</v>
      </c>
      <c r="F297" s="82">
        <v>9120</v>
      </c>
      <c r="G297" s="83" t="s">
        <v>619</v>
      </c>
      <c r="H297" s="84">
        <v>9120</v>
      </c>
      <c r="I297" s="80" t="s">
        <v>94</v>
      </c>
      <c r="J297" s="80"/>
      <c r="K297">
        <f t="shared" si="9"/>
        <v>1</v>
      </c>
      <c r="L297" t="str">
        <f>IF(I297="UGR","UGR",_xlfn.XLOOKUP(D297,Lookup!O:O,Lookup!N:N,0))</f>
        <v>MRE Cases</v>
      </c>
      <c r="M297">
        <f t="shared" si="10"/>
        <v>1</v>
      </c>
    </row>
    <row r="298" spans="1:13" hidden="1" x14ac:dyDescent="0.25">
      <c r="A298" s="78">
        <v>46049</v>
      </c>
      <c r="B298" s="79" t="s">
        <v>693</v>
      </c>
      <c r="C298" s="80" t="s">
        <v>1588</v>
      </c>
      <c r="D298" s="81" t="s">
        <v>1582</v>
      </c>
      <c r="E298" s="26" t="s">
        <v>1583</v>
      </c>
      <c r="F298" s="82">
        <v>9120</v>
      </c>
      <c r="G298" s="83" t="s">
        <v>619</v>
      </c>
      <c r="H298" s="84">
        <v>9120</v>
      </c>
      <c r="I298" s="80" t="s">
        <v>94</v>
      </c>
      <c r="J298" s="80"/>
      <c r="K298">
        <f t="shared" si="9"/>
        <v>1</v>
      </c>
      <c r="L298" t="str">
        <f>IF(I298="UGR","UGR",_xlfn.XLOOKUP(D298,Lookup!O:O,Lookup!N:N,0))</f>
        <v>MRE Cases</v>
      </c>
      <c r="M298">
        <f t="shared" si="10"/>
        <v>1</v>
      </c>
    </row>
    <row r="299" spans="1:13" hidden="1" x14ac:dyDescent="0.25">
      <c r="A299" s="78">
        <v>46050</v>
      </c>
      <c r="B299" s="79" t="s">
        <v>693</v>
      </c>
      <c r="C299" s="80" t="s">
        <v>1589</v>
      </c>
      <c r="D299" s="81" t="s">
        <v>1582</v>
      </c>
      <c r="E299" s="26" t="s">
        <v>1583</v>
      </c>
      <c r="F299" s="82">
        <v>4560</v>
      </c>
      <c r="G299" s="83" t="s">
        <v>619</v>
      </c>
      <c r="H299" s="84">
        <v>4560</v>
      </c>
      <c r="I299" s="80" t="s">
        <v>94</v>
      </c>
      <c r="J299" s="80"/>
      <c r="K299">
        <f t="shared" si="9"/>
        <v>1</v>
      </c>
      <c r="L299" t="str">
        <f>IF(I299="UGR","UGR",_xlfn.XLOOKUP(D299,Lookup!O:O,Lookup!N:N,0))</f>
        <v>MRE Cases</v>
      </c>
      <c r="M299">
        <f t="shared" si="10"/>
        <v>1</v>
      </c>
    </row>
    <row r="300" spans="1:13" x14ac:dyDescent="0.25">
      <c r="A300" s="78">
        <v>45972</v>
      </c>
      <c r="B300" s="79" t="s">
        <v>693</v>
      </c>
      <c r="C300" s="80" t="s">
        <v>1243</v>
      </c>
      <c r="D300" s="81" t="s">
        <v>223</v>
      </c>
      <c r="E300" s="26" t="s">
        <v>695</v>
      </c>
      <c r="F300" s="82">
        <v>9121</v>
      </c>
      <c r="G300" s="83" t="s">
        <v>619</v>
      </c>
      <c r="H300" s="84">
        <v>9121</v>
      </c>
      <c r="I300" s="80" t="s">
        <v>94</v>
      </c>
      <c r="J300" s="80"/>
      <c r="K300">
        <f t="shared" si="9"/>
        <v>1</v>
      </c>
      <c r="L300" t="str">
        <f>IF(I300="UGR","UGR",_xlfn.XLOOKUP(D300,Lookup!O:O,Lookup!N:N,0))</f>
        <v>MRE Cases</v>
      </c>
      <c r="M300">
        <f t="shared" si="10"/>
        <v>11</v>
      </c>
    </row>
    <row r="301" spans="1:13" x14ac:dyDescent="0.25">
      <c r="A301" s="78">
        <v>45973</v>
      </c>
      <c r="B301" s="79" t="s">
        <v>693</v>
      </c>
      <c r="C301" s="80" t="s">
        <v>1287</v>
      </c>
      <c r="D301" s="81" t="s">
        <v>223</v>
      </c>
      <c r="E301" s="26" t="s">
        <v>695</v>
      </c>
      <c r="F301" s="82">
        <v>9120</v>
      </c>
      <c r="G301" s="83" t="s">
        <v>619</v>
      </c>
      <c r="H301" s="84">
        <v>9120</v>
      </c>
      <c r="I301" s="80" t="s">
        <v>94</v>
      </c>
      <c r="J301" s="80"/>
      <c r="K301">
        <f t="shared" si="9"/>
        <v>1</v>
      </c>
      <c r="L301" t="str">
        <f>IF(I301="UGR","UGR",_xlfn.XLOOKUP(D301,Lookup!O:O,Lookup!N:N,0))</f>
        <v>MRE Cases</v>
      </c>
      <c r="M301">
        <f t="shared" si="10"/>
        <v>11</v>
      </c>
    </row>
    <row r="302" spans="1:13" x14ac:dyDescent="0.25">
      <c r="A302" s="78">
        <v>45978</v>
      </c>
      <c r="B302" s="79" t="s">
        <v>693</v>
      </c>
      <c r="C302" s="80" t="s">
        <v>1304</v>
      </c>
      <c r="D302" s="81" t="s">
        <v>223</v>
      </c>
      <c r="E302" s="26" t="s">
        <v>695</v>
      </c>
      <c r="F302" s="82">
        <v>9120</v>
      </c>
      <c r="G302" s="83" t="s">
        <v>619</v>
      </c>
      <c r="H302" s="84">
        <v>9120</v>
      </c>
      <c r="I302" s="80" t="s">
        <v>94</v>
      </c>
      <c r="J302" s="80"/>
      <c r="K302">
        <f t="shared" si="9"/>
        <v>1</v>
      </c>
      <c r="L302" t="str">
        <f>IF(I302="UGR","UGR",_xlfn.XLOOKUP(D302,Lookup!O:O,Lookup!N:N,0))</f>
        <v>MRE Cases</v>
      </c>
      <c r="M302">
        <f t="shared" si="10"/>
        <v>11</v>
      </c>
    </row>
    <row r="303" spans="1:13" x14ac:dyDescent="0.25">
      <c r="A303" s="78">
        <v>45980</v>
      </c>
      <c r="B303" s="79" t="s">
        <v>693</v>
      </c>
      <c r="C303" s="80" t="s">
        <v>1334</v>
      </c>
      <c r="D303" s="81" t="s">
        <v>223</v>
      </c>
      <c r="E303" s="26" t="s">
        <v>695</v>
      </c>
      <c r="F303" s="82">
        <v>9120</v>
      </c>
      <c r="G303" s="83" t="s">
        <v>619</v>
      </c>
      <c r="H303" s="84">
        <v>9120</v>
      </c>
      <c r="I303" s="80" t="s">
        <v>94</v>
      </c>
      <c r="J303" s="80"/>
      <c r="K303">
        <f t="shared" si="9"/>
        <v>1</v>
      </c>
      <c r="L303" t="str">
        <f>IF(I303="UGR","UGR",_xlfn.XLOOKUP(D303,Lookup!O:O,Lookup!N:N,0))</f>
        <v>MRE Cases</v>
      </c>
      <c r="M303">
        <f t="shared" si="10"/>
        <v>11</v>
      </c>
    </row>
    <row r="304" spans="1:13" x14ac:dyDescent="0.25">
      <c r="A304" s="78">
        <v>45985</v>
      </c>
      <c r="B304" s="79" t="s">
        <v>693</v>
      </c>
      <c r="C304" s="80" t="s">
        <v>1361</v>
      </c>
      <c r="D304" s="81" t="s">
        <v>223</v>
      </c>
      <c r="E304" s="26" t="s">
        <v>695</v>
      </c>
      <c r="F304" s="82">
        <v>9120</v>
      </c>
      <c r="G304" s="83" t="s">
        <v>619</v>
      </c>
      <c r="H304" s="84">
        <v>9120</v>
      </c>
      <c r="I304" s="80" t="s">
        <v>94</v>
      </c>
      <c r="J304" s="80"/>
      <c r="K304">
        <f t="shared" si="9"/>
        <v>1</v>
      </c>
      <c r="L304" t="str">
        <f>IF(I304="UGR","UGR",_xlfn.XLOOKUP(D304,Lookup!O:O,Lookup!N:N,0))</f>
        <v>MRE Cases</v>
      </c>
      <c r="M304">
        <f t="shared" si="10"/>
        <v>11</v>
      </c>
    </row>
    <row r="305" spans="1:13" x14ac:dyDescent="0.25">
      <c r="A305" s="78">
        <v>45986</v>
      </c>
      <c r="B305" s="79" t="s">
        <v>693</v>
      </c>
      <c r="C305" s="80" t="s">
        <v>1590</v>
      </c>
      <c r="D305" s="81" t="s">
        <v>223</v>
      </c>
      <c r="E305" s="26" t="s">
        <v>695</v>
      </c>
      <c r="F305" s="82">
        <v>5352</v>
      </c>
      <c r="G305" s="83" t="s">
        <v>619</v>
      </c>
      <c r="H305" s="84">
        <v>5352</v>
      </c>
      <c r="I305" s="80" t="s">
        <v>94</v>
      </c>
      <c r="J305" s="80"/>
      <c r="K305">
        <f t="shared" si="9"/>
        <v>1</v>
      </c>
      <c r="L305" t="str">
        <f>IF(I305="UGR","UGR",_xlfn.XLOOKUP(D305,Lookup!O:O,Lookup!N:N,0))</f>
        <v>MRE Cases</v>
      </c>
      <c r="M305">
        <f t="shared" si="10"/>
        <v>11</v>
      </c>
    </row>
    <row r="306" spans="1:13" hidden="1" x14ac:dyDescent="0.25">
      <c r="A306" s="78">
        <v>45993</v>
      </c>
      <c r="B306" s="79" t="s">
        <v>693</v>
      </c>
      <c r="C306" s="80" t="s">
        <v>1591</v>
      </c>
      <c r="D306" s="81" t="s">
        <v>223</v>
      </c>
      <c r="E306" s="26" t="s">
        <v>695</v>
      </c>
      <c r="F306" s="82">
        <v>9120</v>
      </c>
      <c r="G306" s="83" t="s">
        <v>619</v>
      </c>
      <c r="H306" s="84">
        <v>9120</v>
      </c>
      <c r="I306" s="80" t="s">
        <v>94</v>
      </c>
      <c r="J306" s="80"/>
      <c r="K306">
        <f t="shared" si="9"/>
        <v>1</v>
      </c>
      <c r="L306" t="str">
        <f>IF(I306="UGR","UGR",_xlfn.XLOOKUP(D306,Lookup!O:O,Lookup!N:N,0))</f>
        <v>MRE Cases</v>
      </c>
      <c r="M306">
        <f t="shared" si="10"/>
        <v>12</v>
      </c>
    </row>
    <row r="307" spans="1:13" hidden="1" x14ac:dyDescent="0.25">
      <c r="A307" s="78">
        <v>45995</v>
      </c>
      <c r="B307" s="79" t="s">
        <v>693</v>
      </c>
      <c r="C307" s="80" t="s">
        <v>1592</v>
      </c>
      <c r="D307" s="81" t="s">
        <v>223</v>
      </c>
      <c r="E307" s="26" t="s">
        <v>695</v>
      </c>
      <c r="F307" s="82">
        <v>9120</v>
      </c>
      <c r="G307" s="83" t="s">
        <v>619</v>
      </c>
      <c r="H307" s="84">
        <v>9120</v>
      </c>
      <c r="I307" s="80" t="s">
        <v>94</v>
      </c>
      <c r="J307" s="80"/>
      <c r="K307">
        <f t="shared" si="9"/>
        <v>1</v>
      </c>
      <c r="L307" t="str">
        <f>IF(I307="UGR","UGR",_xlfn.XLOOKUP(D307,Lookup!O:O,Lookup!N:N,0))</f>
        <v>MRE Cases</v>
      </c>
      <c r="M307">
        <f t="shared" si="10"/>
        <v>12</v>
      </c>
    </row>
    <row r="308" spans="1:13" hidden="1" x14ac:dyDescent="0.25">
      <c r="A308" s="78">
        <v>45999</v>
      </c>
      <c r="B308" s="79" t="s">
        <v>693</v>
      </c>
      <c r="C308" s="80" t="s">
        <v>1593</v>
      </c>
      <c r="D308" s="81" t="s">
        <v>223</v>
      </c>
      <c r="E308" s="26" t="s">
        <v>695</v>
      </c>
      <c r="F308" s="82">
        <v>9120</v>
      </c>
      <c r="G308" s="83" t="s">
        <v>619</v>
      </c>
      <c r="H308" s="84">
        <v>9120</v>
      </c>
      <c r="I308" s="80" t="s">
        <v>94</v>
      </c>
      <c r="J308" s="80"/>
      <c r="K308">
        <f t="shared" si="9"/>
        <v>1</v>
      </c>
      <c r="L308" t="str">
        <f>IF(I308="UGR","UGR",_xlfn.XLOOKUP(D308,Lookup!O:O,Lookup!N:N,0))</f>
        <v>MRE Cases</v>
      </c>
      <c r="M308">
        <f t="shared" si="10"/>
        <v>12</v>
      </c>
    </row>
    <row r="309" spans="1:13" hidden="1" x14ac:dyDescent="0.25">
      <c r="A309" s="78">
        <v>46001</v>
      </c>
      <c r="B309" s="79" t="s">
        <v>693</v>
      </c>
      <c r="C309" s="80" t="s">
        <v>1594</v>
      </c>
      <c r="D309" s="81" t="s">
        <v>223</v>
      </c>
      <c r="E309" s="26" t="s">
        <v>695</v>
      </c>
      <c r="F309" s="82">
        <v>9120</v>
      </c>
      <c r="G309" s="83" t="s">
        <v>619</v>
      </c>
      <c r="H309" s="84">
        <v>9120</v>
      </c>
      <c r="I309" s="80" t="s">
        <v>94</v>
      </c>
      <c r="J309" s="80"/>
      <c r="K309">
        <f t="shared" si="9"/>
        <v>1</v>
      </c>
      <c r="L309" t="str">
        <f>IF(I309="UGR","UGR",_xlfn.XLOOKUP(D309,Lookup!O:O,Lookup!N:N,0))</f>
        <v>MRE Cases</v>
      </c>
      <c r="M309">
        <f t="shared" si="10"/>
        <v>12</v>
      </c>
    </row>
    <row r="310" spans="1:13" hidden="1" x14ac:dyDescent="0.25">
      <c r="A310" s="78">
        <v>46006</v>
      </c>
      <c r="B310" s="79" t="s">
        <v>693</v>
      </c>
      <c r="C310" s="80" t="s">
        <v>1595</v>
      </c>
      <c r="D310" s="81" t="s">
        <v>223</v>
      </c>
      <c r="E310" s="26" t="s">
        <v>695</v>
      </c>
      <c r="F310" s="82">
        <v>9120</v>
      </c>
      <c r="G310" s="83" t="s">
        <v>619</v>
      </c>
      <c r="H310" s="84">
        <v>9120</v>
      </c>
      <c r="I310" s="80" t="s">
        <v>94</v>
      </c>
      <c r="J310" s="80"/>
      <c r="K310">
        <f t="shared" si="9"/>
        <v>1</v>
      </c>
      <c r="L310" t="str">
        <f>IF(I310="UGR","UGR",_xlfn.XLOOKUP(D310,Lookup!O:O,Lookup!N:N,0))</f>
        <v>MRE Cases</v>
      </c>
      <c r="M310">
        <f t="shared" si="10"/>
        <v>12</v>
      </c>
    </row>
    <row r="311" spans="1:13" hidden="1" x14ac:dyDescent="0.25">
      <c r="A311" s="78">
        <v>46008</v>
      </c>
      <c r="B311" s="79" t="s">
        <v>693</v>
      </c>
      <c r="C311" s="80" t="s">
        <v>1596</v>
      </c>
      <c r="D311" s="81" t="s">
        <v>223</v>
      </c>
      <c r="E311" s="26" t="s">
        <v>695</v>
      </c>
      <c r="F311" s="82">
        <v>9120</v>
      </c>
      <c r="G311" s="83" t="s">
        <v>619</v>
      </c>
      <c r="H311" s="84">
        <v>9120</v>
      </c>
      <c r="I311" s="80" t="s">
        <v>94</v>
      </c>
      <c r="J311" s="80"/>
      <c r="K311">
        <f t="shared" si="9"/>
        <v>1</v>
      </c>
      <c r="L311" t="str">
        <f>IF(I311="UGR","UGR",_xlfn.XLOOKUP(D311,Lookup!O:O,Lookup!N:N,0))</f>
        <v>MRE Cases</v>
      </c>
      <c r="M311">
        <f t="shared" si="10"/>
        <v>12</v>
      </c>
    </row>
    <row r="312" spans="1:13" hidden="1" x14ac:dyDescent="0.25">
      <c r="A312" s="78">
        <v>46009</v>
      </c>
      <c r="B312" s="79" t="s">
        <v>693</v>
      </c>
      <c r="C312" s="80" t="s">
        <v>1597</v>
      </c>
      <c r="D312" s="81" t="s">
        <v>223</v>
      </c>
      <c r="E312" s="26" t="s">
        <v>695</v>
      </c>
      <c r="F312" s="82">
        <v>9120</v>
      </c>
      <c r="G312" s="83" t="s">
        <v>619</v>
      </c>
      <c r="H312" s="84">
        <v>9120</v>
      </c>
      <c r="I312" s="80" t="s">
        <v>94</v>
      </c>
      <c r="J312" s="80"/>
      <c r="K312">
        <f t="shared" si="9"/>
        <v>1</v>
      </c>
      <c r="L312" t="str">
        <f>IF(I312="UGR","UGR",_xlfn.XLOOKUP(D312,Lookup!O:O,Lookup!N:N,0))</f>
        <v>MRE Cases</v>
      </c>
      <c r="M312">
        <f t="shared" si="10"/>
        <v>12</v>
      </c>
    </row>
    <row r="313" spans="1:13" hidden="1" x14ac:dyDescent="0.25">
      <c r="A313" s="78">
        <v>46013</v>
      </c>
      <c r="B313" s="79" t="s">
        <v>693</v>
      </c>
      <c r="C313" s="80" t="s">
        <v>1598</v>
      </c>
      <c r="D313" s="81" t="s">
        <v>223</v>
      </c>
      <c r="E313" s="26" t="s">
        <v>695</v>
      </c>
      <c r="F313" s="82">
        <v>9120</v>
      </c>
      <c r="G313" s="83" t="s">
        <v>619</v>
      </c>
      <c r="H313" s="84">
        <v>9120</v>
      </c>
      <c r="I313" s="80" t="s">
        <v>94</v>
      </c>
      <c r="J313" s="80"/>
      <c r="K313">
        <f t="shared" si="9"/>
        <v>1</v>
      </c>
      <c r="L313" t="str">
        <f>IF(I313="UGR","UGR",_xlfn.XLOOKUP(D313,Lookup!O:O,Lookup!N:N,0))</f>
        <v>MRE Cases</v>
      </c>
      <c r="M313">
        <f t="shared" si="10"/>
        <v>12</v>
      </c>
    </row>
    <row r="314" spans="1:13" hidden="1" x14ac:dyDescent="0.25">
      <c r="A314" s="78">
        <v>46014</v>
      </c>
      <c r="B314" s="79" t="s">
        <v>693</v>
      </c>
      <c r="C314" s="80" t="s">
        <v>1599</v>
      </c>
      <c r="D314" s="81" t="s">
        <v>223</v>
      </c>
      <c r="E314" s="26" t="s">
        <v>695</v>
      </c>
      <c r="F314" s="82">
        <v>2720</v>
      </c>
      <c r="G314" s="83" t="s">
        <v>619</v>
      </c>
      <c r="H314" s="84">
        <v>2720</v>
      </c>
      <c r="I314" s="80" t="s">
        <v>94</v>
      </c>
      <c r="J314" s="80"/>
      <c r="K314">
        <f t="shared" si="9"/>
        <v>1</v>
      </c>
      <c r="L314" t="str">
        <f>IF(I314="UGR","UGR",_xlfn.XLOOKUP(D314,Lookup!O:O,Lookup!N:N,0))</f>
        <v>MRE Cases</v>
      </c>
      <c r="M314">
        <f t="shared" si="10"/>
        <v>12</v>
      </c>
    </row>
    <row r="315" spans="1:13" hidden="1" x14ac:dyDescent="0.25">
      <c r="A315" s="78">
        <v>46029</v>
      </c>
      <c r="B315" s="79" t="s">
        <v>693</v>
      </c>
      <c r="C315" s="80" t="s">
        <v>1600</v>
      </c>
      <c r="D315" s="81" t="s">
        <v>1601</v>
      </c>
      <c r="E315" s="26" t="s">
        <v>1602</v>
      </c>
      <c r="F315" s="82">
        <v>9120</v>
      </c>
      <c r="G315" s="83" t="s">
        <v>619</v>
      </c>
      <c r="H315" s="84">
        <v>9120</v>
      </c>
      <c r="I315" s="80" t="s">
        <v>94</v>
      </c>
      <c r="J315" s="80"/>
      <c r="K315">
        <f t="shared" si="9"/>
        <v>1</v>
      </c>
      <c r="L315" t="str">
        <f>IF(I315="UGR","UGR",_xlfn.XLOOKUP(D315,Lookup!O:O,Lookup!N:N,0))</f>
        <v>MRE Cases</v>
      </c>
      <c r="M315">
        <f t="shared" si="10"/>
        <v>1</v>
      </c>
    </row>
    <row r="316" spans="1:13" hidden="1" x14ac:dyDescent="0.25">
      <c r="A316" s="78">
        <v>46035</v>
      </c>
      <c r="B316" s="79" t="s">
        <v>693</v>
      </c>
      <c r="C316" s="80" t="s">
        <v>1603</v>
      </c>
      <c r="D316" s="81" t="s">
        <v>1601</v>
      </c>
      <c r="E316" s="26" t="s">
        <v>1602</v>
      </c>
      <c r="F316" s="82">
        <v>9120</v>
      </c>
      <c r="G316" s="83" t="s">
        <v>619</v>
      </c>
      <c r="H316" s="84">
        <v>9120</v>
      </c>
      <c r="I316" s="80" t="s">
        <v>94</v>
      </c>
      <c r="J316" s="80"/>
      <c r="K316">
        <f t="shared" si="9"/>
        <v>1</v>
      </c>
      <c r="L316" t="str">
        <f>IF(I316="UGR","UGR",_xlfn.XLOOKUP(D316,Lookup!O:O,Lookup!N:N,0))</f>
        <v>MRE Cases</v>
      </c>
      <c r="M316">
        <f t="shared" si="10"/>
        <v>1</v>
      </c>
    </row>
    <row r="317" spans="1:13" hidden="1" x14ac:dyDescent="0.25">
      <c r="A317" s="78">
        <v>46037</v>
      </c>
      <c r="B317" s="79" t="s">
        <v>693</v>
      </c>
      <c r="C317" s="80" t="s">
        <v>1604</v>
      </c>
      <c r="D317" s="81" t="s">
        <v>1601</v>
      </c>
      <c r="E317" s="26" t="s">
        <v>1602</v>
      </c>
      <c r="F317" s="82">
        <v>9120</v>
      </c>
      <c r="G317" s="83" t="s">
        <v>619</v>
      </c>
      <c r="H317" s="84">
        <v>9120</v>
      </c>
      <c r="I317" s="80" t="s">
        <v>94</v>
      </c>
      <c r="J317" s="80"/>
      <c r="K317">
        <f t="shared" si="9"/>
        <v>1</v>
      </c>
      <c r="L317" t="str">
        <f>IF(I317="UGR","UGR",_xlfn.XLOOKUP(D317,Lookup!O:O,Lookup!N:N,0))</f>
        <v>MRE Cases</v>
      </c>
      <c r="M317">
        <f t="shared" si="10"/>
        <v>1</v>
      </c>
    </row>
    <row r="318" spans="1:13" hidden="1" x14ac:dyDescent="0.25">
      <c r="A318" s="78">
        <v>46042</v>
      </c>
      <c r="B318" s="79" t="s">
        <v>693</v>
      </c>
      <c r="C318" s="80" t="s">
        <v>1605</v>
      </c>
      <c r="D318" s="81" t="s">
        <v>1601</v>
      </c>
      <c r="E318" s="26" t="s">
        <v>1602</v>
      </c>
      <c r="F318" s="82">
        <v>9120</v>
      </c>
      <c r="G318" s="83" t="s">
        <v>619</v>
      </c>
      <c r="H318" s="84">
        <v>9120</v>
      </c>
      <c r="I318" s="80" t="s">
        <v>94</v>
      </c>
      <c r="J318" s="80"/>
      <c r="K318">
        <f t="shared" si="9"/>
        <v>1</v>
      </c>
      <c r="L318" t="str">
        <f>IF(I318="UGR","UGR",_xlfn.XLOOKUP(D318,Lookup!O:O,Lookup!N:N,0))</f>
        <v>MRE Cases</v>
      </c>
      <c r="M318">
        <f t="shared" si="10"/>
        <v>1</v>
      </c>
    </row>
    <row r="319" spans="1:13" hidden="1" x14ac:dyDescent="0.25">
      <c r="A319" s="78">
        <v>46044</v>
      </c>
      <c r="B319" s="79" t="s">
        <v>693</v>
      </c>
      <c r="C319" s="80" t="s">
        <v>1606</v>
      </c>
      <c r="D319" s="81" t="s">
        <v>1601</v>
      </c>
      <c r="E319" s="26" t="s">
        <v>1602</v>
      </c>
      <c r="F319" s="82">
        <v>9120</v>
      </c>
      <c r="G319" s="83" t="s">
        <v>619</v>
      </c>
      <c r="H319" s="84">
        <v>9120</v>
      </c>
      <c r="I319" s="80" t="s">
        <v>94</v>
      </c>
      <c r="J319" s="80"/>
      <c r="K319">
        <f t="shared" si="9"/>
        <v>1</v>
      </c>
      <c r="L319" t="str">
        <f>IF(I319="UGR","UGR",_xlfn.XLOOKUP(D319,Lookup!O:O,Lookup!N:N,0))</f>
        <v>MRE Cases</v>
      </c>
      <c r="M319">
        <f t="shared" si="10"/>
        <v>1</v>
      </c>
    </row>
    <row r="320" spans="1:13" hidden="1" x14ac:dyDescent="0.25">
      <c r="A320" s="78">
        <v>46049</v>
      </c>
      <c r="B320" s="79" t="s">
        <v>693</v>
      </c>
      <c r="C320" s="80" t="s">
        <v>1607</v>
      </c>
      <c r="D320" s="81" t="s">
        <v>1601</v>
      </c>
      <c r="E320" s="26" t="s">
        <v>1602</v>
      </c>
      <c r="F320" s="82">
        <v>9120</v>
      </c>
      <c r="G320" s="83" t="s">
        <v>619</v>
      </c>
      <c r="H320" s="84">
        <v>9120</v>
      </c>
      <c r="I320" s="80" t="s">
        <v>94</v>
      </c>
      <c r="J320" s="80"/>
      <c r="K320">
        <f t="shared" si="9"/>
        <v>1</v>
      </c>
      <c r="L320" t="str">
        <f>IF(I320="UGR","UGR",_xlfn.XLOOKUP(D320,Lookup!O:O,Lookup!N:N,0))</f>
        <v>MRE Cases</v>
      </c>
      <c r="M320">
        <f t="shared" si="10"/>
        <v>1</v>
      </c>
    </row>
    <row r="321" spans="1:13" hidden="1" x14ac:dyDescent="0.25">
      <c r="A321" s="78">
        <v>46050</v>
      </c>
      <c r="B321" s="79" t="s">
        <v>693</v>
      </c>
      <c r="C321" s="80" t="s">
        <v>1608</v>
      </c>
      <c r="D321" s="81" t="s">
        <v>1601</v>
      </c>
      <c r="E321" s="26" t="s">
        <v>1602</v>
      </c>
      <c r="F321" s="82">
        <v>4560</v>
      </c>
      <c r="G321" s="83" t="s">
        <v>619</v>
      </c>
      <c r="H321" s="84">
        <v>4560</v>
      </c>
      <c r="I321" s="80" t="s">
        <v>94</v>
      </c>
      <c r="J321" s="80"/>
      <c r="K321">
        <f t="shared" si="9"/>
        <v>1</v>
      </c>
      <c r="L321" t="str">
        <f>IF(I321="UGR","UGR",_xlfn.XLOOKUP(D321,Lookup!O:O,Lookup!N:N,0))</f>
        <v>MRE Cases</v>
      </c>
      <c r="M321">
        <f t="shared" si="10"/>
        <v>1</v>
      </c>
    </row>
    <row r="322" spans="1:13" hidden="1" x14ac:dyDescent="0.25">
      <c r="A322" s="78">
        <v>45972</v>
      </c>
      <c r="B322" s="79" t="s">
        <v>664</v>
      </c>
      <c r="C322" s="80" t="s">
        <v>1229</v>
      </c>
      <c r="D322" s="81" t="s">
        <v>724</v>
      </c>
      <c r="E322" s="26" t="s">
        <v>725</v>
      </c>
      <c r="F322" s="82">
        <v>10000</v>
      </c>
      <c r="G322" s="83" t="s">
        <v>622</v>
      </c>
      <c r="H322" s="84">
        <v>10000</v>
      </c>
      <c r="I322" s="80" t="s">
        <v>94</v>
      </c>
      <c r="J322" s="80"/>
      <c r="K322">
        <f t="shared" si="9"/>
        <v>1</v>
      </c>
      <c r="L322" t="str">
        <f>IF(I322="UGR","UGR",_xlfn.XLOOKUP(D322,Lookup!O:O,Lookup!N:N,0))</f>
        <v>Non FG</v>
      </c>
      <c r="M322">
        <f t="shared" si="10"/>
        <v>11</v>
      </c>
    </row>
    <row r="323" spans="1:13" hidden="1" x14ac:dyDescent="0.25">
      <c r="A323" s="78">
        <v>45974</v>
      </c>
      <c r="B323" s="79" t="s">
        <v>664</v>
      </c>
      <c r="C323" s="80" t="s">
        <v>1288</v>
      </c>
      <c r="D323" s="81" t="s">
        <v>724</v>
      </c>
      <c r="E323" s="26" t="s">
        <v>725</v>
      </c>
      <c r="F323" s="82">
        <v>10000</v>
      </c>
      <c r="G323" s="83" t="s">
        <v>622</v>
      </c>
      <c r="H323" s="84">
        <v>10000</v>
      </c>
      <c r="I323" s="80" t="s">
        <v>94</v>
      </c>
      <c r="J323" s="80"/>
      <c r="K323">
        <f t="shared" ref="K323:K386" si="11">IF(AND(B323=B322,C323=C322),0,1)</f>
        <v>1</v>
      </c>
      <c r="L323" t="str">
        <f>IF(I323="UGR","UGR",_xlfn.XLOOKUP(D323,Lookup!O:O,Lookup!N:N,0))</f>
        <v>Non FG</v>
      </c>
      <c r="M323">
        <f t="shared" ref="M323:M386" si="12">MONTH(A323)</f>
        <v>11</v>
      </c>
    </row>
    <row r="324" spans="1:13" hidden="1" x14ac:dyDescent="0.25">
      <c r="A324" s="78">
        <v>45978</v>
      </c>
      <c r="B324" s="79" t="s">
        <v>664</v>
      </c>
      <c r="C324" s="80" t="s">
        <v>1258</v>
      </c>
      <c r="D324" s="81" t="s">
        <v>724</v>
      </c>
      <c r="E324" s="26" t="s">
        <v>725</v>
      </c>
      <c r="F324" s="82">
        <v>10000</v>
      </c>
      <c r="G324" s="83" t="s">
        <v>622</v>
      </c>
      <c r="H324" s="84">
        <v>10000</v>
      </c>
      <c r="I324" s="80" t="s">
        <v>94</v>
      </c>
      <c r="J324" s="80"/>
      <c r="K324">
        <f t="shared" si="11"/>
        <v>1</v>
      </c>
      <c r="L324" t="str">
        <f>IF(I324="UGR","UGR",_xlfn.XLOOKUP(D324,Lookup!O:O,Lookup!N:N,0))</f>
        <v>Non FG</v>
      </c>
      <c r="M324">
        <f t="shared" si="12"/>
        <v>11</v>
      </c>
    </row>
    <row r="325" spans="1:13" hidden="1" x14ac:dyDescent="0.25">
      <c r="A325" s="78">
        <v>45980</v>
      </c>
      <c r="B325" s="79" t="s">
        <v>664</v>
      </c>
      <c r="C325" s="80" t="s">
        <v>1319</v>
      </c>
      <c r="D325" s="81" t="s">
        <v>724</v>
      </c>
      <c r="E325" s="26" t="s">
        <v>725</v>
      </c>
      <c r="F325" s="82">
        <v>10000</v>
      </c>
      <c r="G325" s="83" t="s">
        <v>622</v>
      </c>
      <c r="H325" s="84">
        <v>10000</v>
      </c>
      <c r="I325" s="80" t="s">
        <v>94</v>
      </c>
      <c r="J325" s="80"/>
      <c r="K325">
        <f t="shared" si="11"/>
        <v>1</v>
      </c>
      <c r="L325" t="str">
        <f>IF(I325="UGR","UGR",_xlfn.XLOOKUP(D325,Lookup!O:O,Lookup!N:N,0))</f>
        <v>Non FG</v>
      </c>
      <c r="M325">
        <f t="shared" si="12"/>
        <v>11</v>
      </c>
    </row>
    <row r="326" spans="1:13" hidden="1" x14ac:dyDescent="0.25">
      <c r="A326" s="78">
        <v>45985</v>
      </c>
      <c r="B326" s="79" t="s">
        <v>664</v>
      </c>
      <c r="C326" s="80" t="s">
        <v>1346</v>
      </c>
      <c r="D326" s="81" t="s">
        <v>724</v>
      </c>
      <c r="E326" s="26" t="s">
        <v>725</v>
      </c>
      <c r="F326" s="82">
        <v>10000</v>
      </c>
      <c r="G326" s="83" t="s">
        <v>622</v>
      </c>
      <c r="H326" s="84">
        <v>10000</v>
      </c>
      <c r="I326" s="80" t="s">
        <v>94</v>
      </c>
      <c r="J326" s="80"/>
      <c r="K326">
        <f t="shared" si="11"/>
        <v>1</v>
      </c>
      <c r="L326" t="str">
        <f>IF(I326="UGR","UGR",_xlfn.XLOOKUP(D326,Lookup!O:O,Lookup!N:N,0))</f>
        <v>Non FG</v>
      </c>
      <c r="M326">
        <f t="shared" si="12"/>
        <v>11</v>
      </c>
    </row>
    <row r="327" spans="1:13" hidden="1" x14ac:dyDescent="0.25">
      <c r="A327" s="78">
        <v>45987</v>
      </c>
      <c r="B327" s="79" t="s">
        <v>664</v>
      </c>
      <c r="C327" s="80" t="s">
        <v>1609</v>
      </c>
      <c r="D327" s="81" t="s">
        <v>724</v>
      </c>
      <c r="E327" s="26" t="s">
        <v>725</v>
      </c>
      <c r="F327" s="82">
        <v>10000</v>
      </c>
      <c r="G327" s="83" t="s">
        <v>622</v>
      </c>
      <c r="H327" s="84">
        <v>10000</v>
      </c>
      <c r="I327" s="80" t="s">
        <v>94</v>
      </c>
      <c r="J327" s="80"/>
      <c r="K327">
        <f t="shared" si="11"/>
        <v>1</v>
      </c>
      <c r="L327" t="str">
        <f>IF(I327="UGR","UGR",_xlfn.XLOOKUP(D327,Lookup!O:O,Lookup!N:N,0))</f>
        <v>Non FG</v>
      </c>
      <c r="M327">
        <f t="shared" si="12"/>
        <v>11</v>
      </c>
    </row>
    <row r="328" spans="1:13" hidden="1" x14ac:dyDescent="0.25">
      <c r="A328" s="78">
        <v>45993</v>
      </c>
      <c r="B328" s="79" t="s">
        <v>664</v>
      </c>
      <c r="C328" s="80" t="s">
        <v>1610</v>
      </c>
      <c r="D328" s="81" t="s">
        <v>724</v>
      </c>
      <c r="E328" s="26" t="s">
        <v>725</v>
      </c>
      <c r="F328" s="82">
        <v>10000</v>
      </c>
      <c r="G328" s="83" t="s">
        <v>622</v>
      </c>
      <c r="H328" s="84">
        <v>10000</v>
      </c>
      <c r="I328" s="80" t="s">
        <v>94</v>
      </c>
      <c r="J328" s="80"/>
      <c r="K328">
        <f t="shared" si="11"/>
        <v>1</v>
      </c>
      <c r="L328" t="str">
        <f>IF(I328="UGR","UGR",_xlfn.XLOOKUP(D328,Lookup!O:O,Lookup!N:N,0))</f>
        <v>Non FG</v>
      </c>
      <c r="M328">
        <f t="shared" si="12"/>
        <v>12</v>
      </c>
    </row>
    <row r="329" spans="1:13" hidden="1" x14ac:dyDescent="0.25">
      <c r="A329" s="78">
        <v>45994</v>
      </c>
      <c r="B329" s="79" t="s">
        <v>664</v>
      </c>
      <c r="C329" s="80" t="s">
        <v>1611</v>
      </c>
      <c r="D329" s="81" t="s">
        <v>724</v>
      </c>
      <c r="E329" s="26" t="s">
        <v>725</v>
      </c>
      <c r="F329" s="82">
        <v>10000</v>
      </c>
      <c r="G329" s="83" t="s">
        <v>622</v>
      </c>
      <c r="H329" s="84">
        <v>10000</v>
      </c>
      <c r="I329" s="80" t="s">
        <v>94</v>
      </c>
      <c r="J329" s="80"/>
      <c r="K329">
        <f t="shared" si="11"/>
        <v>1</v>
      </c>
      <c r="L329" t="str">
        <f>IF(I329="UGR","UGR",_xlfn.XLOOKUP(D329,Lookup!O:O,Lookup!N:N,0))</f>
        <v>Non FG</v>
      </c>
      <c r="M329">
        <f t="shared" si="12"/>
        <v>12</v>
      </c>
    </row>
    <row r="330" spans="1:13" hidden="1" x14ac:dyDescent="0.25">
      <c r="A330" s="78">
        <v>46002</v>
      </c>
      <c r="B330" s="79" t="s">
        <v>664</v>
      </c>
      <c r="C330" s="80" t="s">
        <v>1612</v>
      </c>
      <c r="D330" s="81" t="s">
        <v>724</v>
      </c>
      <c r="E330" s="26" t="s">
        <v>725</v>
      </c>
      <c r="F330" s="82">
        <v>10000</v>
      </c>
      <c r="G330" s="83" t="s">
        <v>622</v>
      </c>
      <c r="H330" s="84">
        <v>10000</v>
      </c>
      <c r="I330" s="80" t="s">
        <v>94</v>
      </c>
      <c r="J330" s="80"/>
      <c r="K330">
        <f t="shared" si="11"/>
        <v>1</v>
      </c>
      <c r="L330" t="str">
        <f>IF(I330="UGR","UGR",_xlfn.XLOOKUP(D330,Lookup!O:O,Lookup!N:N,0))</f>
        <v>Non FG</v>
      </c>
      <c r="M330">
        <f t="shared" si="12"/>
        <v>12</v>
      </c>
    </row>
    <row r="331" spans="1:13" hidden="1" x14ac:dyDescent="0.25">
      <c r="A331" s="78">
        <v>46006</v>
      </c>
      <c r="B331" s="79" t="s">
        <v>664</v>
      </c>
      <c r="C331" s="80" t="s">
        <v>1613</v>
      </c>
      <c r="D331" s="81" t="s">
        <v>724</v>
      </c>
      <c r="E331" s="26" t="s">
        <v>725</v>
      </c>
      <c r="F331" s="82">
        <v>10000</v>
      </c>
      <c r="G331" s="83" t="s">
        <v>622</v>
      </c>
      <c r="H331" s="84">
        <v>10000</v>
      </c>
      <c r="I331" s="80" t="s">
        <v>94</v>
      </c>
      <c r="J331" s="80"/>
      <c r="K331">
        <f t="shared" si="11"/>
        <v>1</v>
      </c>
      <c r="L331" t="str">
        <f>IF(I331="UGR","UGR",_xlfn.XLOOKUP(D331,Lookup!O:O,Lookup!N:N,0))</f>
        <v>Non FG</v>
      </c>
      <c r="M331">
        <f t="shared" si="12"/>
        <v>12</v>
      </c>
    </row>
    <row r="332" spans="1:13" hidden="1" x14ac:dyDescent="0.25">
      <c r="A332" s="78">
        <v>46007</v>
      </c>
      <c r="B332" s="79" t="s">
        <v>664</v>
      </c>
      <c r="C332" s="80" t="s">
        <v>1614</v>
      </c>
      <c r="D332" s="81" t="s">
        <v>724</v>
      </c>
      <c r="E332" s="26" t="s">
        <v>725</v>
      </c>
      <c r="F332" s="82">
        <v>10000</v>
      </c>
      <c r="G332" s="83" t="s">
        <v>622</v>
      </c>
      <c r="H332" s="84">
        <v>10000</v>
      </c>
      <c r="I332" s="80" t="s">
        <v>94</v>
      </c>
      <c r="J332" s="80"/>
      <c r="K332">
        <f t="shared" si="11"/>
        <v>1</v>
      </c>
      <c r="L332" t="str">
        <f>IF(I332="UGR","UGR",_xlfn.XLOOKUP(D332,Lookup!O:O,Lookup!N:N,0))</f>
        <v>Non FG</v>
      </c>
      <c r="M332">
        <f t="shared" si="12"/>
        <v>12</v>
      </c>
    </row>
    <row r="333" spans="1:13" hidden="1" x14ac:dyDescent="0.25">
      <c r="A333" s="78">
        <v>46009</v>
      </c>
      <c r="B333" s="79" t="s">
        <v>664</v>
      </c>
      <c r="C333" s="80" t="s">
        <v>1615</v>
      </c>
      <c r="D333" s="81" t="s">
        <v>724</v>
      </c>
      <c r="E333" s="26" t="s">
        <v>725</v>
      </c>
      <c r="F333" s="82">
        <v>4725</v>
      </c>
      <c r="G333" s="83" t="s">
        <v>622</v>
      </c>
      <c r="H333" s="84">
        <v>4725</v>
      </c>
      <c r="I333" s="80" t="s">
        <v>94</v>
      </c>
      <c r="J333" s="80"/>
      <c r="K333">
        <f t="shared" si="11"/>
        <v>1</v>
      </c>
      <c r="L333" t="str">
        <f>IF(I333="UGR","UGR",_xlfn.XLOOKUP(D333,Lookup!O:O,Lookup!N:N,0))</f>
        <v>Non FG</v>
      </c>
      <c r="M333">
        <f t="shared" si="12"/>
        <v>12</v>
      </c>
    </row>
    <row r="334" spans="1:13" hidden="1" x14ac:dyDescent="0.25">
      <c r="A334" s="78">
        <v>45972</v>
      </c>
      <c r="B334" s="79" t="s">
        <v>664</v>
      </c>
      <c r="C334" s="80" t="s">
        <v>1259</v>
      </c>
      <c r="D334" s="81" t="s">
        <v>696</v>
      </c>
      <c r="E334" s="26" t="s">
        <v>697</v>
      </c>
      <c r="F334" s="82">
        <v>10000</v>
      </c>
      <c r="G334" s="83" t="s">
        <v>622</v>
      </c>
      <c r="H334" s="84">
        <v>10000</v>
      </c>
      <c r="I334" s="80" t="s">
        <v>94</v>
      </c>
      <c r="J334" s="80"/>
      <c r="K334">
        <f t="shared" si="11"/>
        <v>1</v>
      </c>
      <c r="L334" t="str">
        <f>IF(I334="UGR","UGR",_xlfn.XLOOKUP(D334,Lookup!O:O,Lookup!N:N,0))</f>
        <v>Non FG</v>
      </c>
      <c r="M334">
        <f t="shared" si="12"/>
        <v>11</v>
      </c>
    </row>
    <row r="335" spans="1:13" hidden="1" x14ac:dyDescent="0.25">
      <c r="A335" s="78">
        <v>45975</v>
      </c>
      <c r="B335" s="79" t="s">
        <v>664</v>
      </c>
      <c r="C335" s="80" t="s">
        <v>1289</v>
      </c>
      <c r="D335" s="81" t="s">
        <v>696</v>
      </c>
      <c r="E335" s="26" t="s">
        <v>697</v>
      </c>
      <c r="F335" s="82">
        <v>10000</v>
      </c>
      <c r="G335" s="83" t="s">
        <v>622</v>
      </c>
      <c r="H335" s="84">
        <v>10000</v>
      </c>
      <c r="I335" s="80" t="s">
        <v>94</v>
      </c>
      <c r="J335" s="80"/>
      <c r="K335">
        <f t="shared" si="11"/>
        <v>1</v>
      </c>
      <c r="L335" t="str">
        <f>IF(I335="UGR","UGR",_xlfn.XLOOKUP(D335,Lookup!O:O,Lookup!N:N,0))</f>
        <v>Non FG</v>
      </c>
      <c r="M335">
        <f t="shared" si="12"/>
        <v>11</v>
      </c>
    </row>
    <row r="336" spans="1:13" hidden="1" x14ac:dyDescent="0.25">
      <c r="A336" s="78">
        <v>45979</v>
      </c>
      <c r="B336" s="79" t="s">
        <v>664</v>
      </c>
      <c r="C336" s="80" t="s">
        <v>1347</v>
      </c>
      <c r="D336" s="81" t="s">
        <v>696</v>
      </c>
      <c r="E336" s="26" t="s">
        <v>697</v>
      </c>
      <c r="F336" s="82">
        <v>10000</v>
      </c>
      <c r="G336" s="83" t="s">
        <v>622</v>
      </c>
      <c r="H336" s="84">
        <v>10000</v>
      </c>
      <c r="I336" s="80" t="s">
        <v>94</v>
      </c>
      <c r="J336" s="80"/>
      <c r="K336">
        <f t="shared" si="11"/>
        <v>1</v>
      </c>
      <c r="L336" t="str">
        <f>IF(I336="UGR","UGR",_xlfn.XLOOKUP(D336,Lookup!O:O,Lookup!N:N,0))</f>
        <v>Non FG</v>
      </c>
      <c r="M336">
        <f t="shared" si="12"/>
        <v>11</v>
      </c>
    </row>
    <row r="337" spans="1:13" hidden="1" x14ac:dyDescent="0.25">
      <c r="A337" s="78">
        <v>45981</v>
      </c>
      <c r="B337" s="79" t="s">
        <v>664</v>
      </c>
      <c r="C337" s="80" t="s">
        <v>1616</v>
      </c>
      <c r="D337" s="81" t="s">
        <v>696</v>
      </c>
      <c r="E337" s="26" t="s">
        <v>697</v>
      </c>
      <c r="F337" s="82">
        <v>10000</v>
      </c>
      <c r="G337" s="83" t="s">
        <v>622</v>
      </c>
      <c r="H337" s="84">
        <v>10000</v>
      </c>
      <c r="I337" s="80" t="s">
        <v>94</v>
      </c>
      <c r="J337" s="80"/>
      <c r="K337">
        <f t="shared" si="11"/>
        <v>1</v>
      </c>
      <c r="L337" t="str">
        <f>IF(I337="UGR","UGR",_xlfn.XLOOKUP(D337,Lookup!O:O,Lookup!N:N,0))</f>
        <v>Non FG</v>
      </c>
      <c r="M337">
        <f t="shared" si="12"/>
        <v>11</v>
      </c>
    </row>
    <row r="338" spans="1:13" hidden="1" x14ac:dyDescent="0.25">
      <c r="A338" s="78">
        <v>45986</v>
      </c>
      <c r="B338" s="79" t="s">
        <v>664</v>
      </c>
      <c r="C338" s="80" t="s">
        <v>1617</v>
      </c>
      <c r="D338" s="81" t="s">
        <v>696</v>
      </c>
      <c r="E338" s="26" t="s">
        <v>697</v>
      </c>
      <c r="F338" s="82">
        <v>10000</v>
      </c>
      <c r="G338" s="83" t="s">
        <v>622</v>
      </c>
      <c r="H338" s="84">
        <v>10000</v>
      </c>
      <c r="I338" s="80" t="s">
        <v>94</v>
      </c>
      <c r="J338" s="80"/>
      <c r="K338">
        <f t="shared" si="11"/>
        <v>1</v>
      </c>
      <c r="L338" t="str">
        <f>IF(I338="UGR","UGR",_xlfn.XLOOKUP(D338,Lookup!O:O,Lookup!N:N,0))</f>
        <v>Non FG</v>
      </c>
      <c r="M338">
        <f t="shared" si="12"/>
        <v>11</v>
      </c>
    </row>
    <row r="339" spans="1:13" hidden="1" x14ac:dyDescent="0.25">
      <c r="A339" s="78">
        <v>45992</v>
      </c>
      <c r="B339" s="79" t="s">
        <v>664</v>
      </c>
      <c r="C339" s="80" t="s">
        <v>1618</v>
      </c>
      <c r="D339" s="81" t="s">
        <v>696</v>
      </c>
      <c r="E339" s="26" t="s">
        <v>697</v>
      </c>
      <c r="F339" s="82">
        <v>10000</v>
      </c>
      <c r="G339" s="83" t="s">
        <v>622</v>
      </c>
      <c r="H339" s="84">
        <v>10000</v>
      </c>
      <c r="I339" s="80" t="s">
        <v>94</v>
      </c>
      <c r="J339" s="80"/>
      <c r="K339">
        <f t="shared" si="11"/>
        <v>1</v>
      </c>
      <c r="L339" t="str">
        <f>IF(I339="UGR","UGR",_xlfn.XLOOKUP(D339,Lookup!O:O,Lookup!N:N,0))</f>
        <v>Non FG</v>
      </c>
      <c r="M339">
        <f t="shared" si="12"/>
        <v>12</v>
      </c>
    </row>
    <row r="340" spans="1:13" hidden="1" x14ac:dyDescent="0.25">
      <c r="A340" s="78">
        <v>45994</v>
      </c>
      <c r="B340" s="79" t="s">
        <v>664</v>
      </c>
      <c r="C340" s="80" t="s">
        <v>1619</v>
      </c>
      <c r="D340" s="81" t="s">
        <v>696</v>
      </c>
      <c r="E340" s="26" t="s">
        <v>697</v>
      </c>
      <c r="F340" s="82">
        <v>10000</v>
      </c>
      <c r="G340" s="83" t="s">
        <v>622</v>
      </c>
      <c r="H340" s="84">
        <v>10000</v>
      </c>
      <c r="I340" s="80" t="s">
        <v>94</v>
      </c>
      <c r="J340" s="80"/>
      <c r="K340">
        <f t="shared" si="11"/>
        <v>1</v>
      </c>
      <c r="L340" t="str">
        <f>IF(I340="UGR","UGR",_xlfn.XLOOKUP(D340,Lookup!O:O,Lookup!N:N,0))</f>
        <v>Non FG</v>
      </c>
      <c r="M340">
        <f t="shared" si="12"/>
        <v>12</v>
      </c>
    </row>
    <row r="341" spans="1:13" hidden="1" x14ac:dyDescent="0.25">
      <c r="A341" s="78">
        <v>45994</v>
      </c>
      <c r="B341" s="79" t="s">
        <v>664</v>
      </c>
      <c r="C341" s="80" t="s">
        <v>1620</v>
      </c>
      <c r="D341" s="81" t="s">
        <v>696</v>
      </c>
      <c r="E341" s="26" t="s">
        <v>697</v>
      </c>
      <c r="F341" s="82">
        <v>10000</v>
      </c>
      <c r="G341" s="83" t="s">
        <v>622</v>
      </c>
      <c r="H341" s="84">
        <v>10000</v>
      </c>
      <c r="I341" s="80" t="s">
        <v>94</v>
      </c>
      <c r="J341" s="80"/>
      <c r="K341">
        <f t="shared" si="11"/>
        <v>1</v>
      </c>
      <c r="L341" t="str">
        <f>IF(I341="UGR","UGR",_xlfn.XLOOKUP(D341,Lookup!O:O,Lookup!N:N,0))</f>
        <v>Non FG</v>
      </c>
      <c r="M341">
        <f t="shared" si="12"/>
        <v>12</v>
      </c>
    </row>
    <row r="342" spans="1:13" hidden="1" x14ac:dyDescent="0.25">
      <c r="A342" s="78">
        <v>46002</v>
      </c>
      <c r="B342" s="79" t="s">
        <v>664</v>
      </c>
      <c r="C342" s="80" t="s">
        <v>1621</v>
      </c>
      <c r="D342" s="81" t="s">
        <v>696</v>
      </c>
      <c r="E342" s="26" t="s">
        <v>697</v>
      </c>
      <c r="F342" s="82">
        <v>10000</v>
      </c>
      <c r="G342" s="83" t="s">
        <v>622</v>
      </c>
      <c r="H342" s="84">
        <v>10000</v>
      </c>
      <c r="I342" s="80" t="s">
        <v>94</v>
      </c>
      <c r="J342" s="80"/>
      <c r="K342">
        <f t="shared" si="11"/>
        <v>1</v>
      </c>
      <c r="L342" t="str">
        <f>IF(I342="UGR","UGR",_xlfn.XLOOKUP(D342,Lookup!O:O,Lookup!N:N,0))</f>
        <v>Non FG</v>
      </c>
      <c r="M342">
        <f t="shared" si="12"/>
        <v>12</v>
      </c>
    </row>
    <row r="343" spans="1:13" hidden="1" x14ac:dyDescent="0.25">
      <c r="A343" s="78">
        <v>46006</v>
      </c>
      <c r="B343" s="79" t="s">
        <v>664</v>
      </c>
      <c r="C343" s="80" t="s">
        <v>1622</v>
      </c>
      <c r="D343" s="81" t="s">
        <v>696</v>
      </c>
      <c r="E343" s="26" t="s">
        <v>697</v>
      </c>
      <c r="F343" s="82">
        <v>10000</v>
      </c>
      <c r="G343" s="83" t="s">
        <v>622</v>
      </c>
      <c r="H343" s="84">
        <v>10000</v>
      </c>
      <c r="I343" s="80" t="s">
        <v>94</v>
      </c>
      <c r="J343" s="80"/>
      <c r="K343">
        <f t="shared" si="11"/>
        <v>1</v>
      </c>
      <c r="L343" t="str">
        <f>IF(I343="UGR","UGR",_xlfn.XLOOKUP(D343,Lookup!O:O,Lookup!N:N,0))</f>
        <v>Non FG</v>
      </c>
      <c r="M343">
        <f t="shared" si="12"/>
        <v>12</v>
      </c>
    </row>
    <row r="344" spans="1:13" hidden="1" x14ac:dyDescent="0.25">
      <c r="A344" s="78">
        <v>46008</v>
      </c>
      <c r="B344" s="79" t="s">
        <v>664</v>
      </c>
      <c r="C344" s="80" t="s">
        <v>1623</v>
      </c>
      <c r="D344" s="81" t="s">
        <v>696</v>
      </c>
      <c r="E344" s="26" t="s">
        <v>697</v>
      </c>
      <c r="F344" s="82">
        <v>10000</v>
      </c>
      <c r="G344" s="83" t="s">
        <v>622</v>
      </c>
      <c r="H344" s="84">
        <v>10000</v>
      </c>
      <c r="I344" s="80" t="s">
        <v>94</v>
      </c>
      <c r="J344" s="80"/>
      <c r="K344">
        <f t="shared" si="11"/>
        <v>1</v>
      </c>
      <c r="L344" t="str">
        <f>IF(I344="UGR","UGR",_xlfn.XLOOKUP(D344,Lookup!O:O,Lookup!N:N,0))</f>
        <v>Non FG</v>
      </c>
      <c r="M344">
        <f t="shared" si="12"/>
        <v>12</v>
      </c>
    </row>
    <row r="345" spans="1:13" hidden="1" x14ac:dyDescent="0.25">
      <c r="A345" s="78">
        <v>46009</v>
      </c>
      <c r="B345" s="79" t="s">
        <v>664</v>
      </c>
      <c r="C345" s="80" t="s">
        <v>1624</v>
      </c>
      <c r="D345" s="81" t="s">
        <v>696</v>
      </c>
      <c r="E345" s="26" t="s">
        <v>697</v>
      </c>
      <c r="F345" s="82">
        <v>4532</v>
      </c>
      <c r="G345" s="83" t="s">
        <v>622</v>
      </c>
      <c r="H345" s="84">
        <v>4532</v>
      </c>
      <c r="I345" s="80" t="s">
        <v>94</v>
      </c>
      <c r="J345" s="80"/>
      <c r="K345">
        <f t="shared" si="11"/>
        <v>1</v>
      </c>
      <c r="L345" t="str">
        <f>IF(I345="UGR","UGR",_xlfn.XLOOKUP(D345,Lookup!O:O,Lookup!N:N,0))</f>
        <v>Non FG</v>
      </c>
      <c r="M345">
        <f t="shared" si="12"/>
        <v>12</v>
      </c>
    </row>
    <row r="346" spans="1:13" hidden="1" x14ac:dyDescent="0.25">
      <c r="A346" s="78">
        <v>45973</v>
      </c>
      <c r="B346" s="79" t="s">
        <v>664</v>
      </c>
      <c r="C346" s="80" t="s">
        <v>1245</v>
      </c>
      <c r="D346" s="81" t="s">
        <v>665</v>
      </c>
      <c r="E346" s="26" t="s">
        <v>666</v>
      </c>
      <c r="F346" s="82">
        <v>10000</v>
      </c>
      <c r="G346" s="83" t="s">
        <v>622</v>
      </c>
      <c r="H346" s="84">
        <v>10000</v>
      </c>
      <c r="I346" s="80" t="s">
        <v>94</v>
      </c>
      <c r="J346" s="80"/>
      <c r="K346">
        <f t="shared" si="11"/>
        <v>1</v>
      </c>
      <c r="L346" t="str">
        <f>IF(I346="UGR","UGR",_xlfn.XLOOKUP(D346,Lookup!O:O,Lookup!N:N,0))</f>
        <v>Non FG</v>
      </c>
      <c r="M346">
        <f t="shared" si="12"/>
        <v>11</v>
      </c>
    </row>
    <row r="347" spans="1:13" hidden="1" x14ac:dyDescent="0.25">
      <c r="A347" s="78">
        <v>45975</v>
      </c>
      <c r="B347" s="79" t="s">
        <v>664</v>
      </c>
      <c r="C347" s="80" t="s">
        <v>1178</v>
      </c>
      <c r="D347" s="81" t="s">
        <v>665</v>
      </c>
      <c r="E347" s="26" t="s">
        <v>666</v>
      </c>
      <c r="F347" s="82">
        <v>10000</v>
      </c>
      <c r="G347" s="83" t="s">
        <v>622</v>
      </c>
      <c r="H347" s="84">
        <v>10000</v>
      </c>
      <c r="I347" s="80" t="s">
        <v>94</v>
      </c>
      <c r="J347" s="80"/>
      <c r="K347">
        <f t="shared" si="11"/>
        <v>1</v>
      </c>
      <c r="L347" t="str">
        <f>IF(I347="UGR","UGR",_xlfn.XLOOKUP(D347,Lookup!O:O,Lookup!N:N,0))</f>
        <v>Non FG</v>
      </c>
      <c r="M347">
        <f t="shared" si="12"/>
        <v>11</v>
      </c>
    </row>
    <row r="348" spans="1:13" hidden="1" x14ac:dyDescent="0.25">
      <c r="A348" s="78">
        <v>45979</v>
      </c>
      <c r="B348" s="79" t="s">
        <v>664</v>
      </c>
      <c r="C348" s="80" t="s">
        <v>1271</v>
      </c>
      <c r="D348" s="81" t="s">
        <v>665</v>
      </c>
      <c r="E348" s="26" t="s">
        <v>666</v>
      </c>
      <c r="F348" s="82">
        <v>10000</v>
      </c>
      <c r="G348" s="83" t="s">
        <v>622</v>
      </c>
      <c r="H348" s="84">
        <v>10000</v>
      </c>
      <c r="I348" s="80" t="s">
        <v>94</v>
      </c>
      <c r="J348" s="80"/>
      <c r="K348">
        <f t="shared" si="11"/>
        <v>1</v>
      </c>
      <c r="L348" t="str">
        <f>IF(I348="UGR","UGR",_xlfn.XLOOKUP(D348,Lookup!O:O,Lookup!N:N,0))</f>
        <v>Non FG</v>
      </c>
      <c r="M348">
        <f t="shared" si="12"/>
        <v>11</v>
      </c>
    </row>
    <row r="349" spans="1:13" hidden="1" x14ac:dyDescent="0.25">
      <c r="A349" s="78">
        <v>45981</v>
      </c>
      <c r="B349" s="79" t="s">
        <v>664</v>
      </c>
      <c r="C349" s="80" t="s">
        <v>1290</v>
      </c>
      <c r="D349" s="81" t="s">
        <v>665</v>
      </c>
      <c r="E349" s="26" t="s">
        <v>666</v>
      </c>
      <c r="F349" s="82">
        <v>10000</v>
      </c>
      <c r="G349" s="83" t="s">
        <v>622</v>
      </c>
      <c r="H349" s="84">
        <v>10000</v>
      </c>
      <c r="I349" s="80" t="s">
        <v>94</v>
      </c>
      <c r="J349" s="80"/>
      <c r="K349">
        <f t="shared" si="11"/>
        <v>1</v>
      </c>
      <c r="L349" t="str">
        <f>IF(I349="UGR","UGR",_xlfn.XLOOKUP(D349,Lookup!O:O,Lookup!N:N,0))</f>
        <v>Non FG</v>
      </c>
      <c r="M349">
        <f t="shared" si="12"/>
        <v>11</v>
      </c>
    </row>
    <row r="350" spans="1:13" hidden="1" x14ac:dyDescent="0.25">
      <c r="A350" s="78">
        <v>45986</v>
      </c>
      <c r="B350" s="79" t="s">
        <v>664</v>
      </c>
      <c r="C350" s="80" t="s">
        <v>1348</v>
      </c>
      <c r="D350" s="81" t="s">
        <v>665</v>
      </c>
      <c r="E350" s="26" t="s">
        <v>666</v>
      </c>
      <c r="F350" s="82">
        <v>10000</v>
      </c>
      <c r="G350" s="83" t="s">
        <v>622</v>
      </c>
      <c r="H350" s="84">
        <v>10000</v>
      </c>
      <c r="I350" s="80" t="s">
        <v>94</v>
      </c>
      <c r="J350" s="80"/>
      <c r="K350">
        <f t="shared" si="11"/>
        <v>1</v>
      </c>
      <c r="L350" t="str">
        <f>IF(I350="UGR","UGR",_xlfn.XLOOKUP(D350,Lookup!O:O,Lookup!N:N,0))</f>
        <v>Non FG</v>
      </c>
      <c r="M350">
        <f t="shared" si="12"/>
        <v>11</v>
      </c>
    </row>
    <row r="351" spans="1:13" hidden="1" x14ac:dyDescent="0.25">
      <c r="A351" s="78">
        <v>45993</v>
      </c>
      <c r="B351" s="79" t="s">
        <v>664</v>
      </c>
      <c r="C351" s="80" t="s">
        <v>1625</v>
      </c>
      <c r="D351" s="81" t="s">
        <v>665</v>
      </c>
      <c r="E351" s="26" t="s">
        <v>666</v>
      </c>
      <c r="F351" s="82">
        <v>10000</v>
      </c>
      <c r="G351" s="83" t="s">
        <v>622</v>
      </c>
      <c r="H351" s="84">
        <v>10000</v>
      </c>
      <c r="I351" s="80" t="s">
        <v>94</v>
      </c>
      <c r="J351" s="80"/>
      <c r="K351">
        <f t="shared" si="11"/>
        <v>1</v>
      </c>
      <c r="L351" t="str">
        <f>IF(I351="UGR","UGR",_xlfn.XLOOKUP(D351,Lookup!O:O,Lookup!N:N,0))</f>
        <v>Non FG</v>
      </c>
      <c r="M351">
        <f t="shared" si="12"/>
        <v>12</v>
      </c>
    </row>
    <row r="352" spans="1:13" hidden="1" x14ac:dyDescent="0.25">
      <c r="A352" s="78">
        <v>45994</v>
      </c>
      <c r="B352" s="79" t="s">
        <v>664</v>
      </c>
      <c r="C352" s="80" t="s">
        <v>1626</v>
      </c>
      <c r="D352" s="81" t="s">
        <v>665</v>
      </c>
      <c r="E352" s="26" t="s">
        <v>666</v>
      </c>
      <c r="F352" s="82">
        <v>10000</v>
      </c>
      <c r="G352" s="83" t="s">
        <v>622</v>
      </c>
      <c r="H352" s="84">
        <v>10000</v>
      </c>
      <c r="I352" s="80" t="s">
        <v>94</v>
      </c>
      <c r="J352" s="80"/>
      <c r="K352">
        <f t="shared" si="11"/>
        <v>1</v>
      </c>
      <c r="L352" t="str">
        <f>IF(I352="UGR","UGR",_xlfn.XLOOKUP(D352,Lookup!O:O,Lookup!N:N,0))</f>
        <v>Non FG</v>
      </c>
      <c r="M352">
        <f t="shared" si="12"/>
        <v>12</v>
      </c>
    </row>
    <row r="353" spans="1:13" hidden="1" x14ac:dyDescent="0.25">
      <c r="A353" s="78">
        <v>45995</v>
      </c>
      <c r="B353" s="79" t="s">
        <v>664</v>
      </c>
      <c r="C353" s="80" t="s">
        <v>1627</v>
      </c>
      <c r="D353" s="81" t="s">
        <v>665</v>
      </c>
      <c r="E353" s="26" t="s">
        <v>666</v>
      </c>
      <c r="F353" s="82">
        <v>10000</v>
      </c>
      <c r="G353" s="83" t="s">
        <v>622</v>
      </c>
      <c r="H353" s="84">
        <v>10000</v>
      </c>
      <c r="I353" s="80" t="s">
        <v>94</v>
      </c>
      <c r="J353" s="80"/>
      <c r="K353">
        <f t="shared" si="11"/>
        <v>1</v>
      </c>
      <c r="L353" t="str">
        <f>IF(I353="UGR","UGR",_xlfn.XLOOKUP(D353,Lookup!O:O,Lookup!N:N,0))</f>
        <v>Non FG</v>
      </c>
      <c r="M353">
        <f t="shared" si="12"/>
        <v>12</v>
      </c>
    </row>
    <row r="354" spans="1:13" hidden="1" x14ac:dyDescent="0.25">
      <c r="A354" s="78">
        <v>46002</v>
      </c>
      <c r="B354" s="79" t="s">
        <v>664</v>
      </c>
      <c r="C354" s="80" t="s">
        <v>1628</v>
      </c>
      <c r="D354" s="81" t="s">
        <v>665</v>
      </c>
      <c r="E354" s="26" t="s">
        <v>666</v>
      </c>
      <c r="F354" s="82">
        <v>10000</v>
      </c>
      <c r="G354" s="83" t="s">
        <v>622</v>
      </c>
      <c r="H354" s="84">
        <v>10000</v>
      </c>
      <c r="I354" s="80" t="s">
        <v>94</v>
      </c>
      <c r="J354" s="80"/>
      <c r="K354">
        <f t="shared" si="11"/>
        <v>1</v>
      </c>
      <c r="L354" t="str">
        <f>IF(I354="UGR","UGR",_xlfn.XLOOKUP(D354,Lookup!O:O,Lookup!N:N,0))</f>
        <v>Non FG</v>
      </c>
      <c r="M354">
        <f t="shared" si="12"/>
        <v>12</v>
      </c>
    </row>
    <row r="355" spans="1:13" hidden="1" x14ac:dyDescent="0.25">
      <c r="A355" s="78">
        <v>46006</v>
      </c>
      <c r="B355" s="79" t="s">
        <v>664</v>
      </c>
      <c r="C355" s="80" t="s">
        <v>1629</v>
      </c>
      <c r="D355" s="81" t="s">
        <v>665</v>
      </c>
      <c r="E355" s="26" t="s">
        <v>666</v>
      </c>
      <c r="F355" s="82">
        <v>10000</v>
      </c>
      <c r="G355" s="83" t="s">
        <v>622</v>
      </c>
      <c r="H355" s="84">
        <v>10000</v>
      </c>
      <c r="I355" s="80" t="s">
        <v>94</v>
      </c>
      <c r="J355" s="80"/>
      <c r="K355">
        <f t="shared" si="11"/>
        <v>1</v>
      </c>
      <c r="L355" t="str">
        <f>IF(I355="UGR","UGR",_xlfn.XLOOKUP(D355,Lookup!O:O,Lookup!N:N,0))</f>
        <v>Non FG</v>
      </c>
      <c r="M355">
        <f t="shared" si="12"/>
        <v>12</v>
      </c>
    </row>
    <row r="356" spans="1:13" hidden="1" x14ac:dyDescent="0.25">
      <c r="A356" s="78">
        <v>46008</v>
      </c>
      <c r="B356" s="79" t="s">
        <v>664</v>
      </c>
      <c r="C356" s="80" t="s">
        <v>1630</v>
      </c>
      <c r="D356" s="81" t="s">
        <v>665</v>
      </c>
      <c r="E356" s="26" t="s">
        <v>666</v>
      </c>
      <c r="F356" s="82">
        <v>10000</v>
      </c>
      <c r="G356" s="83" t="s">
        <v>622</v>
      </c>
      <c r="H356" s="84">
        <v>10000</v>
      </c>
      <c r="I356" s="80" t="s">
        <v>94</v>
      </c>
      <c r="J356" s="80"/>
      <c r="K356">
        <f t="shared" si="11"/>
        <v>1</v>
      </c>
      <c r="L356" t="str">
        <f>IF(I356="UGR","UGR",_xlfn.XLOOKUP(D356,Lookup!O:O,Lookup!N:N,0))</f>
        <v>Non FG</v>
      </c>
      <c r="M356">
        <f t="shared" si="12"/>
        <v>12</v>
      </c>
    </row>
    <row r="357" spans="1:13" hidden="1" x14ac:dyDescent="0.25">
      <c r="A357" s="78">
        <v>46009</v>
      </c>
      <c r="B357" s="79" t="s">
        <v>664</v>
      </c>
      <c r="C357" s="80" t="s">
        <v>1631</v>
      </c>
      <c r="D357" s="81" t="s">
        <v>665</v>
      </c>
      <c r="E357" s="26" t="s">
        <v>666</v>
      </c>
      <c r="F357" s="82">
        <v>3510</v>
      </c>
      <c r="G357" s="83" t="s">
        <v>622</v>
      </c>
      <c r="H357" s="84">
        <v>3509.9999999999995</v>
      </c>
      <c r="I357" s="80" t="s">
        <v>94</v>
      </c>
      <c r="J357" s="80"/>
      <c r="K357">
        <f t="shared" si="11"/>
        <v>1</v>
      </c>
      <c r="L357" t="str">
        <f>IF(I357="UGR","UGR",_xlfn.XLOOKUP(D357,Lookup!O:O,Lookup!N:N,0))</f>
        <v>Non FG</v>
      </c>
      <c r="M357">
        <f t="shared" si="12"/>
        <v>12</v>
      </c>
    </row>
    <row r="358" spans="1:13" hidden="1" x14ac:dyDescent="0.25">
      <c r="A358" s="78">
        <v>45972</v>
      </c>
      <c r="B358" s="79" t="s">
        <v>664</v>
      </c>
      <c r="C358" s="80" t="s">
        <v>1272</v>
      </c>
      <c r="D358" s="81" t="s">
        <v>704</v>
      </c>
      <c r="E358" s="26" t="s">
        <v>705</v>
      </c>
      <c r="F358" s="82">
        <v>10000</v>
      </c>
      <c r="G358" s="83" t="s">
        <v>622</v>
      </c>
      <c r="H358" s="84">
        <v>10000</v>
      </c>
      <c r="I358" s="80" t="s">
        <v>94</v>
      </c>
      <c r="J358" s="80"/>
      <c r="K358">
        <f t="shared" si="11"/>
        <v>1</v>
      </c>
      <c r="L358" t="str">
        <f>IF(I358="UGR","UGR",_xlfn.XLOOKUP(D358,Lookup!O:O,Lookup!N:N,0))</f>
        <v>Non FG</v>
      </c>
      <c r="M358">
        <f t="shared" si="12"/>
        <v>11</v>
      </c>
    </row>
    <row r="359" spans="1:13" hidden="1" x14ac:dyDescent="0.25">
      <c r="A359" s="78">
        <v>45974</v>
      </c>
      <c r="B359" s="79" t="s">
        <v>664</v>
      </c>
      <c r="C359" s="80" t="s">
        <v>1291</v>
      </c>
      <c r="D359" s="81" t="s">
        <v>704</v>
      </c>
      <c r="E359" s="26" t="s">
        <v>705</v>
      </c>
      <c r="F359" s="82">
        <v>10000</v>
      </c>
      <c r="G359" s="83" t="s">
        <v>622</v>
      </c>
      <c r="H359" s="84">
        <v>10000</v>
      </c>
      <c r="I359" s="80" t="s">
        <v>94</v>
      </c>
      <c r="J359" s="80"/>
      <c r="K359">
        <f t="shared" si="11"/>
        <v>1</v>
      </c>
      <c r="L359" t="str">
        <f>IF(I359="UGR","UGR",_xlfn.XLOOKUP(D359,Lookup!O:O,Lookup!N:N,0))</f>
        <v>Non FG</v>
      </c>
      <c r="M359">
        <f t="shared" si="12"/>
        <v>11</v>
      </c>
    </row>
    <row r="360" spans="1:13" hidden="1" x14ac:dyDescent="0.25">
      <c r="A360" s="78">
        <v>45978</v>
      </c>
      <c r="B360" s="79" t="s">
        <v>664</v>
      </c>
      <c r="C360" s="80" t="s">
        <v>1320</v>
      </c>
      <c r="D360" s="81" t="s">
        <v>704</v>
      </c>
      <c r="E360" s="26" t="s">
        <v>705</v>
      </c>
      <c r="F360" s="82">
        <v>10000</v>
      </c>
      <c r="G360" s="83" t="s">
        <v>622</v>
      </c>
      <c r="H360" s="84">
        <v>10000</v>
      </c>
      <c r="I360" s="80" t="s">
        <v>94</v>
      </c>
      <c r="J360" s="80"/>
      <c r="K360">
        <f t="shared" si="11"/>
        <v>1</v>
      </c>
      <c r="L360" t="str">
        <f>IF(I360="UGR","UGR",_xlfn.XLOOKUP(D360,Lookup!O:O,Lookup!N:N,0))</f>
        <v>Non FG</v>
      </c>
      <c r="M360">
        <f t="shared" si="12"/>
        <v>11</v>
      </c>
    </row>
    <row r="361" spans="1:13" hidden="1" x14ac:dyDescent="0.25">
      <c r="A361" s="78">
        <v>45980</v>
      </c>
      <c r="B361" s="79" t="s">
        <v>664</v>
      </c>
      <c r="C361" s="80" t="s">
        <v>1349</v>
      </c>
      <c r="D361" s="81" t="s">
        <v>704</v>
      </c>
      <c r="E361" s="26" t="s">
        <v>705</v>
      </c>
      <c r="F361" s="82">
        <v>10000</v>
      </c>
      <c r="G361" s="83" t="s">
        <v>622</v>
      </c>
      <c r="H361" s="84">
        <v>10000</v>
      </c>
      <c r="I361" s="80" t="s">
        <v>94</v>
      </c>
      <c r="J361" s="80"/>
      <c r="K361">
        <f t="shared" si="11"/>
        <v>1</v>
      </c>
      <c r="L361" t="str">
        <f>IF(I361="UGR","UGR",_xlfn.XLOOKUP(D361,Lookup!O:O,Lookup!N:N,0))</f>
        <v>Non FG</v>
      </c>
      <c r="M361">
        <f t="shared" si="12"/>
        <v>11</v>
      </c>
    </row>
    <row r="362" spans="1:13" hidden="1" x14ac:dyDescent="0.25">
      <c r="A362" s="78">
        <v>45985</v>
      </c>
      <c r="B362" s="79" t="s">
        <v>664</v>
      </c>
      <c r="C362" s="80" t="s">
        <v>1632</v>
      </c>
      <c r="D362" s="81" t="s">
        <v>704</v>
      </c>
      <c r="E362" s="26" t="s">
        <v>705</v>
      </c>
      <c r="F362" s="82">
        <v>10000</v>
      </c>
      <c r="G362" s="83" t="s">
        <v>622</v>
      </c>
      <c r="H362" s="84">
        <v>10000</v>
      </c>
      <c r="I362" s="80" t="s">
        <v>94</v>
      </c>
      <c r="J362" s="80"/>
      <c r="K362">
        <f t="shared" si="11"/>
        <v>1</v>
      </c>
      <c r="L362" t="str">
        <f>IF(I362="UGR","UGR",_xlfn.XLOOKUP(D362,Lookup!O:O,Lookup!N:N,0))</f>
        <v>Non FG</v>
      </c>
      <c r="M362">
        <f t="shared" si="12"/>
        <v>11</v>
      </c>
    </row>
    <row r="363" spans="1:13" hidden="1" x14ac:dyDescent="0.25">
      <c r="A363" s="78">
        <v>45987</v>
      </c>
      <c r="B363" s="79" t="s">
        <v>664</v>
      </c>
      <c r="C363" s="80" t="s">
        <v>1633</v>
      </c>
      <c r="D363" s="81" t="s">
        <v>704</v>
      </c>
      <c r="E363" s="26" t="s">
        <v>705</v>
      </c>
      <c r="F363" s="82">
        <v>10000</v>
      </c>
      <c r="G363" s="83" t="s">
        <v>622</v>
      </c>
      <c r="H363" s="84">
        <v>10000</v>
      </c>
      <c r="I363" s="80" t="s">
        <v>94</v>
      </c>
      <c r="J363" s="80"/>
      <c r="K363">
        <f t="shared" si="11"/>
        <v>1</v>
      </c>
      <c r="L363" t="str">
        <f>IF(I363="UGR","UGR",_xlfn.XLOOKUP(D363,Lookup!O:O,Lookup!N:N,0))</f>
        <v>Non FG</v>
      </c>
      <c r="M363">
        <f t="shared" si="12"/>
        <v>11</v>
      </c>
    </row>
    <row r="364" spans="1:13" hidden="1" x14ac:dyDescent="0.25">
      <c r="A364" s="78">
        <v>45995</v>
      </c>
      <c r="B364" s="79" t="s">
        <v>664</v>
      </c>
      <c r="C364" s="80" t="s">
        <v>1634</v>
      </c>
      <c r="D364" s="81" t="s">
        <v>704</v>
      </c>
      <c r="E364" s="26" t="s">
        <v>705</v>
      </c>
      <c r="F364" s="82">
        <v>10000</v>
      </c>
      <c r="G364" s="83" t="s">
        <v>622</v>
      </c>
      <c r="H364" s="84">
        <v>10000</v>
      </c>
      <c r="I364" s="80" t="s">
        <v>94</v>
      </c>
      <c r="J364" s="80"/>
      <c r="K364">
        <f t="shared" si="11"/>
        <v>1</v>
      </c>
      <c r="L364" t="str">
        <f>IF(I364="UGR","UGR",_xlfn.XLOOKUP(D364,Lookup!O:O,Lookup!N:N,0))</f>
        <v>Non FG</v>
      </c>
      <c r="M364">
        <f t="shared" si="12"/>
        <v>12</v>
      </c>
    </row>
    <row r="365" spans="1:13" hidden="1" x14ac:dyDescent="0.25">
      <c r="A365" s="78">
        <v>46000</v>
      </c>
      <c r="B365" s="79" t="s">
        <v>664</v>
      </c>
      <c r="C365" s="80" t="s">
        <v>1635</v>
      </c>
      <c r="D365" s="81" t="s">
        <v>704</v>
      </c>
      <c r="E365" s="26" t="s">
        <v>705</v>
      </c>
      <c r="F365" s="82">
        <v>10000</v>
      </c>
      <c r="G365" s="83" t="s">
        <v>622</v>
      </c>
      <c r="H365" s="84">
        <v>10000</v>
      </c>
      <c r="I365" s="80" t="s">
        <v>94</v>
      </c>
      <c r="J365" s="80"/>
      <c r="K365">
        <f t="shared" si="11"/>
        <v>1</v>
      </c>
      <c r="L365" t="str">
        <f>IF(I365="UGR","UGR",_xlfn.XLOOKUP(D365,Lookup!O:O,Lookup!N:N,0))</f>
        <v>Non FG</v>
      </c>
      <c r="M365">
        <f t="shared" si="12"/>
        <v>12</v>
      </c>
    </row>
    <row r="366" spans="1:13" hidden="1" x14ac:dyDescent="0.25">
      <c r="A366" s="78">
        <v>46002</v>
      </c>
      <c r="B366" s="79" t="s">
        <v>664</v>
      </c>
      <c r="C366" s="80" t="s">
        <v>1636</v>
      </c>
      <c r="D366" s="81" t="s">
        <v>704</v>
      </c>
      <c r="E366" s="26" t="s">
        <v>705</v>
      </c>
      <c r="F366" s="82">
        <v>10000</v>
      </c>
      <c r="G366" s="83" t="s">
        <v>622</v>
      </c>
      <c r="H366" s="84">
        <v>10000</v>
      </c>
      <c r="I366" s="80" t="s">
        <v>94</v>
      </c>
      <c r="J366" s="80"/>
      <c r="K366">
        <f t="shared" si="11"/>
        <v>1</v>
      </c>
      <c r="L366" t="str">
        <f>IF(I366="UGR","UGR",_xlfn.XLOOKUP(D366,Lookup!O:O,Lookup!N:N,0))</f>
        <v>Non FG</v>
      </c>
      <c r="M366">
        <f t="shared" si="12"/>
        <v>12</v>
      </c>
    </row>
    <row r="367" spans="1:13" hidden="1" x14ac:dyDescent="0.25">
      <c r="A367" s="78">
        <v>46003</v>
      </c>
      <c r="B367" s="79" t="s">
        <v>664</v>
      </c>
      <c r="C367" s="80" t="s">
        <v>1637</v>
      </c>
      <c r="D367" s="81" t="s">
        <v>704</v>
      </c>
      <c r="E367" s="26" t="s">
        <v>705</v>
      </c>
      <c r="F367" s="82">
        <v>10000</v>
      </c>
      <c r="G367" s="83" t="s">
        <v>622</v>
      </c>
      <c r="H367" s="84">
        <v>10000</v>
      </c>
      <c r="I367" s="80" t="s">
        <v>94</v>
      </c>
      <c r="J367" s="80"/>
      <c r="K367">
        <f t="shared" si="11"/>
        <v>1</v>
      </c>
      <c r="L367" t="str">
        <f>IF(I367="UGR","UGR",_xlfn.XLOOKUP(D367,Lookup!O:O,Lookup!N:N,0))</f>
        <v>Non FG</v>
      </c>
      <c r="M367">
        <f t="shared" si="12"/>
        <v>12</v>
      </c>
    </row>
    <row r="368" spans="1:13" hidden="1" x14ac:dyDescent="0.25">
      <c r="A368" s="78">
        <v>46008</v>
      </c>
      <c r="B368" s="79" t="s">
        <v>664</v>
      </c>
      <c r="C368" s="80" t="s">
        <v>1638</v>
      </c>
      <c r="D368" s="81" t="s">
        <v>704</v>
      </c>
      <c r="E368" s="26" t="s">
        <v>705</v>
      </c>
      <c r="F368" s="82">
        <v>10000</v>
      </c>
      <c r="G368" s="83" t="s">
        <v>622</v>
      </c>
      <c r="H368" s="84">
        <v>10000</v>
      </c>
      <c r="I368" s="80" t="s">
        <v>94</v>
      </c>
      <c r="J368" s="80"/>
      <c r="K368">
        <f t="shared" si="11"/>
        <v>1</v>
      </c>
      <c r="L368" t="str">
        <f>IF(I368="UGR","UGR",_xlfn.XLOOKUP(D368,Lookup!O:O,Lookup!N:N,0))</f>
        <v>Non FG</v>
      </c>
      <c r="M368">
        <f t="shared" si="12"/>
        <v>12</v>
      </c>
    </row>
    <row r="369" spans="1:13" hidden="1" x14ac:dyDescent="0.25">
      <c r="A369" s="78">
        <v>46009</v>
      </c>
      <c r="B369" s="79" t="s">
        <v>664</v>
      </c>
      <c r="C369" s="80" t="s">
        <v>1639</v>
      </c>
      <c r="D369" s="81" t="s">
        <v>704</v>
      </c>
      <c r="E369" s="26" t="s">
        <v>705</v>
      </c>
      <c r="F369" s="82">
        <v>4826</v>
      </c>
      <c r="G369" s="83" t="s">
        <v>622</v>
      </c>
      <c r="H369" s="84">
        <v>4826</v>
      </c>
      <c r="I369" s="80" t="s">
        <v>94</v>
      </c>
      <c r="J369" s="80"/>
      <c r="K369">
        <f t="shared" si="11"/>
        <v>1</v>
      </c>
      <c r="L369" t="str">
        <f>IF(I369="UGR","UGR",_xlfn.XLOOKUP(D369,Lookup!O:O,Lookup!N:N,0))</f>
        <v>Non FG</v>
      </c>
      <c r="M369">
        <f t="shared" si="12"/>
        <v>12</v>
      </c>
    </row>
    <row r="370" spans="1:13" hidden="1" x14ac:dyDescent="0.25">
      <c r="A370" s="78">
        <v>45973</v>
      </c>
      <c r="B370" s="79" t="s">
        <v>664</v>
      </c>
      <c r="C370" s="80" t="s">
        <v>1179</v>
      </c>
      <c r="D370" s="81" t="s">
        <v>667</v>
      </c>
      <c r="E370" s="26" t="s">
        <v>668</v>
      </c>
      <c r="F370" s="82">
        <v>10000</v>
      </c>
      <c r="G370" s="83" t="s">
        <v>622</v>
      </c>
      <c r="H370" s="84">
        <v>10000</v>
      </c>
      <c r="I370" s="80" t="s">
        <v>94</v>
      </c>
      <c r="J370" s="80"/>
      <c r="K370">
        <f t="shared" si="11"/>
        <v>1</v>
      </c>
      <c r="L370" t="str">
        <f>IF(I370="UGR","UGR",_xlfn.XLOOKUP(D370,Lookup!O:O,Lookup!N:N,0))</f>
        <v>Non FG</v>
      </c>
      <c r="M370">
        <f t="shared" si="12"/>
        <v>11</v>
      </c>
    </row>
    <row r="371" spans="1:13" hidden="1" x14ac:dyDescent="0.25">
      <c r="A371" s="78">
        <v>45975</v>
      </c>
      <c r="B371" s="79" t="s">
        <v>664</v>
      </c>
      <c r="C371" s="80" t="s">
        <v>1292</v>
      </c>
      <c r="D371" s="81" t="s">
        <v>667</v>
      </c>
      <c r="E371" s="26" t="s">
        <v>668</v>
      </c>
      <c r="F371" s="82">
        <v>10000</v>
      </c>
      <c r="G371" s="83" t="s">
        <v>622</v>
      </c>
      <c r="H371" s="84">
        <v>10000</v>
      </c>
      <c r="I371" s="80" t="s">
        <v>94</v>
      </c>
      <c r="J371" s="80"/>
      <c r="K371">
        <f t="shared" si="11"/>
        <v>1</v>
      </c>
      <c r="L371" t="str">
        <f>IF(I371="UGR","UGR",_xlfn.XLOOKUP(D371,Lookup!O:O,Lookup!N:N,0))</f>
        <v>Non FG</v>
      </c>
      <c r="M371">
        <f t="shared" si="12"/>
        <v>11</v>
      </c>
    </row>
    <row r="372" spans="1:13" hidden="1" x14ac:dyDescent="0.25">
      <c r="A372" s="78">
        <v>45979</v>
      </c>
      <c r="B372" s="79" t="s">
        <v>664</v>
      </c>
      <c r="C372" s="80" t="s">
        <v>1322</v>
      </c>
      <c r="D372" s="81" t="s">
        <v>667</v>
      </c>
      <c r="E372" s="26" t="s">
        <v>668</v>
      </c>
      <c r="F372" s="82">
        <v>10000</v>
      </c>
      <c r="G372" s="83" t="s">
        <v>622</v>
      </c>
      <c r="H372" s="84">
        <v>10000</v>
      </c>
      <c r="I372" s="80" t="s">
        <v>94</v>
      </c>
      <c r="J372" s="80"/>
      <c r="K372">
        <f t="shared" si="11"/>
        <v>1</v>
      </c>
      <c r="L372" t="str">
        <f>IF(I372="UGR","UGR",_xlfn.XLOOKUP(D372,Lookup!O:O,Lookup!N:N,0))</f>
        <v>Non FG</v>
      </c>
      <c r="M372">
        <f t="shared" si="12"/>
        <v>11</v>
      </c>
    </row>
    <row r="373" spans="1:13" hidden="1" x14ac:dyDescent="0.25">
      <c r="A373" s="78">
        <v>45981</v>
      </c>
      <c r="B373" s="79" t="s">
        <v>664</v>
      </c>
      <c r="C373" s="80" t="s">
        <v>1321</v>
      </c>
      <c r="D373" s="81" t="s">
        <v>667</v>
      </c>
      <c r="E373" s="26" t="s">
        <v>668</v>
      </c>
      <c r="F373" s="82">
        <v>10000</v>
      </c>
      <c r="G373" s="83" t="s">
        <v>622</v>
      </c>
      <c r="H373" s="84">
        <v>10000</v>
      </c>
      <c r="I373" s="80" t="s">
        <v>94</v>
      </c>
      <c r="J373" s="80"/>
      <c r="K373">
        <f t="shared" si="11"/>
        <v>1</v>
      </c>
      <c r="L373" t="str">
        <f>IF(I373="UGR","UGR",_xlfn.XLOOKUP(D373,Lookup!O:O,Lookup!N:N,0))</f>
        <v>Non FG</v>
      </c>
      <c r="M373">
        <f t="shared" si="12"/>
        <v>11</v>
      </c>
    </row>
    <row r="374" spans="1:13" hidden="1" x14ac:dyDescent="0.25">
      <c r="A374" s="78">
        <v>45986</v>
      </c>
      <c r="B374" s="79" t="s">
        <v>664</v>
      </c>
      <c r="C374" s="80" t="s">
        <v>1640</v>
      </c>
      <c r="D374" s="81" t="s">
        <v>667</v>
      </c>
      <c r="E374" s="26" t="s">
        <v>668</v>
      </c>
      <c r="F374" s="82">
        <v>10000</v>
      </c>
      <c r="G374" s="83" t="s">
        <v>622</v>
      </c>
      <c r="H374" s="84">
        <v>10000</v>
      </c>
      <c r="I374" s="80" t="s">
        <v>94</v>
      </c>
      <c r="J374" s="80"/>
      <c r="K374">
        <f t="shared" si="11"/>
        <v>1</v>
      </c>
      <c r="L374" t="str">
        <f>IF(I374="UGR","UGR",_xlfn.XLOOKUP(D374,Lookup!O:O,Lookup!N:N,0))</f>
        <v>Non FG</v>
      </c>
      <c r="M374">
        <f t="shared" si="12"/>
        <v>11</v>
      </c>
    </row>
    <row r="375" spans="1:13" hidden="1" x14ac:dyDescent="0.25">
      <c r="A375" s="78">
        <v>45994</v>
      </c>
      <c r="B375" s="79" t="s">
        <v>664</v>
      </c>
      <c r="C375" s="80" t="s">
        <v>1641</v>
      </c>
      <c r="D375" s="81" t="s">
        <v>667</v>
      </c>
      <c r="E375" s="26" t="s">
        <v>668</v>
      </c>
      <c r="F375" s="82">
        <v>10000</v>
      </c>
      <c r="G375" s="83" t="s">
        <v>622</v>
      </c>
      <c r="H375" s="84">
        <v>10000</v>
      </c>
      <c r="I375" s="80" t="s">
        <v>94</v>
      </c>
      <c r="J375" s="80"/>
      <c r="K375">
        <f t="shared" si="11"/>
        <v>1</v>
      </c>
      <c r="L375" t="str">
        <f>IF(I375="UGR","UGR",_xlfn.XLOOKUP(D375,Lookup!O:O,Lookup!N:N,0))</f>
        <v>Non FG</v>
      </c>
      <c r="M375">
        <f t="shared" si="12"/>
        <v>12</v>
      </c>
    </row>
    <row r="376" spans="1:13" hidden="1" x14ac:dyDescent="0.25">
      <c r="A376" s="78">
        <v>45995</v>
      </c>
      <c r="B376" s="79" t="s">
        <v>664</v>
      </c>
      <c r="C376" s="80" t="s">
        <v>1642</v>
      </c>
      <c r="D376" s="81" t="s">
        <v>667</v>
      </c>
      <c r="E376" s="26" t="s">
        <v>668</v>
      </c>
      <c r="F376" s="82">
        <v>10000</v>
      </c>
      <c r="G376" s="83" t="s">
        <v>622</v>
      </c>
      <c r="H376" s="84">
        <v>10000</v>
      </c>
      <c r="I376" s="80" t="s">
        <v>94</v>
      </c>
      <c r="J376" s="80"/>
      <c r="K376">
        <f t="shared" si="11"/>
        <v>1</v>
      </c>
      <c r="L376" t="str">
        <f>IF(I376="UGR","UGR",_xlfn.XLOOKUP(D376,Lookup!O:O,Lookup!N:N,0))</f>
        <v>Non FG</v>
      </c>
      <c r="M376">
        <f t="shared" si="12"/>
        <v>12</v>
      </c>
    </row>
    <row r="377" spans="1:13" hidden="1" x14ac:dyDescent="0.25">
      <c r="A377" s="78">
        <v>46001</v>
      </c>
      <c r="B377" s="79" t="s">
        <v>664</v>
      </c>
      <c r="C377" s="80" t="s">
        <v>1643</v>
      </c>
      <c r="D377" s="81" t="s">
        <v>667</v>
      </c>
      <c r="E377" s="26" t="s">
        <v>668</v>
      </c>
      <c r="F377" s="82">
        <v>10000</v>
      </c>
      <c r="G377" s="83" t="s">
        <v>622</v>
      </c>
      <c r="H377" s="84">
        <v>10000</v>
      </c>
      <c r="I377" s="80" t="s">
        <v>94</v>
      </c>
      <c r="J377" s="80"/>
      <c r="K377">
        <f t="shared" si="11"/>
        <v>1</v>
      </c>
      <c r="L377" t="str">
        <f>IF(I377="UGR","UGR",_xlfn.XLOOKUP(D377,Lookup!O:O,Lookup!N:N,0))</f>
        <v>Non FG</v>
      </c>
      <c r="M377">
        <f t="shared" si="12"/>
        <v>12</v>
      </c>
    </row>
    <row r="378" spans="1:13" hidden="1" x14ac:dyDescent="0.25">
      <c r="A378" s="78">
        <v>46002</v>
      </c>
      <c r="B378" s="79" t="s">
        <v>664</v>
      </c>
      <c r="C378" s="80" t="s">
        <v>1644</v>
      </c>
      <c r="D378" s="81" t="s">
        <v>667</v>
      </c>
      <c r="E378" s="26" t="s">
        <v>668</v>
      </c>
      <c r="F378" s="82">
        <v>10000</v>
      </c>
      <c r="G378" s="83" t="s">
        <v>622</v>
      </c>
      <c r="H378" s="84">
        <v>10000</v>
      </c>
      <c r="I378" s="80" t="s">
        <v>94</v>
      </c>
      <c r="J378" s="80"/>
      <c r="K378">
        <f t="shared" si="11"/>
        <v>1</v>
      </c>
      <c r="L378" t="str">
        <f>IF(I378="UGR","UGR",_xlfn.XLOOKUP(D378,Lookup!O:O,Lookup!N:N,0))</f>
        <v>Non FG</v>
      </c>
      <c r="M378">
        <f t="shared" si="12"/>
        <v>12</v>
      </c>
    </row>
    <row r="379" spans="1:13" hidden="1" x14ac:dyDescent="0.25">
      <c r="A379" s="78">
        <v>46006</v>
      </c>
      <c r="B379" s="79" t="s">
        <v>664</v>
      </c>
      <c r="C379" s="80" t="s">
        <v>1645</v>
      </c>
      <c r="D379" s="81" t="s">
        <v>667</v>
      </c>
      <c r="E379" s="26" t="s">
        <v>668</v>
      </c>
      <c r="F379" s="82">
        <v>10000</v>
      </c>
      <c r="G379" s="83" t="s">
        <v>622</v>
      </c>
      <c r="H379" s="84">
        <v>10000</v>
      </c>
      <c r="I379" s="80" t="s">
        <v>94</v>
      </c>
      <c r="J379" s="80"/>
      <c r="K379">
        <f t="shared" si="11"/>
        <v>1</v>
      </c>
      <c r="L379" t="str">
        <f>IF(I379="UGR","UGR",_xlfn.XLOOKUP(D379,Lookup!O:O,Lookup!N:N,0))</f>
        <v>Non FG</v>
      </c>
      <c r="M379">
        <f t="shared" si="12"/>
        <v>12</v>
      </c>
    </row>
    <row r="380" spans="1:13" hidden="1" x14ac:dyDescent="0.25">
      <c r="A380" s="78">
        <v>46008</v>
      </c>
      <c r="B380" s="79" t="s">
        <v>664</v>
      </c>
      <c r="C380" s="80" t="s">
        <v>1646</v>
      </c>
      <c r="D380" s="81" t="s">
        <v>667</v>
      </c>
      <c r="E380" s="26" t="s">
        <v>668</v>
      </c>
      <c r="F380" s="82">
        <v>10000</v>
      </c>
      <c r="G380" s="83" t="s">
        <v>622</v>
      </c>
      <c r="H380" s="84">
        <v>10000</v>
      </c>
      <c r="I380" s="80" t="s">
        <v>94</v>
      </c>
      <c r="J380" s="80"/>
      <c r="K380">
        <f t="shared" si="11"/>
        <v>1</v>
      </c>
      <c r="L380" t="str">
        <f>IF(I380="UGR","UGR",_xlfn.XLOOKUP(D380,Lookup!O:O,Lookup!N:N,0))</f>
        <v>Non FG</v>
      </c>
      <c r="M380">
        <f t="shared" si="12"/>
        <v>12</v>
      </c>
    </row>
    <row r="381" spans="1:13" hidden="1" x14ac:dyDescent="0.25">
      <c r="A381" s="78">
        <v>46009</v>
      </c>
      <c r="B381" s="79" t="s">
        <v>664</v>
      </c>
      <c r="C381" s="80" t="s">
        <v>1647</v>
      </c>
      <c r="D381" s="81" t="s">
        <v>667</v>
      </c>
      <c r="E381" s="26" t="s">
        <v>668</v>
      </c>
      <c r="F381" s="82">
        <v>2609</v>
      </c>
      <c r="G381" s="83" t="s">
        <v>622</v>
      </c>
      <c r="H381" s="84">
        <v>2609</v>
      </c>
      <c r="I381" s="80" t="s">
        <v>94</v>
      </c>
      <c r="J381" s="80"/>
      <c r="K381">
        <f t="shared" si="11"/>
        <v>1</v>
      </c>
      <c r="L381" t="str">
        <f>IF(I381="UGR","UGR",_xlfn.XLOOKUP(D381,Lookup!O:O,Lookup!N:N,0))</f>
        <v>Non FG</v>
      </c>
      <c r="M381">
        <f t="shared" si="12"/>
        <v>12</v>
      </c>
    </row>
    <row r="382" spans="1:13" hidden="1" x14ac:dyDescent="0.25">
      <c r="A382" s="78">
        <v>45975</v>
      </c>
      <c r="B382" s="79" t="s">
        <v>664</v>
      </c>
      <c r="C382" s="80" t="s">
        <v>1260</v>
      </c>
      <c r="D382" s="81" t="s">
        <v>726</v>
      </c>
      <c r="E382" s="26" t="s">
        <v>727</v>
      </c>
      <c r="F382" s="82">
        <v>10000</v>
      </c>
      <c r="G382" s="83" t="s">
        <v>622</v>
      </c>
      <c r="H382" s="84">
        <v>10000</v>
      </c>
      <c r="I382" s="80" t="s">
        <v>94</v>
      </c>
      <c r="J382" s="80"/>
      <c r="K382">
        <f t="shared" si="11"/>
        <v>1</v>
      </c>
      <c r="L382" t="str">
        <f>IF(I382="UGR","UGR",_xlfn.XLOOKUP(D382,Lookup!O:O,Lookup!N:N,0))</f>
        <v>Non FG</v>
      </c>
      <c r="M382">
        <f t="shared" si="12"/>
        <v>11</v>
      </c>
    </row>
    <row r="383" spans="1:13" hidden="1" x14ac:dyDescent="0.25">
      <c r="A383" s="78">
        <v>45979</v>
      </c>
      <c r="B383" s="79" t="s">
        <v>664</v>
      </c>
      <c r="C383" s="80" t="s">
        <v>1293</v>
      </c>
      <c r="D383" s="81" t="s">
        <v>726</v>
      </c>
      <c r="E383" s="26" t="s">
        <v>727</v>
      </c>
      <c r="F383" s="82">
        <v>10000</v>
      </c>
      <c r="G383" s="83" t="s">
        <v>622</v>
      </c>
      <c r="H383" s="84">
        <v>10000</v>
      </c>
      <c r="I383" s="80" t="s">
        <v>94</v>
      </c>
      <c r="J383" s="80"/>
      <c r="K383">
        <f t="shared" si="11"/>
        <v>1</v>
      </c>
      <c r="L383" t="str">
        <f>IF(I383="UGR","UGR",_xlfn.XLOOKUP(D383,Lookup!O:O,Lookup!N:N,0))</f>
        <v>Non FG</v>
      </c>
      <c r="M383">
        <f t="shared" si="12"/>
        <v>11</v>
      </c>
    </row>
    <row r="384" spans="1:13" hidden="1" x14ac:dyDescent="0.25">
      <c r="A384" s="78">
        <v>45981</v>
      </c>
      <c r="B384" s="79" t="s">
        <v>664</v>
      </c>
      <c r="C384" s="80" t="s">
        <v>1323</v>
      </c>
      <c r="D384" s="81" t="s">
        <v>726</v>
      </c>
      <c r="E384" s="26" t="s">
        <v>727</v>
      </c>
      <c r="F384" s="82">
        <v>10000</v>
      </c>
      <c r="G384" s="83" t="s">
        <v>622</v>
      </c>
      <c r="H384" s="84">
        <v>10000</v>
      </c>
      <c r="I384" s="80" t="s">
        <v>94</v>
      </c>
      <c r="J384" s="80"/>
      <c r="K384">
        <f t="shared" si="11"/>
        <v>1</v>
      </c>
      <c r="L384" t="str">
        <f>IF(I384="UGR","UGR",_xlfn.XLOOKUP(D384,Lookup!O:O,Lookup!N:N,0))</f>
        <v>Non FG</v>
      </c>
      <c r="M384">
        <f t="shared" si="12"/>
        <v>11</v>
      </c>
    </row>
    <row r="385" spans="1:13" hidden="1" x14ac:dyDescent="0.25">
      <c r="A385" s="78">
        <v>45986</v>
      </c>
      <c r="B385" s="79" t="s">
        <v>664</v>
      </c>
      <c r="C385" s="80" t="s">
        <v>1324</v>
      </c>
      <c r="D385" s="81" t="s">
        <v>726</v>
      </c>
      <c r="E385" s="26" t="s">
        <v>727</v>
      </c>
      <c r="F385" s="82">
        <v>10000</v>
      </c>
      <c r="G385" s="83" t="s">
        <v>622</v>
      </c>
      <c r="H385" s="84">
        <v>10000</v>
      </c>
      <c r="I385" s="80" t="s">
        <v>94</v>
      </c>
      <c r="J385" s="80"/>
      <c r="K385">
        <f t="shared" si="11"/>
        <v>1</v>
      </c>
      <c r="L385" t="str">
        <f>IF(I385="UGR","UGR",_xlfn.XLOOKUP(D385,Lookup!O:O,Lookup!N:N,0))</f>
        <v>Non FG</v>
      </c>
      <c r="M385">
        <f t="shared" si="12"/>
        <v>11</v>
      </c>
    </row>
    <row r="386" spans="1:13" hidden="1" x14ac:dyDescent="0.25">
      <c r="A386" s="78">
        <v>45992</v>
      </c>
      <c r="B386" s="79" t="s">
        <v>664</v>
      </c>
      <c r="C386" s="80" t="s">
        <v>1648</v>
      </c>
      <c r="D386" s="81" t="s">
        <v>726</v>
      </c>
      <c r="E386" s="26" t="s">
        <v>727</v>
      </c>
      <c r="F386" s="82">
        <v>10000</v>
      </c>
      <c r="G386" s="83" t="s">
        <v>622</v>
      </c>
      <c r="H386" s="84">
        <v>10000</v>
      </c>
      <c r="I386" s="80" t="s">
        <v>94</v>
      </c>
      <c r="J386" s="80"/>
      <c r="K386">
        <f t="shared" si="11"/>
        <v>1</v>
      </c>
      <c r="L386" t="str">
        <f>IF(I386="UGR","UGR",_xlfn.XLOOKUP(D386,Lookup!O:O,Lookup!N:N,0))</f>
        <v>Non FG</v>
      </c>
      <c r="M386">
        <f t="shared" si="12"/>
        <v>12</v>
      </c>
    </row>
    <row r="387" spans="1:13" hidden="1" x14ac:dyDescent="0.25">
      <c r="A387" s="78">
        <v>45995</v>
      </c>
      <c r="B387" s="79" t="s">
        <v>664</v>
      </c>
      <c r="C387" s="80" t="s">
        <v>1649</v>
      </c>
      <c r="D387" s="81" t="s">
        <v>726</v>
      </c>
      <c r="E387" s="26" t="s">
        <v>727</v>
      </c>
      <c r="F387" s="82">
        <v>10000</v>
      </c>
      <c r="G387" s="83" t="s">
        <v>622</v>
      </c>
      <c r="H387" s="84">
        <v>10000</v>
      </c>
      <c r="I387" s="80" t="s">
        <v>94</v>
      </c>
      <c r="J387" s="80"/>
      <c r="K387">
        <f t="shared" ref="K387:K450" si="13">IF(AND(B387=B386,C387=C386),0,1)</f>
        <v>1</v>
      </c>
      <c r="L387" t="str">
        <f>IF(I387="UGR","UGR",_xlfn.XLOOKUP(D387,Lookup!O:O,Lookup!N:N,0))</f>
        <v>Non FG</v>
      </c>
      <c r="M387">
        <f t="shared" ref="M387:M450" si="14">MONTH(A387)</f>
        <v>12</v>
      </c>
    </row>
    <row r="388" spans="1:13" hidden="1" x14ac:dyDescent="0.25">
      <c r="A388" s="78">
        <v>45999</v>
      </c>
      <c r="B388" s="79" t="s">
        <v>664</v>
      </c>
      <c r="C388" s="80" t="s">
        <v>1650</v>
      </c>
      <c r="D388" s="81" t="s">
        <v>726</v>
      </c>
      <c r="E388" s="26" t="s">
        <v>727</v>
      </c>
      <c r="F388" s="82">
        <v>10000</v>
      </c>
      <c r="G388" s="83" t="s">
        <v>622</v>
      </c>
      <c r="H388" s="84">
        <v>10000</v>
      </c>
      <c r="I388" s="80" t="s">
        <v>94</v>
      </c>
      <c r="J388" s="80"/>
      <c r="K388">
        <f t="shared" si="13"/>
        <v>1</v>
      </c>
      <c r="L388" t="str">
        <f>IF(I388="UGR","UGR",_xlfn.XLOOKUP(D388,Lookup!O:O,Lookup!N:N,0))</f>
        <v>Non FG</v>
      </c>
      <c r="M388">
        <f t="shared" si="14"/>
        <v>12</v>
      </c>
    </row>
    <row r="389" spans="1:13" hidden="1" x14ac:dyDescent="0.25">
      <c r="A389" s="78">
        <v>46001</v>
      </c>
      <c r="B389" s="79" t="s">
        <v>664</v>
      </c>
      <c r="C389" s="80" t="s">
        <v>1651</v>
      </c>
      <c r="D389" s="81" t="s">
        <v>726</v>
      </c>
      <c r="E389" s="26" t="s">
        <v>727</v>
      </c>
      <c r="F389" s="82">
        <v>10000</v>
      </c>
      <c r="G389" s="83" t="s">
        <v>622</v>
      </c>
      <c r="H389" s="84">
        <v>10000</v>
      </c>
      <c r="I389" s="80" t="s">
        <v>94</v>
      </c>
      <c r="J389" s="80"/>
      <c r="K389">
        <f t="shared" si="13"/>
        <v>1</v>
      </c>
      <c r="L389" t="str">
        <f>IF(I389="UGR","UGR",_xlfn.XLOOKUP(D389,Lookup!O:O,Lookup!N:N,0))</f>
        <v>Non FG</v>
      </c>
      <c r="M389">
        <f t="shared" si="14"/>
        <v>12</v>
      </c>
    </row>
    <row r="390" spans="1:13" hidden="1" x14ac:dyDescent="0.25">
      <c r="A390" s="78">
        <v>46006</v>
      </c>
      <c r="B390" s="79" t="s">
        <v>664</v>
      </c>
      <c r="C390" s="80" t="s">
        <v>1652</v>
      </c>
      <c r="D390" s="81" t="s">
        <v>726</v>
      </c>
      <c r="E390" s="26" t="s">
        <v>727</v>
      </c>
      <c r="F390" s="82">
        <v>10000</v>
      </c>
      <c r="G390" s="83" t="s">
        <v>622</v>
      </c>
      <c r="H390" s="84">
        <v>10000</v>
      </c>
      <c r="I390" s="80" t="s">
        <v>94</v>
      </c>
      <c r="J390" s="80"/>
      <c r="K390">
        <f t="shared" si="13"/>
        <v>1</v>
      </c>
      <c r="L390" t="str">
        <f>IF(I390="UGR","UGR",_xlfn.XLOOKUP(D390,Lookup!O:O,Lookup!N:N,0))</f>
        <v>Non FG</v>
      </c>
      <c r="M390">
        <f t="shared" si="14"/>
        <v>12</v>
      </c>
    </row>
    <row r="391" spans="1:13" hidden="1" x14ac:dyDescent="0.25">
      <c r="A391" s="78">
        <v>46007</v>
      </c>
      <c r="B391" s="79" t="s">
        <v>664</v>
      </c>
      <c r="C391" s="80" t="s">
        <v>1653</v>
      </c>
      <c r="D391" s="81" t="s">
        <v>726</v>
      </c>
      <c r="E391" s="26" t="s">
        <v>727</v>
      </c>
      <c r="F391" s="82">
        <v>10000</v>
      </c>
      <c r="G391" s="83" t="s">
        <v>622</v>
      </c>
      <c r="H391" s="84">
        <v>10000</v>
      </c>
      <c r="I391" s="80" t="s">
        <v>94</v>
      </c>
      <c r="J391" s="80"/>
      <c r="K391">
        <f t="shared" si="13"/>
        <v>1</v>
      </c>
      <c r="L391" t="str">
        <f>IF(I391="UGR","UGR",_xlfn.XLOOKUP(D391,Lookup!O:O,Lookup!N:N,0))</f>
        <v>Non FG</v>
      </c>
      <c r="M391">
        <f t="shared" si="14"/>
        <v>12</v>
      </c>
    </row>
    <row r="392" spans="1:13" hidden="1" x14ac:dyDescent="0.25">
      <c r="A392" s="78">
        <v>46009</v>
      </c>
      <c r="B392" s="79" t="s">
        <v>664</v>
      </c>
      <c r="C392" s="80" t="s">
        <v>1654</v>
      </c>
      <c r="D392" s="81" t="s">
        <v>726</v>
      </c>
      <c r="E392" s="26" t="s">
        <v>727</v>
      </c>
      <c r="F392" s="82">
        <v>4451</v>
      </c>
      <c r="G392" s="83" t="s">
        <v>622</v>
      </c>
      <c r="H392" s="84">
        <v>4451</v>
      </c>
      <c r="I392" s="80" t="s">
        <v>94</v>
      </c>
      <c r="J392" s="80"/>
      <c r="K392">
        <f t="shared" si="13"/>
        <v>1</v>
      </c>
      <c r="L392" t="str">
        <f>IF(I392="UGR","UGR",_xlfn.XLOOKUP(D392,Lookup!O:O,Lookup!N:N,0))</f>
        <v>Non FG</v>
      </c>
      <c r="M392">
        <f t="shared" si="14"/>
        <v>12</v>
      </c>
    </row>
    <row r="393" spans="1:13" hidden="1" x14ac:dyDescent="0.25">
      <c r="A393" s="78">
        <v>45973</v>
      </c>
      <c r="B393" s="79" t="s">
        <v>664</v>
      </c>
      <c r="C393" s="80" t="s">
        <v>1261</v>
      </c>
      <c r="D393" s="81" t="s">
        <v>742</v>
      </c>
      <c r="E393" s="26" t="s">
        <v>743</v>
      </c>
      <c r="F393" s="82">
        <v>10000</v>
      </c>
      <c r="G393" s="83" t="s">
        <v>622</v>
      </c>
      <c r="H393" s="84">
        <v>10000</v>
      </c>
      <c r="I393" s="80" t="s">
        <v>94</v>
      </c>
      <c r="J393" s="80"/>
      <c r="K393">
        <f t="shared" si="13"/>
        <v>1</v>
      </c>
      <c r="L393" t="str">
        <f>IF(I393="UGR","UGR",_xlfn.XLOOKUP(D393,Lookup!O:O,Lookup!N:N,0))</f>
        <v>Non FG</v>
      </c>
      <c r="M393">
        <f t="shared" si="14"/>
        <v>11</v>
      </c>
    </row>
    <row r="394" spans="1:13" hidden="1" x14ac:dyDescent="0.25">
      <c r="A394" s="78">
        <v>45978</v>
      </c>
      <c r="B394" s="79" t="s">
        <v>664</v>
      </c>
      <c r="C394" s="80" t="s">
        <v>1294</v>
      </c>
      <c r="D394" s="81" t="s">
        <v>742</v>
      </c>
      <c r="E394" s="26" t="s">
        <v>743</v>
      </c>
      <c r="F394" s="82">
        <v>10000</v>
      </c>
      <c r="G394" s="83" t="s">
        <v>622</v>
      </c>
      <c r="H394" s="84">
        <v>10000</v>
      </c>
      <c r="I394" s="80" t="s">
        <v>94</v>
      </c>
      <c r="J394" s="80"/>
      <c r="K394">
        <f t="shared" si="13"/>
        <v>1</v>
      </c>
      <c r="L394" t="str">
        <f>IF(I394="UGR","UGR",_xlfn.XLOOKUP(D394,Lookup!O:O,Lookup!N:N,0))</f>
        <v>Non FG</v>
      </c>
      <c r="M394">
        <f t="shared" si="14"/>
        <v>11</v>
      </c>
    </row>
    <row r="395" spans="1:13" hidden="1" x14ac:dyDescent="0.25">
      <c r="A395" s="78">
        <v>45980</v>
      </c>
      <c r="B395" s="79" t="s">
        <v>664</v>
      </c>
      <c r="C395" s="80" t="s">
        <v>1350</v>
      </c>
      <c r="D395" s="81" t="s">
        <v>742</v>
      </c>
      <c r="E395" s="26" t="s">
        <v>743</v>
      </c>
      <c r="F395" s="82">
        <v>10000</v>
      </c>
      <c r="G395" s="83" t="s">
        <v>622</v>
      </c>
      <c r="H395" s="84">
        <v>10000</v>
      </c>
      <c r="I395" s="80" t="s">
        <v>94</v>
      </c>
      <c r="J395" s="80"/>
      <c r="K395">
        <f t="shared" si="13"/>
        <v>1</v>
      </c>
      <c r="L395" t="str">
        <f>IF(I395="UGR","UGR",_xlfn.XLOOKUP(D395,Lookup!O:O,Lookup!N:N,0))</f>
        <v>Non FG</v>
      </c>
      <c r="M395">
        <f t="shared" si="14"/>
        <v>11</v>
      </c>
    </row>
    <row r="396" spans="1:13" hidden="1" x14ac:dyDescent="0.25">
      <c r="A396" s="78">
        <v>45985</v>
      </c>
      <c r="B396" s="79" t="s">
        <v>664</v>
      </c>
      <c r="C396" s="80" t="s">
        <v>1372</v>
      </c>
      <c r="D396" s="81" t="s">
        <v>742</v>
      </c>
      <c r="E396" s="26" t="s">
        <v>743</v>
      </c>
      <c r="F396" s="82">
        <v>10000</v>
      </c>
      <c r="G396" s="83" t="s">
        <v>622</v>
      </c>
      <c r="H396" s="84">
        <v>10000</v>
      </c>
      <c r="I396" s="80" t="s">
        <v>94</v>
      </c>
      <c r="J396" s="80"/>
      <c r="K396">
        <f t="shared" si="13"/>
        <v>1</v>
      </c>
      <c r="L396" t="str">
        <f>IF(I396="UGR","UGR",_xlfn.XLOOKUP(D396,Lookup!O:O,Lookup!N:N,0))</f>
        <v>Non FG</v>
      </c>
      <c r="M396">
        <f t="shared" si="14"/>
        <v>11</v>
      </c>
    </row>
    <row r="397" spans="1:13" hidden="1" x14ac:dyDescent="0.25">
      <c r="A397" s="78">
        <v>45987</v>
      </c>
      <c r="B397" s="79" t="s">
        <v>664</v>
      </c>
      <c r="C397" s="80" t="s">
        <v>1655</v>
      </c>
      <c r="D397" s="81" t="s">
        <v>742</v>
      </c>
      <c r="E397" s="26" t="s">
        <v>743</v>
      </c>
      <c r="F397" s="82">
        <v>10000</v>
      </c>
      <c r="G397" s="83" t="s">
        <v>622</v>
      </c>
      <c r="H397" s="84">
        <v>10000</v>
      </c>
      <c r="I397" s="80" t="s">
        <v>94</v>
      </c>
      <c r="J397" s="80"/>
      <c r="K397">
        <f t="shared" si="13"/>
        <v>1</v>
      </c>
      <c r="L397" t="str">
        <f>IF(I397="UGR","UGR",_xlfn.XLOOKUP(D397,Lookup!O:O,Lookup!N:N,0))</f>
        <v>Non FG</v>
      </c>
      <c r="M397">
        <f t="shared" si="14"/>
        <v>11</v>
      </c>
    </row>
    <row r="398" spans="1:13" hidden="1" x14ac:dyDescent="0.25">
      <c r="A398" s="78">
        <v>45995</v>
      </c>
      <c r="B398" s="79" t="s">
        <v>664</v>
      </c>
      <c r="C398" s="80" t="s">
        <v>1656</v>
      </c>
      <c r="D398" s="81" t="s">
        <v>742</v>
      </c>
      <c r="E398" s="26" t="s">
        <v>743</v>
      </c>
      <c r="F398" s="82">
        <v>10000</v>
      </c>
      <c r="G398" s="83" t="s">
        <v>622</v>
      </c>
      <c r="H398" s="84">
        <v>10000</v>
      </c>
      <c r="I398" s="80" t="s">
        <v>94</v>
      </c>
      <c r="J398" s="80"/>
      <c r="K398">
        <f t="shared" si="13"/>
        <v>1</v>
      </c>
      <c r="L398" t="str">
        <f>IF(I398="UGR","UGR",_xlfn.XLOOKUP(D398,Lookup!O:O,Lookup!N:N,0))</f>
        <v>Non FG</v>
      </c>
      <c r="M398">
        <f t="shared" si="14"/>
        <v>12</v>
      </c>
    </row>
    <row r="399" spans="1:13" hidden="1" x14ac:dyDescent="0.25">
      <c r="A399" s="78">
        <v>45999</v>
      </c>
      <c r="B399" s="79" t="s">
        <v>664</v>
      </c>
      <c r="C399" s="80" t="s">
        <v>1657</v>
      </c>
      <c r="D399" s="81" t="s">
        <v>742</v>
      </c>
      <c r="E399" s="26" t="s">
        <v>743</v>
      </c>
      <c r="F399" s="82">
        <v>10000</v>
      </c>
      <c r="G399" s="83" t="s">
        <v>622</v>
      </c>
      <c r="H399" s="84">
        <v>10000</v>
      </c>
      <c r="I399" s="80" t="s">
        <v>94</v>
      </c>
      <c r="J399" s="80"/>
      <c r="K399">
        <f t="shared" si="13"/>
        <v>1</v>
      </c>
      <c r="L399" t="str">
        <f>IF(I399="UGR","UGR",_xlfn.XLOOKUP(D399,Lookup!O:O,Lookup!N:N,0))</f>
        <v>Non FG</v>
      </c>
      <c r="M399">
        <f t="shared" si="14"/>
        <v>12</v>
      </c>
    </row>
    <row r="400" spans="1:13" hidden="1" x14ac:dyDescent="0.25">
      <c r="A400" s="78">
        <v>46001</v>
      </c>
      <c r="B400" s="79" t="s">
        <v>664</v>
      </c>
      <c r="C400" s="80" t="s">
        <v>1658</v>
      </c>
      <c r="D400" s="81" t="s">
        <v>742</v>
      </c>
      <c r="E400" s="26" t="s">
        <v>743</v>
      </c>
      <c r="F400" s="82">
        <v>10000</v>
      </c>
      <c r="G400" s="83" t="s">
        <v>622</v>
      </c>
      <c r="H400" s="84">
        <v>10000</v>
      </c>
      <c r="I400" s="80" t="s">
        <v>94</v>
      </c>
      <c r="J400" s="80"/>
      <c r="K400">
        <f t="shared" si="13"/>
        <v>1</v>
      </c>
      <c r="L400" t="str">
        <f>IF(I400="UGR","UGR",_xlfn.XLOOKUP(D400,Lookup!O:O,Lookup!N:N,0))</f>
        <v>Non FG</v>
      </c>
      <c r="M400">
        <f t="shared" si="14"/>
        <v>12</v>
      </c>
    </row>
    <row r="401" spans="1:13" hidden="1" x14ac:dyDescent="0.25">
      <c r="A401" s="78">
        <v>46007</v>
      </c>
      <c r="B401" s="79" t="s">
        <v>664</v>
      </c>
      <c r="C401" s="80" t="s">
        <v>1659</v>
      </c>
      <c r="D401" s="81" t="s">
        <v>742</v>
      </c>
      <c r="E401" s="26" t="s">
        <v>743</v>
      </c>
      <c r="F401" s="82">
        <v>10000</v>
      </c>
      <c r="G401" s="83" t="s">
        <v>622</v>
      </c>
      <c r="H401" s="84">
        <v>10000</v>
      </c>
      <c r="I401" s="80" t="s">
        <v>94</v>
      </c>
      <c r="J401" s="80"/>
      <c r="K401">
        <f t="shared" si="13"/>
        <v>1</v>
      </c>
      <c r="L401" t="str">
        <f>IF(I401="UGR","UGR",_xlfn.XLOOKUP(D401,Lookup!O:O,Lookup!N:N,0))</f>
        <v>Non FG</v>
      </c>
      <c r="M401">
        <f t="shared" si="14"/>
        <v>12</v>
      </c>
    </row>
    <row r="402" spans="1:13" hidden="1" x14ac:dyDescent="0.25">
      <c r="A402" s="78">
        <v>46007</v>
      </c>
      <c r="B402" s="79" t="s">
        <v>664</v>
      </c>
      <c r="C402" s="80" t="s">
        <v>1660</v>
      </c>
      <c r="D402" s="81" t="s">
        <v>742</v>
      </c>
      <c r="E402" s="26" t="s">
        <v>743</v>
      </c>
      <c r="F402" s="82">
        <v>10000</v>
      </c>
      <c r="G402" s="83" t="s">
        <v>622</v>
      </c>
      <c r="H402" s="84">
        <v>10000</v>
      </c>
      <c r="I402" s="80" t="s">
        <v>94</v>
      </c>
      <c r="J402" s="80"/>
      <c r="K402">
        <f t="shared" si="13"/>
        <v>1</v>
      </c>
      <c r="L402" t="str">
        <f>IF(I402="UGR","UGR",_xlfn.XLOOKUP(D402,Lookup!O:O,Lookup!N:N,0))</f>
        <v>Non FG</v>
      </c>
      <c r="M402">
        <f t="shared" si="14"/>
        <v>12</v>
      </c>
    </row>
    <row r="403" spans="1:13" hidden="1" x14ac:dyDescent="0.25">
      <c r="A403" s="78">
        <v>46009</v>
      </c>
      <c r="B403" s="79" t="s">
        <v>664</v>
      </c>
      <c r="C403" s="80" t="s">
        <v>1661</v>
      </c>
      <c r="D403" s="81" t="s">
        <v>742</v>
      </c>
      <c r="E403" s="26" t="s">
        <v>743</v>
      </c>
      <c r="F403" s="82">
        <v>3771</v>
      </c>
      <c r="G403" s="83" t="s">
        <v>622</v>
      </c>
      <c r="H403" s="84">
        <v>3771</v>
      </c>
      <c r="I403" s="80" t="s">
        <v>94</v>
      </c>
      <c r="J403" s="80"/>
      <c r="K403">
        <f t="shared" si="13"/>
        <v>1</v>
      </c>
      <c r="L403" t="str">
        <f>IF(I403="UGR","UGR",_xlfn.XLOOKUP(D403,Lookup!O:O,Lookup!N:N,0))</f>
        <v>Non FG</v>
      </c>
      <c r="M403">
        <f t="shared" si="14"/>
        <v>12</v>
      </c>
    </row>
    <row r="404" spans="1:13" hidden="1" x14ac:dyDescent="0.25">
      <c r="A404" s="78">
        <v>45972</v>
      </c>
      <c r="B404" s="79" t="s">
        <v>664</v>
      </c>
      <c r="C404" s="80" t="s">
        <v>1262</v>
      </c>
      <c r="D404" s="81" t="s">
        <v>669</v>
      </c>
      <c r="E404" s="26" t="s">
        <v>670</v>
      </c>
      <c r="F404" s="82">
        <v>10000</v>
      </c>
      <c r="G404" s="83" t="s">
        <v>622</v>
      </c>
      <c r="H404" s="84">
        <v>10000</v>
      </c>
      <c r="I404" s="80" t="s">
        <v>94</v>
      </c>
      <c r="J404" s="80"/>
      <c r="K404">
        <f t="shared" si="13"/>
        <v>1</v>
      </c>
      <c r="L404" t="str">
        <f>IF(I404="UGR","UGR",_xlfn.XLOOKUP(D404,Lookup!O:O,Lookup!N:N,0))</f>
        <v>Non FG</v>
      </c>
      <c r="M404">
        <f t="shared" si="14"/>
        <v>11</v>
      </c>
    </row>
    <row r="405" spans="1:13" hidden="1" x14ac:dyDescent="0.25">
      <c r="A405" s="78">
        <v>45974</v>
      </c>
      <c r="B405" s="79" t="s">
        <v>664</v>
      </c>
      <c r="C405" s="80" t="s">
        <v>1295</v>
      </c>
      <c r="D405" s="81" t="s">
        <v>669</v>
      </c>
      <c r="E405" s="26" t="s">
        <v>670</v>
      </c>
      <c r="F405" s="82">
        <v>10000</v>
      </c>
      <c r="G405" s="83" t="s">
        <v>622</v>
      </c>
      <c r="H405" s="84">
        <v>10000</v>
      </c>
      <c r="I405" s="80" t="s">
        <v>94</v>
      </c>
      <c r="J405" s="80"/>
      <c r="K405">
        <f t="shared" si="13"/>
        <v>1</v>
      </c>
      <c r="L405" t="str">
        <f>IF(I405="UGR","UGR",_xlfn.XLOOKUP(D405,Lookup!O:O,Lookup!N:N,0))</f>
        <v>Non FG</v>
      </c>
      <c r="M405">
        <f t="shared" si="14"/>
        <v>11</v>
      </c>
    </row>
    <row r="406" spans="1:13" hidden="1" x14ac:dyDescent="0.25">
      <c r="A406" s="78">
        <v>45978</v>
      </c>
      <c r="B406" s="79" t="s">
        <v>664</v>
      </c>
      <c r="C406" s="80" t="s">
        <v>1325</v>
      </c>
      <c r="D406" s="81" t="s">
        <v>669</v>
      </c>
      <c r="E406" s="26" t="s">
        <v>670</v>
      </c>
      <c r="F406" s="82">
        <v>10000</v>
      </c>
      <c r="G406" s="83" t="s">
        <v>622</v>
      </c>
      <c r="H406" s="84">
        <v>10000</v>
      </c>
      <c r="I406" s="80" t="s">
        <v>94</v>
      </c>
      <c r="J406" s="80"/>
      <c r="K406">
        <f t="shared" si="13"/>
        <v>1</v>
      </c>
      <c r="L406" t="str">
        <f>IF(I406="UGR","UGR",_xlfn.XLOOKUP(D406,Lookup!O:O,Lookup!N:N,0))</f>
        <v>Non FG</v>
      </c>
      <c r="M406">
        <f t="shared" si="14"/>
        <v>11</v>
      </c>
    </row>
    <row r="407" spans="1:13" hidden="1" x14ac:dyDescent="0.25">
      <c r="A407" s="78">
        <v>45980</v>
      </c>
      <c r="B407" s="79" t="s">
        <v>664</v>
      </c>
      <c r="C407" s="80" t="s">
        <v>1351</v>
      </c>
      <c r="D407" s="81" t="s">
        <v>669</v>
      </c>
      <c r="E407" s="26" t="s">
        <v>670</v>
      </c>
      <c r="F407" s="82">
        <v>10000</v>
      </c>
      <c r="G407" s="83" t="s">
        <v>622</v>
      </c>
      <c r="H407" s="84">
        <v>10000</v>
      </c>
      <c r="I407" s="80" t="s">
        <v>94</v>
      </c>
      <c r="J407" s="80"/>
      <c r="K407">
        <f t="shared" si="13"/>
        <v>1</v>
      </c>
      <c r="L407" t="str">
        <f>IF(I407="UGR","UGR",_xlfn.XLOOKUP(D407,Lookup!O:O,Lookup!N:N,0))</f>
        <v>Non FG</v>
      </c>
      <c r="M407">
        <f t="shared" si="14"/>
        <v>11</v>
      </c>
    </row>
    <row r="408" spans="1:13" hidden="1" x14ac:dyDescent="0.25">
      <c r="A408" s="78">
        <v>45985</v>
      </c>
      <c r="B408" s="79" t="s">
        <v>664</v>
      </c>
      <c r="C408" s="80" t="s">
        <v>1373</v>
      </c>
      <c r="D408" s="81" t="s">
        <v>669</v>
      </c>
      <c r="E408" s="26" t="s">
        <v>670</v>
      </c>
      <c r="F408" s="82">
        <v>10000</v>
      </c>
      <c r="G408" s="83" t="s">
        <v>622</v>
      </c>
      <c r="H408" s="84">
        <v>10000</v>
      </c>
      <c r="I408" s="80" t="s">
        <v>94</v>
      </c>
      <c r="J408" s="80"/>
      <c r="K408">
        <f t="shared" si="13"/>
        <v>1</v>
      </c>
      <c r="L408" t="str">
        <f>IF(I408="UGR","UGR",_xlfn.XLOOKUP(D408,Lookup!O:O,Lookup!N:N,0))</f>
        <v>Non FG</v>
      </c>
      <c r="M408">
        <f t="shared" si="14"/>
        <v>11</v>
      </c>
    </row>
    <row r="409" spans="1:13" hidden="1" x14ac:dyDescent="0.25">
      <c r="A409" s="78">
        <v>45987</v>
      </c>
      <c r="B409" s="79" t="s">
        <v>664</v>
      </c>
      <c r="C409" s="80" t="s">
        <v>1662</v>
      </c>
      <c r="D409" s="81" t="s">
        <v>669</v>
      </c>
      <c r="E409" s="26" t="s">
        <v>670</v>
      </c>
      <c r="F409" s="82">
        <v>10000</v>
      </c>
      <c r="G409" s="83" t="s">
        <v>622</v>
      </c>
      <c r="H409" s="84">
        <v>10000</v>
      </c>
      <c r="I409" s="80" t="s">
        <v>94</v>
      </c>
      <c r="J409" s="80"/>
      <c r="K409">
        <f t="shared" si="13"/>
        <v>1</v>
      </c>
      <c r="L409" t="str">
        <f>IF(I409="UGR","UGR",_xlfn.XLOOKUP(D409,Lookup!O:O,Lookup!N:N,0))</f>
        <v>Non FG</v>
      </c>
      <c r="M409">
        <f t="shared" si="14"/>
        <v>11</v>
      </c>
    </row>
    <row r="410" spans="1:13" hidden="1" x14ac:dyDescent="0.25">
      <c r="A410" s="78">
        <v>45992</v>
      </c>
      <c r="B410" s="79" t="s">
        <v>664</v>
      </c>
      <c r="C410" s="80" t="s">
        <v>1663</v>
      </c>
      <c r="D410" s="81" t="s">
        <v>669</v>
      </c>
      <c r="E410" s="26" t="s">
        <v>670</v>
      </c>
      <c r="F410" s="82">
        <v>10000</v>
      </c>
      <c r="G410" s="83" t="s">
        <v>622</v>
      </c>
      <c r="H410" s="84">
        <v>10000</v>
      </c>
      <c r="I410" s="80" t="s">
        <v>94</v>
      </c>
      <c r="J410" s="80"/>
      <c r="K410">
        <f t="shared" si="13"/>
        <v>1</v>
      </c>
      <c r="L410" t="str">
        <f>IF(I410="UGR","UGR",_xlfn.XLOOKUP(D410,Lookup!O:O,Lookup!N:N,0))</f>
        <v>Non FG</v>
      </c>
      <c r="M410">
        <f t="shared" si="14"/>
        <v>12</v>
      </c>
    </row>
    <row r="411" spans="1:13" hidden="1" x14ac:dyDescent="0.25">
      <c r="A411" s="78">
        <v>46001</v>
      </c>
      <c r="B411" s="79" t="s">
        <v>664</v>
      </c>
      <c r="C411" s="80" t="s">
        <v>1664</v>
      </c>
      <c r="D411" s="81" t="s">
        <v>669</v>
      </c>
      <c r="E411" s="26" t="s">
        <v>670</v>
      </c>
      <c r="F411" s="82">
        <v>10000</v>
      </c>
      <c r="G411" s="83" t="s">
        <v>622</v>
      </c>
      <c r="H411" s="84">
        <v>10000</v>
      </c>
      <c r="I411" s="80" t="s">
        <v>94</v>
      </c>
      <c r="J411" s="80"/>
      <c r="K411">
        <f t="shared" si="13"/>
        <v>1</v>
      </c>
      <c r="L411" t="str">
        <f>IF(I411="UGR","UGR",_xlfn.XLOOKUP(D411,Lookup!O:O,Lookup!N:N,0))</f>
        <v>Non FG</v>
      </c>
      <c r="M411">
        <f t="shared" si="14"/>
        <v>12</v>
      </c>
    </row>
    <row r="412" spans="1:13" hidden="1" x14ac:dyDescent="0.25">
      <c r="A412" s="78">
        <v>46002</v>
      </c>
      <c r="B412" s="79" t="s">
        <v>664</v>
      </c>
      <c r="C412" s="80" t="s">
        <v>1665</v>
      </c>
      <c r="D412" s="81" t="s">
        <v>669</v>
      </c>
      <c r="E412" s="26" t="s">
        <v>670</v>
      </c>
      <c r="F412" s="82">
        <v>10000</v>
      </c>
      <c r="G412" s="83" t="s">
        <v>622</v>
      </c>
      <c r="H412" s="84">
        <v>10000</v>
      </c>
      <c r="I412" s="80" t="s">
        <v>94</v>
      </c>
      <c r="J412" s="80"/>
      <c r="K412">
        <f t="shared" si="13"/>
        <v>1</v>
      </c>
      <c r="L412" t="str">
        <f>IF(I412="UGR","UGR",_xlfn.XLOOKUP(D412,Lookup!O:O,Lookup!N:N,0))</f>
        <v>Non FG</v>
      </c>
      <c r="M412">
        <f t="shared" si="14"/>
        <v>12</v>
      </c>
    </row>
    <row r="413" spans="1:13" hidden="1" x14ac:dyDescent="0.25">
      <c r="A413" s="78">
        <v>46006</v>
      </c>
      <c r="B413" s="79" t="s">
        <v>664</v>
      </c>
      <c r="C413" s="80" t="s">
        <v>1666</v>
      </c>
      <c r="D413" s="81" t="s">
        <v>669</v>
      </c>
      <c r="E413" s="26" t="s">
        <v>670</v>
      </c>
      <c r="F413" s="82">
        <v>10000</v>
      </c>
      <c r="G413" s="83" t="s">
        <v>622</v>
      </c>
      <c r="H413" s="84">
        <v>10000</v>
      </c>
      <c r="I413" s="80" t="s">
        <v>94</v>
      </c>
      <c r="J413" s="80"/>
      <c r="K413">
        <f t="shared" si="13"/>
        <v>1</v>
      </c>
      <c r="L413" t="str">
        <f>IF(I413="UGR","UGR",_xlfn.XLOOKUP(D413,Lookup!O:O,Lookup!N:N,0))</f>
        <v>Non FG</v>
      </c>
      <c r="M413">
        <f t="shared" si="14"/>
        <v>12</v>
      </c>
    </row>
    <row r="414" spans="1:13" hidden="1" x14ac:dyDescent="0.25">
      <c r="A414" s="78">
        <v>46007</v>
      </c>
      <c r="B414" s="79" t="s">
        <v>664</v>
      </c>
      <c r="C414" s="80" t="s">
        <v>1667</v>
      </c>
      <c r="D414" s="81" t="s">
        <v>669</v>
      </c>
      <c r="E414" s="26" t="s">
        <v>670</v>
      </c>
      <c r="F414" s="82">
        <v>10000</v>
      </c>
      <c r="G414" s="83" t="s">
        <v>622</v>
      </c>
      <c r="H414" s="84">
        <v>10000</v>
      </c>
      <c r="I414" s="80" t="s">
        <v>94</v>
      </c>
      <c r="J414" s="80"/>
      <c r="K414">
        <f t="shared" si="13"/>
        <v>1</v>
      </c>
      <c r="L414" t="str">
        <f>IF(I414="UGR","UGR",_xlfn.XLOOKUP(D414,Lookup!O:O,Lookup!N:N,0))</f>
        <v>Non FG</v>
      </c>
      <c r="M414">
        <f t="shared" si="14"/>
        <v>12</v>
      </c>
    </row>
    <row r="415" spans="1:13" hidden="1" x14ac:dyDescent="0.25">
      <c r="A415" s="78">
        <v>46009</v>
      </c>
      <c r="B415" s="79" t="s">
        <v>664</v>
      </c>
      <c r="C415" s="80" t="s">
        <v>1668</v>
      </c>
      <c r="D415" s="81" t="s">
        <v>669</v>
      </c>
      <c r="E415" s="26" t="s">
        <v>670</v>
      </c>
      <c r="F415" s="82">
        <v>4710</v>
      </c>
      <c r="G415" s="83" t="s">
        <v>622</v>
      </c>
      <c r="H415" s="84">
        <v>4710</v>
      </c>
      <c r="I415" s="80" t="s">
        <v>94</v>
      </c>
      <c r="J415" s="80"/>
      <c r="K415">
        <f t="shared" si="13"/>
        <v>1</v>
      </c>
      <c r="L415" t="str">
        <f>IF(I415="UGR","UGR",_xlfn.XLOOKUP(D415,Lookup!O:O,Lookup!N:N,0))</f>
        <v>Non FG</v>
      </c>
      <c r="M415">
        <f t="shared" si="14"/>
        <v>12</v>
      </c>
    </row>
    <row r="416" spans="1:13" hidden="1" x14ac:dyDescent="0.25">
      <c r="A416" s="78">
        <v>45973</v>
      </c>
      <c r="B416" s="79" t="s">
        <v>664</v>
      </c>
      <c r="C416" s="80" t="s">
        <v>1263</v>
      </c>
      <c r="D416" s="81" t="s">
        <v>728</v>
      </c>
      <c r="E416" s="26" t="s">
        <v>729</v>
      </c>
      <c r="F416" s="82">
        <v>10000</v>
      </c>
      <c r="G416" s="83" t="s">
        <v>622</v>
      </c>
      <c r="H416" s="84">
        <v>10000</v>
      </c>
      <c r="I416" s="80" t="s">
        <v>94</v>
      </c>
      <c r="J416" s="80"/>
      <c r="K416">
        <f t="shared" si="13"/>
        <v>1</v>
      </c>
      <c r="L416" t="str">
        <f>IF(I416="UGR","UGR",_xlfn.XLOOKUP(D416,Lookup!O:O,Lookup!N:N,0))</f>
        <v>Non FG</v>
      </c>
      <c r="M416">
        <f t="shared" si="14"/>
        <v>11</v>
      </c>
    </row>
    <row r="417" spans="1:13" hidden="1" x14ac:dyDescent="0.25">
      <c r="A417" s="78">
        <v>45975</v>
      </c>
      <c r="B417" s="79" t="s">
        <v>664</v>
      </c>
      <c r="C417" s="80" t="s">
        <v>1296</v>
      </c>
      <c r="D417" s="81" t="s">
        <v>728</v>
      </c>
      <c r="E417" s="26" t="s">
        <v>729</v>
      </c>
      <c r="F417" s="82">
        <v>10000</v>
      </c>
      <c r="G417" s="83" t="s">
        <v>622</v>
      </c>
      <c r="H417" s="84">
        <v>10000</v>
      </c>
      <c r="I417" s="80" t="s">
        <v>94</v>
      </c>
      <c r="J417" s="80"/>
      <c r="K417">
        <f t="shared" si="13"/>
        <v>1</v>
      </c>
      <c r="L417" t="str">
        <f>IF(I417="UGR","UGR",_xlfn.XLOOKUP(D417,Lookup!O:O,Lookup!N:N,0))</f>
        <v>Non FG</v>
      </c>
      <c r="M417">
        <f t="shared" si="14"/>
        <v>11</v>
      </c>
    </row>
    <row r="418" spans="1:13" hidden="1" x14ac:dyDescent="0.25">
      <c r="A418" s="78">
        <v>45979</v>
      </c>
      <c r="B418" s="79" t="s">
        <v>664</v>
      </c>
      <c r="C418" s="80" t="s">
        <v>1326</v>
      </c>
      <c r="D418" s="81" t="s">
        <v>728</v>
      </c>
      <c r="E418" s="26" t="s">
        <v>729</v>
      </c>
      <c r="F418" s="82">
        <v>10000</v>
      </c>
      <c r="G418" s="83" t="s">
        <v>622</v>
      </c>
      <c r="H418" s="84">
        <v>10000</v>
      </c>
      <c r="I418" s="80" t="s">
        <v>94</v>
      </c>
      <c r="J418" s="80"/>
      <c r="K418">
        <f t="shared" si="13"/>
        <v>1</v>
      </c>
      <c r="L418" t="str">
        <f>IF(I418="UGR","UGR",_xlfn.XLOOKUP(D418,Lookup!O:O,Lookup!N:N,0))</f>
        <v>Non FG</v>
      </c>
      <c r="M418">
        <f t="shared" si="14"/>
        <v>11</v>
      </c>
    </row>
    <row r="419" spans="1:13" hidden="1" x14ac:dyDescent="0.25">
      <c r="A419" s="78">
        <v>45981</v>
      </c>
      <c r="B419" s="79" t="s">
        <v>664</v>
      </c>
      <c r="C419" s="80" t="s">
        <v>1352</v>
      </c>
      <c r="D419" s="81" t="s">
        <v>728</v>
      </c>
      <c r="E419" s="26" t="s">
        <v>729</v>
      </c>
      <c r="F419" s="82">
        <v>10000</v>
      </c>
      <c r="G419" s="83" t="s">
        <v>622</v>
      </c>
      <c r="H419" s="84">
        <v>10000</v>
      </c>
      <c r="I419" s="80" t="s">
        <v>94</v>
      </c>
      <c r="J419" s="80"/>
      <c r="K419">
        <f t="shared" si="13"/>
        <v>1</v>
      </c>
      <c r="L419" t="str">
        <f>IF(I419="UGR","UGR",_xlfn.XLOOKUP(D419,Lookup!O:O,Lookup!N:N,0))</f>
        <v>Non FG</v>
      </c>
      <c r="M419">
        <f t="shared" si="14"/>
        <v>11</v>
      </c>
    </row>
    <row r="420" spans="1:13" hidden="1" x14ac:dyDescent="0.25">
      <c r="A420" s="78">
        <v>45986</v>
      </c>
      <c r="B420" s="79" t="s">
        <v>664</v>
      </c>
      <c r="C420" s="80" t="s">
        <v>1374</v>
      </c>
      <c r="D420" s="81" t="s">
        <v>728</v>
      </c>
      <c r="E420" s="26" t="s">
        <v>729</v>
      </c>
      <c r="F420" s="82">
        <v>10000</v>
      </c>
      <c r="G420" s="83" t="s">
        <v>622</v>
      </c>
      <c r="H420" s="84">
        <v>10000</v>
      </c>
      <c r="I420" s="80" t="s">
        <v>94</v>
      </c>
      <c r="J420" s="80"/>
      <c r="K420">
        <f t="shared" si="13"/>
        <v>1</v>
      </c>
      <c r="L420" t="str">
        <f>IF(I420="UGR","UGR",_xlfn.XLOOKUP(D420,Lookup!O:O,Lookup!N:N,0))</f>
        <v>Non FG</v>
      </c>
      <c r="M420">
        <f t="shared" si="14"/>
        <v>11</v>
      </c>
    </row>
    <row r="421" spans="1:13" hidden="1" x14ac:dyDescent="0.25">
      <c r="A421" s="78">
        <v>45992</v>
      </c>
      <c r="B421" s="79" t="s">
        <v>664</v>
      </c>
      <c r="C421" s="80" t="s">
        <v>1669</v>
      </c>
      <c r="D421" s="81" t="s">
        <v>728</v>
      </c>
      <c r="E421" s="26" t="s">
        <v>729</v>
      </c>
      <c r="F421" s="82">
        <v>10000</v>
      </c>
      <c r="G421" s="83" t="s">
        <v>622</v>
      </c>
      <c r="H421" s="84">
        <v>10000</v>
      </c>
      <c r="I421" s="80" t="s">
        <v>94</v>
      </c>
      <c r="J421" s="80"/>
      <c r="K421">
        <f t="shared" si="13"/>
        <v>1</v>
      </c>
      <c r="L421" t="str">
        <f>IF(I421="UGR","UGR",_xlfn.XLOOKUP(D421,Lookup!O:O,Lookup!N:N,0))</f>
        <v>Non FG</v>
      </c>
      <c r="M421">
        <f t="shared" si="14"/>
        <v>12</v>
      </c>
    </row>
    <row r="422" spans="1:13" hidden="1" x14ac:dyDescent="0.25">
      <c r="A422" s="78">
        <v>45995</v>
      </c>
      <c r="B422" s="79" t="s">
        <v>664</v>
      </c>
      <c r="C422" s="80" t="s">
        <v>1670</v>
      </c>
      <c r="D422" s="81" t="s">
        <v>728</v>
      </c>
      <c r="E422" s="26" t="s">
        <v>729</v>
      </c>
      <c r="F422" s="82">
        <v>10000</v>
      </c>
      <c r="G422" s="83" t="s">
        <v>622</v>
      </c>
      <c r="H422" s="84">
        <v>10000</v>
      </c>
      <c r="I422" s="80" t="s">
        <v>94</v>
      </c>
      <c r="J422" s="80"/>
      <c r="K422">
        <f t="shared" si="13"/>
        <v>1</v>
      </c>
      <c r="L422" t="str">
        <f>IF(I422="UGR","UGR",_xlfn.XLOOKUP(D422,Lookup!O:O,Lookup!N:N,0))</f>
        <v>Non FG</v>
      </c>
      <c r="M422">
        <f t="shared" si="14"/>
        <v>12</v>
      </c>
    </row>
    <row r="423" spans="1:13" hidden="1" x14ac:dyDescent="0.25">
      <c r="A423" s="78">
        <v>46001</v>
      </c>
      <c r="B423" s="79" t="s">
        <v>664</v>
      </c>
      <c r="C423" s="80" t="s">
        <v>1671</v>
      </c>
      <c r="D423" s="81" t="s">
        <v>728</v>
      </c>
      <c r="E423" s="26" t="s">
        <v>729</v>
      </c>
      <c r="F423" s="82">
        <v>10000</v>
      </c>
      <c r="G423" s="83" t="s">
        <v>622</v>
      </c>
      <c r="H423" s="84">
        <v>10000</v>
      </c>
      <c r="I423" s="80" t="s">
        <v>94</v>
      </c>
      <c r="J423" s="80"/>
      <c r="K423">
        <f t="shared" si="13"/>
        <v>1</v>
      </c>
      <c r="L423" t="str">
        <f>IF(I423="UGR","UGR",_xlfn.XLOOKUP(D423,Lookup!O:O,Lookup!N:N,0))</f>
        <v>Non FG</v>
      </c>
      <c r="M423">
        <f t="shared" si="14"/>
        <v>12</v>
      </c>
    </row>
    <row r="424" spans="1:13" hidden="1" x14ac:dyDescent="0.25">
      <c r="A424" s="78">
        <v>46002</v>
      </c>
      <c r="B424" s="79" t="s">
        <v>664</v>
      </c>
      <c r="C424" s="80" t="s">
        <v>1672</v>
      </c>
      <c r="D424" s="81" t="s">
        <v>728</v>
      </c>
      <c r="E424" s="26" t="s">
        <v>729</v>
      </c>
      <c r="F424" s="82">
        <v>10000</v>
      </c>
      <c r="G424" s="83" t="s">
        <v>622</v>
      </c>
      <c r="H424" s="84">
        <v>10000</v>
      </c>
      <c r="I424" s="80" t="s">
        <v>94</v>
      </c>
      <c r="J424" s="80"/>
      <c r="K424">
        <f t="shared" si="13"/>
        <v>1</v>
      </c>
      <c r="L424" t="str">
        <f>IF(I424="UGR","UGR",_xlfn.XLOOKUP(D424,Lookup!O:O,Lookup!N:N,0))</f>
        <v>Non FG</v>
      </c>
      <c r="M424">
        <f t="shared" si="14"/>
        <v>12</v>
      </c>
    </row>
    <row r="425" spans="1:13" hidden="1" x14ac:dyDescent="0.25">
      <c r="A425" s="78">
        <v>46006</v>
      </c>
      <c r="B425" s="79" t="s">
        <v>664</v>
      </c>
      <c r="C425" s="80" t="s">
        <v>1673</v>
      </c>
      <c r="D425" s="81" t="s">
        <v>728</v>
      </c>
      <c r="E425" s="26" t="s">
        <v>729</v>
      </c>
      <c r="F425" s="82">
        <v>10000</v>
      </c>
      <c r="G425" s="83" t="s">
        <v>622</v>
      </c>
      <c r="H425" s="84">
        <v>10000</v>
      </c>
      <c r="I425" s="80" t="s">
        <v>94</v>
      </c>
      <c r="J425" s="80"/>
      <c r="K425">
        <f t="shared" si="13"/>
        <v>1</v>
      </c>
      <c r="L425" t="str">
        <f>IF(I425="UGR","UGR",_xlfn.XLOOKUP(D425,Lookup!O:O,Lookup!N:N,0))</f>
        <v>Non FG</v>
      </c>
      <c r="M425">
        <f t="shared" si="14"/>
        <v>12</v>
      </c>
    </row>
    <row r="426" spans="1:13" hidden="1" x14ac:dyDescent="0.25">
      <c r="A426" s="78">
        <v>46007</v>
      </c>
      <c r="B426" s="79" t="s">
        <v>664</v>
      </c>
      <c r="C426" s="80" t="s">
        <v>1674</v>
      </c>
      <c r="D426" s="81" t="s">
        <v>728</v>
      </c>
      <c r="E426" s="26" t="s">
        <v>729</v>
      </c>
      <c r="F426" s="82">
        <v>10000</v>
      </c>
      <c r="G426" s="83" t="s">
        <v>622</v>
      </c>
      <c r="H426" s="84">
        <v>10000</v>
      </c>
      <c r="I426" s="80" t="s">
        <v>94</v>
      </c>
      <c r="J426" s="80"/>
      <c r="K426">
        <f t="shared" si="13"/>
        <v>1</v>
      </c>
      <c r="L426" t="str">
        <f>IF(I426="UGR","UGR",_xlfn.XLOOKUP(D426,Lookup!O:O,Lookup!N:N,0))</f>
        <v>Non FG</v>
      </c>
      <c r="M426">
        <f t="shared" si="14"/>
        <v>12</v>
      </c>
    </row>
    <row r="427" spans="1:13" hidden="1" x14ac:dyDescent="0.25">
      <c r="A427" s="78">
        <v>46009</v>
      </c>
      <c r="B427" s="79" t="s">
        <v>664</v>
      </c>
      <c r="C427" s="80" t="s">
        <v>1675</v>
      </c>
      <c r="D427" s="81" t="s">
        <v>728</v>
      </c>
      <c r="E427" s="26" t="s">
        <v>729</v>
      </c>
      <c r="F427" s="82">
        <v>3422</v>
      </c>
      <c r="G427" s="83" t="s">
        <v>622</v>
      </c>
      <c r="H427" s="84">
        <v>3422</v>
      </c>
      <c r="I427" s="80" t="s">
        <v>94</v>
      </c>
      <c r="J427" s="80"/>
      <c r="K427">
        <f t="shared" si="13"/>
        <v>1</v>
      </c>
      <c r="L427" t="str">
        <f>IF(I427="UGR","UGR",_xlfn.XLOOKUP(D427,Lookup!O:O,Lookup!N:N,0))</f>
        <v>Non FG</v>
      </c>
      <c r="M427">
        <f t="shared" si="14"/>
        <v>12</v>
      </c>
    </row>
    <row r="428" spans="1:13" hidden="1" x14ac:dyDescent="0.25">
      <c r="A428" s="78">
        <v>45972</v>
      </c>
      <c r="B428" s="79" t="s">
        <v>664</v>
      </c>
      <c r="C428" s="80" t="s">
        <v>1297</v>
      </c>
      <c r="D428" s="81" t="s">
        <v>755</v>
      </c>
      <c r="E428" s="26" t="s">
        <v>756</v>
      </c>
      <c r="F428" s="82">
        <v>10000</v>
      </c>
      <c r="G428" s="83" t="s">
        <v>622</v>
      </c>
      <c r="H428" s="84">
        <v>10000</v>
      </c>
      <c r="I428" s="80" t="s">
        <v>94</v>
      </c>
      <c r="J428" s="80"/>
      <c r="K428">
        <f t="shared" si="13"/>
        <v>1</v>
      </c>
      <c r="L428" t="str">
        <f>IF(I428="UGR","UGR",_xlfn.XLOOKUP(D428,Lookup!O:O,Lookup!N:N,0))</f>
        <v>Non FG</v>
      </c>
      <c r="M428">
        <f t="shared" si="14"/>
        <v>11</v>
      </c>
    </row>
    <row r="429" spans="1:13" hidden="1" x14ac:dyDescent="0.25">
      <c r="A429" s="78">
        <v>45974</v>
      </c>
      <c r="B429" s="79" t="s">
        <v>664</v>
      </c>
      <c r="C429" s="80" t="s">
        <v>1327</v>
      </c>
      <c r="D429" s="81" t="s">
        <v>755</v>
      </c>
      <c r="E429" s="26" t="s">
        <v>756</v>
      </c>
      <c r="F429" s="82">
        <v>10000</v>
      </c>
      <c r="G429" s="83" t="s">
        <v>622</v>
      </c>
      <c r="H429" s="84">
        <v>10000</v>
      </c>
      <c r="I429" s="80" t="s">
        <v>94</v>
      </c>
      <c r="J429" s="80"/>
      <c r="K429">
        <f t="shared" si="13"/>
        <v>1</v>
      </c>
      <c r="L429" t="str">
        <f>IF(I429="UGR","UGR",_xlfn.XLOOKUP(D429,Lookup!O:O,Lookup!N:N,0))</f>
        <v>Non FG</v>
      </c>
      <c r="M429">
        <f t="shared" si="14"/>
        <v>11</v>
      </c>
    </row>
    <row r="430" spans="1:13" hidden="1" x14ac:dyDescent="0.25">
      <c r="A430" s="78">
        <v>45978</v>
      </c>
      <c r="B430" s="79" t="s">
        <v>664</v>
      </c>
      <c r="C430" s="80" t="s">
        <v>1353</v>
      </c>
      <c r="D430" s="81" t="s">
        <v>755</v>
      </c>
      <c r="E430" s="26" t="s">
        <v>756</v>
      </c>
      <c r="F430" s="82">
        <v>10000</v>
      </c>
      <c r="G430" s="83" t="s">
        <v>622</v>
      </c>
      <c r="H430" s="84">
        <v>10000</v>
      </c>
      <c r="I430" s="80" t="s">
        <v>94</v>
      </c>
      <c r="J430" s="80"/>
      <c r="K430">
        <f t="shared" si="13"/>
        <v>1</v>
      </c>
      <c r="L430" t="str">
        <f>IF(I430="UGR","UGR",_xlfn.XLOOKUP(D430,Lookup!O:O,Lookup!N:N,0))</f>
        <v>Non FG</v>
      </c>
      <c r="M430">
        <f t="shared" si="14"/>
        <v>11</v>
      </c>
    </row>
    <row r="431" spans="1:13" hidden="1" x14ac:dyDescent="0.25">
      <c r="A431" s="78">
        <v>45980</v>
      </c>
      <c r="B431" s="79" t="s">
        <v>664</v>
      </c>
      <c r="C431" s="80" t="s">
        <v>1375</v>
      </c>
      <c r="D431" s="81" t="s">
        <v>755</v>
      </c>
      <c r="E431" s="26" t="s">
        <v>756</v>
      </c>
      <c r="F431" s="82">
        <v>10000</v>
      </c>
      <c r="G431" s="83" t="s">
        <v>622</v>
      </c>
      <c r="H431" s="84">
        <v>10000</v>
      </c>
      <c r="I431" s="80" t="s">
        <v>94</v>
      </c>
      <c r="J431" s="80"/>
      <c r="K431">
        <f t="shared" si="13"/>
        <v>1</v>
      </c>
      <c r="L431" t="str">
        <f>IF(I431="UGR","UGR",_xlfn.XLOOKUP(D431,Lookup!O:O,Lookup!N:N,0))</f>
        <v>Non FG</v>
      </c>
      <c r="M431">
        <f t="shared" si="14"/>
        <v>11</v>
      </c>
    </row>
    <row r="432" spans="1:13" hidden="1" x14ac:dyDescent="0.25">
      <c r="A432" s="78">
        <v>45985</v>
      </c>
      <c r="B432" s="79" t="s">
        <v>664</v>
      </c>
      <c r="C432" s="80" t="s">
        <v>1676</v>
      </c>
      <c r="D432" s="81" t="s">
        <v>755</v>
      </c>
      <c r="E432" s="26" t="s">
        <v>756</v>
      </c>
      <c r="F432" s="82">
        <v>10000</v>
      </c>
      <c r="G432" s="83" t="s">
        <v>622</v>
      </c>
      <c r="H432" s="84">
        <v>10000</v>
      </c>
      <c r="I432" s="80" t="s">
        <v>94</v>
      </c>
      <c r="J432" s="80"/>
      <c r="K432">
        <f t="shared" si="13"/>
        <v>1</v>
      </c>
      <c r="L432" t="str">
        <f>IF(I432="UGR","UGR",_xlfn.XLOOKUP(D432,Lookup!O:O,Lookup!N:N,0))</f>
        <v>Non FG</v>
      </c>
      <c r="M432">
        <f t="shared" si="14"/>
        <v>11</v>
      </c>
    </row>
    <row r="433" spans="1:13" hidden="1" x14ac:dyDescent="0.25">
      <c r="A433" s="78">
        <v>45987</v>
      </c>
      <c r="B433" s="79" t="s">
        <v>664</v>
      </c>
      <c r="C433" s="80" t="s">
        <v>1677</v>
      </c>
      <c r="D433" s="81" t="s">
        <v>755</v>
      </c>
      <c r="E433" s="26" t="s">
        <v>756</v>
      </c>
      <c r="F433" s="82">
        <v>10000</v>
      </c>
      <c r="G433" s="83" t="s">
        <v>622</v>
      </c>
      <c r="H433" s="84">
        <v>10000</v>
      </c>
      <c r="I433" s="80" t="s">
        <v>94</v>
      </c>
      <c r="J433" s="80"/>
      <c r="K433">
        <f t="shared" si="13"/>
        <v>1</v>
      </c>
      <c r="L433" t="str">
        <f>IF(I433="UGR","UGR",_xlfn.XLOOKUP(D433,Lookup!O:O,Lookup!N:N,0))</f>
        <v>Non FG</v>
      </c>
      <c r="M433">
        <f t="shared" si="14"/>
        <v>11</v>
      </c>
    </row>
    <row r="434" spans="1:13" hidden="1" x14ac:dyDescent="0.25">
      <c r="A434" s="78">
        <v>45994</v>
      </c>
      <c r="B434" s="79" t="s">
        <v>664</v>
      </c>
      <c r="C434" s="80" t="s">
        <v>1678</v>
      </c>
      <c r="D434" s="81" t="s">
        <v>755</v>
      </c>
      <c r="E434" s="26" t="s">
        <v>756</v>
      </c>
      <c r="F434" s="82">
        <v>10000</v>
      </c>
      <c r="G434" s="83" t="s">
        <v>622</v>
      </c>
      <c r="H434" s="84">
        <v>10000</v>
      </c>
      <c r="I434" s="80" t="s">
        <v>94</v>
      </c>
      <c r="J434" s="80"/>
      <c r="K434">
        <f t="shared" si="13"/>
        <v>1</v>
      </c>
      <c r="L434" t="str">
        <f>IF(I434="UGR","UGR",_xlfn.XLOOKUP(D434,Lookup!O:O,Lookup!N:N,0))</f>
        <v>Non FG</v>
      </c>
      <c r="M434">
        <f t="shared" si="14"/>
        <v>12</v>
      </c>
    </row>
    <row r="435" spans="1:13" hidden="1" x14ac:dyDescent="0.25">
      <c r="A435" s="78">
        <v>45994</v>
      </c>
      <c r="B435" s="79" t="s">
        <v>664</v>
      </c>
      <c r="C435" s="80" t="s">
        <v>1679</v>
      </c>
      <c r="D435" s="81" t="s">
        <v>755</v>
      </c>
      <c r="E435" s="26" t="s">
        <v>756</v>
      </c>
      <c r="F435" s="82">
        <v>10000</v>
      </c>
      <c r="G435" s="83" t="s">
        <v>622</v>
      </c>
      <c r="H435" s="84">
        <v>10000</v>
      </c>
      <c r="I435" s="80" t="s">
        <v>94</v>
      </c>
      <c r="J435" s="80"/>
      <c r="K435">
        <f t="shared" si="13"/>
        <v>1</v>
      </c>
      <c r="L435" t="str">
        <f>IF(I435="UGR","UGR",_xlfn.XLOOKUP(D435,Lookup!O:O,Lookup!N:N,0))</f>
        <v>Non FG</v>
      </c>
      <c r="M435">
        <f t="shared" si="14"/>
        <v>12</v>
      </c>
    </row>
    <row r="436" spans="1:13" hidden="1" x14ac:dyDescent="0.25">
      <c r="A436" s="78">
        <v>46002</v>
      </c>
      <c r="B436" s="79" t="s">
        <v>664</v>
      </c>
      <c r="C436" s="80" t="s">
        <v>1680</v>
      </c>
      <c r="D436" s="81" t="s">
        <v>755</v>
      </c>
      <c r="E436" s="26" t="s">
        <v>756</v>
      </c>
      <c r="F436" s="82">
        <v>10000</v>
      </c>
      <c r="G436" s="83" t="s">
        <v>622</v>
      </c>
      <c r="H436" s="84">
        <v>10000</v>
      </c>
      <c r="I436" s="80" t="s">
        <v>94</v>
      </c>
      <c r="J436" s="80"/>
      <c r="K436">
        <f t="shared" si="13"/>
        <v>1</v>
      </c>
      <c r="L436" t="str">
        <f>IF(I436="UGR","UGR",_xlfn.XLOOKUP(D436,Lookup!O:O,Lookup!N:N,0))</f>
        <v>Non FG</v>
      </c>
      <c r="M436">
        <f t="shared" si="14"/>
        <v>12</v>
      </c>
    </row>
    <row r="437" spans="1:13" hidden="1" x14ac:dyDescent="0.25">
      <c r="A437" s="78">
        <v>46006</v>
      </c>
      <c r="B437" s="79" t="s">
        <v>664</v>
      </c>
      <c r="C437" s="80" t="s">
        <v>1681</v>
      </c>
      <c r="D437" s="81" t="s">
        <v>755</v>
      </c>
      <c r="E437" s="26" t="s">
        <v>756</v>
      </c>
      <c r="F437" s="82">
        <v>10000</v>
      </c>
      <c r="G437" s="83" t="s">
        <v>622</v>
      </c>
      <c r="H437" s="84">
        <v>10000</v>
      </c>
      <c r="I437" s="80" t="s">
        <v>94</v>
      </c>
      <c r="J437" s="80"/>
      <c r="K437">
        <f t="shared" si="13"/>
        <v>1</v>
      </c>
      <c r="L437" t="str">
        <f>IF(I437="UGR","UGR",_xlfn.XLOOKUP(D437,Lookup!O:O,Lookup!N:N,0))</f>
        <v>Non FG</v>
      </c>
      <c r="M437">
        <f t="shared" si="14"/>
        <v>12</v>
      </c>
    </row>
    <row r="438" spans="1:13" hidden="1" x14ac:dyDescent="0.25">
      <c r="A438" s="78">
        <v>46007</v>
      </c>
      <c r="B438" s="79" t="s">
        <v>664</v>
      </c>
      <c r="C438" s="80" t="s">
        <v>1682</v>
      </c>
      <c r="D438" s="81" t="s">
        <v>755</v>
      </c>
      <c r="E438" s="26" t="s">
        <v>756</v>
      </c>
      <c r="F438" s="82">
        <v>10000</v>
      </c>
      <c r="G438" s="83" t="s">
        <v>622</v>
      </c>
      <c r="H438" s="84">
        <v>10000</v>
      </c>
      <c r="I438" s="80" t="s">
        <v>94</v>
      </c>
      <c r="J438" s="80"/>
      <c r="K438">
        <f t="shared" si="13"/>
        <v>1</v>
      </c>
      <c r="L438" t="str">
        <f>IF(I438="UGR","UGR",_xlfn.XLOOKUP(D438,Lookup!O:O,Lookup!N:N,0))</f>
        <v>Non FG</v>
      </c>
      <c r="M438">
        <f t="shared" si="14"/>
        <v>12</v>
      </c>
    </row>
    <row r="439" spans="1:13" hidden="1" x14ac:dyDescent="0.25">
      <c r="A439" s="78">
        <v>46009</v>
      </c>
      <c r="B439" s="79" t="s">
        <v>664</v>
      </c>
      <c r="C439" s="80" t="s">
        <v>1683</v>
      </c>
      <c r="D439" s="81" t="s">
        <v>755</v>
      </c>
      <c r="E439" s="26" t="s">
        <v>756</v>
      </c>
      <c r="F439" s="82">
        <v>4631</v>
      </c>
      <c r="G439" s="83" t="s">
        <v>622</v>
      </c>
      <c r="H439" s="84">
        <v>4631</v>
      </c>
      <c r="I439" s="80" t="s">
        <v>94</v>
      </c>
      <c r="J439" s="80"/>
      <c r="K439">
        <f t="shared" si="13"/>
        <v>1</v>
      </c>
      <c r="L439" t="str">
        <f>IF(I439="UGR","UGR",_xlfn.XLOOKUP(D439,Lookup!O:O,Lookup!N:N,0))</f>
        <v>Non FG</v>
      </c>
      <c r="M439">
        <f t="shared" si="14"/>
        <v>12</v>
      </c>
    </row>
    <row r="440" spans="1:13" hidden="1" x14ac:dyDescent="0.25">
      <c r="A440" s="78">
        <v>45972</v>
      </c>
      <c r="B440" s="79" t="s">
        <v>664</v>
      </c>
      <c r="C440" s="80" t="s">
        <v>1273</v>
      </c>
      <c r="D440" s="81" t="s">
        <v>730</v>
      </c>
      <c r="E440" s="26" t="s">
        <v>731</v>
      </c>
      <c r="F440" s="82">
        <v>10000</v>
      </c>
      <c r="G440" s="83" t="s">
        <v>622</v>
      </c>
      <c r="H440" s="84">
        <v>10000</v>
      </c>
      <c r="I440" s="80" t="s">
        <v>94</v>
      </c>
      <c r="J440" s="80"/>
      <c r="K440">
        <f t="shared" si="13"/>
        <v>1</v>
      </c>
      <c r="L440" t="str">
        <f>IF(I440="UGR","UGR",_xlfn.XLOOKUP(D440,Lookup!O:O,Lookup!N:N,0))</f>
        <v>Non FG</v>
      </c>
      <c r="M440">
        <f t="shared" si="14"/>
        <v>11</v>
      </c>
    </row>
    <row r="441" spans="1:13" hidden="1" x14ac:dyDescent="0.25">
      <c r="A441" s="78">
        <v>45975</v>
      </c>
      <c r="B441" s="79" t="s">
        <v>664</v>
      </c>
      <c r="C441" s="80" t="s">
        <v>1328</v>
      </c>
      <c r="D441" s="81" t="s">
        <v>730</v>
      </c>
      <c r="E441" s="26" t="s">
        <v>731</v>
      </c>
      <c r="F441" s="82">
        <v>10000</v>
      </c>
      <c r="G441" s="83" t="s">
        <v>622</v>
      </c>
      <c r="H441" s="84">
        <v>10000</v>
      </c>
      <c r="I441" s="80" t="s">
        <v>94</v>
      </c>
      <c r="J441" s="80"/>
      <c r="K441">
        <f t="shared" si="13"/>
        <v>1</v>
      </c>
      <c r="L441" t="str">
        <f>IF(I441="UGR","UGR",_xlfn.XLOOKUP(D441,Lookup!O:O,Lookup!N:N,0))</f>
        <v>Non FG</v>
      </c>
      <c r="M441">
        <f t="shared" si="14"/>
        <v>11</v>
      </c>
    </row>
    <row r="442" spans="1:13" hidden="1" x14ac:dyDescent="0.25">
      <c r="A442" s="78">
        <v>45979</v>
      </c>
      <c r="B442" s="79" t="s">
        <v>664</v>
      </c>
      <c r="C442" s="80" t="s">
        <v>1354</v>
      </c>
      <c r="D442" s="81" t="s">
        <v>730</v>
      </c>
      <c r="E442" s="26" t="s">
        <v>731</v>
      </c>
      <c r="F442" s="82">
        <v>10000</v>
      </c>
      <c r="G442" s="83" t="s">
        <v>622</v>
      </c>
      <c r="H442" s="84">
        <v>10000</v>
      </c>
      <c r="I442" s="80" t="s">
        <v>94</v>
      </c>
      <c r="J442" s="80"/>
      <c r="K442">
        <f t="shared" si="13"/>
        <v>1</v>
      </c>
      <c r="L442" t="str">
        <f>IF(I442="UGR","UGR",_xlfn.XLOOKUP(D442,Lookup!O:O,Lookup!N:N,0))</f>
        <v>Non FG</v>
      </c>
      <c r="M442">
        <f t="shared" si="14"/>
        <v>11</v>
      </c>
    </row>
    <row r="443" spans="1:13" hidden="1" x14ac:dyDescent="0.25">
      <c r="A443" s="78">
        <v>45981</v>
      </c>
      <c r="B443" s="79" t="s">
        <v>664</v>
      </c>
      <c r="C443" s="80" t="s">
        <v>1684</v>
      </c>
      <c r="D443" s="81" t="s">
        <v>730</v>
      </c>
      <c r="E443" s="26" t="s">
        <v>731</v>
      </c>
      <c r="F443" s="82">
        <v>10000</v>
      </c>
      <c r="G443" s="83" t="s">
        <v>622</v>
      </c>
      <c r="H443" s="84">
        <v>10000</v>
      </c>
      <c r="I443" s="80" t="s">
        <v>94</v>
      </c>
      <c r="J443" s="80"/>
      <c r="K443">
        <f t="shared" si="13"/>
        <v>1</v>
      </c>
      <c r="L443" t="str">
        <f>IF(I443="UGR","UGR",_xlfn.XLOOKUP(D443,Lookup!O:O,Lookup!N:N,0))</f>
        <v>Non FG</v>
      </c>
      <c r="M443">
        <f t="shared" si="14"/>
        <v>11</v>
      </c>
    </row>
    <row r="444" spans="1:13" hidden="1" x14ac:dyDescent="0.25">
      <c r="A444" s="78">
        <v>45986</v>
      </c>
      <c r="B444" s="79" t="s">
        <v>664</v>
      </c>
      <c r="C444" s="80" t="s">
        <v>1685</v>
      </c>
      <c r="D444" s="81" t="s">
        <v>730</v>
      </c>
      <c r="E444" s="26" t="s">
        <v>731</v>
      </c>
      <c r="F444" s="82">
        <v>10000</v>
      </c>
      <c r="G444" s="83" t="s">
        <v>622</v>
      </c>
      <c r="H444" s="84">
        <v>10000</v>
      </c>
      <c r="I444" s="80" t="s">
        <v>94</v>
      </c>
      <c r="J444" s="80"/>
      <c r="K444">
        <f t="shared" si="13"/>
        <v>1</v>
      </c>
      <c r="L444" t="str">
        <f>IF(I444="UGR","UGR",_xlfn.XLOOKUP(D444,Lookup!O:O,Lookup!N:N,0))</f>
        <v>Non FG</v>
      </c>
      <c r="M444">
        <f t="shared" si="14"/>
        <v>11</v>
      </c>
    </row>
    <row r="445" spans="1:13" hidden="1" x14ac:dyDescent="0.25">
      <c r="A445" s="78">
        <v>45992</v>
      </c>
      <c r="B445" s="79" t="s">
        <v>664</v>
      </c>
      <c r="C445" s="80" t="s">
        <v>1686</v>
      </c>
      <c r="D445" s="81" t="s">
        <v>730</v>
      </c>
      <c r="E445" s="26" t="s">
        <v>731</v>
      </c>
      <c r="F445" s="82">
        <v>10000</v>
      </c>
      <c r="G445" s="83" t="s">
        <v>622</v>
      </c>
      <c r="H445" s="84">
        <v>10000</v>
      </c>
      <c r="I445" s="80" t="s">
        <v>94</v>
      </c>
      <c r="J445" s="80"/>
      <c r="K445">
        <f t="shared" si="13"/>
        <v>1</v>
      </c>
      <c r="L445" t="str">
        <f>IF(I445="UGR","UGR",_xlfn.XLOOKUP(D445,Lookup!O:O,Lookup!N:N,0))</f>
        <v>Non FG</v>
      </c>
      <c r="M445">
        <f t="shared" si="14"/>
        <v>12</v>
      </c>
    </row>
    <row r="446" spans="1:13" hidden="1" x14ac:dyDescent="0.25">
      <c r="A446" s="78">
        <v>45993</v>
      </c>
      <c r="B446" s="79" t="s">
        <v>664</v>
      </c>
      <c r="C446" s="80" t="s">
        <v>1687</v>
      </c>
      <c r="D446" s="81" t="s">
        <v>730</v>
      </c>
      <c r="E446" s="26" t="s">
        <v>731</v>
      </c>
      <c r="F446" s="82">
        <v>10000</v>
      </c>
      <c r="G446" s="83" t="s">
        <v>622</v>
      </c>
      <c r="H446" s="84">
        <v>10000</v>
      </c>
      <c r="I446" s="80" t="s">
        <v>94</v>
      </c>
      <c r="J446" s="80"/>
      <c r="K446">
        <f t="shared" si="13"/>
        <v>1</v>
      </c>
      <c r="L446" t="str">
        <f>IF(I446="UGR","UGR",_xlfn.XLOOKUP(D446,Lookup!O:O,Lookup!N:N,0))</f>
        <v>Non FG</v>
      </c>
      <c r="M446">
        <f t="shared" si="14"/>
        <v>12</v>
      </c>
    </row>
    <row r="447" spans="1:13" hidden="1" x14ac:dyDescent="0.25">
      <c r="A447" s="78">
        <v>45999</v>
      </c>
      <c r="B447" s="79" t="s">
        <v>664</v>
      </c>
      <c r="C447" s="80" t="s">
        <v>1688</v>
      </c>
      <c r="D447" s="81" t="s">
        <v>730</v>
      </c>
      <c r="E447" s="26" t="s">
        <v>731</v>
      </c>
      <c r="F447" s="82">
        <v>10000</v>
      </c>
      <c r="G447" s="83" t="s">
        <v>622</v>
      </c>
      <c r="H447" s="84">
        <v>10000</v>
      </c>
      <c r="I447" s="80" t="s">
        <v>94</v>
      </c>
      <c r="J447" s="80"/>
      <c r="K447">
        <f t="shared" si="13"/>
        <v>1</v>
      </c>
      <c r="L447" t="str">
        <f>IF(I447="UGR","UGR",_xlfn.XLOOKUP(D447,Lookup!O:O,Lookup!N:N,0))</f>
        <v>Non FG</v>
      </c>
      <c r="M447">
        <f t="shared" si="14"/>
        <v>12</v>
      </c>
    </row>
    <row r="448" spans="1:13" hidden="1" x14ac:dyDescent="0.25">
      <c r="A448" s="78">
        <v>45999</v>
      </c>
      <c r="B448" s="79" t="s">
        <v>664</v>
      </c>
      <c r="C448" s="80" t="s">
        <v>1689</v>
      </c>
      <c r="D448" s="81" t="s">
        <v>730</v>
      </c>
      <c r="E448" s="26" t="s">
        <v>731</v>
      </c>
      <c r="F448" s="82">
        <v>10000</v>
      </c>
      <c r="G448" s="83" t="s">
        <v>622</v>
      </c>
      <c r="H448" s="84">
        <v>10000</v>
      </c>
      <c r="I448" s="80" t="s">
        <v>94</v>
      </c>
      <c r="J448" s="80"/>
      <c r="K448">
        <f t="shared" si="13"/>
        <v>1</v>
      </c>
      <c r="L448" t="str">
        <f>IF(I448="UGR","UGR",_xlfn.XLOOKUP(D448,Lookup!O:O,Lookup!N:N,0))</f>
        <v>Non FG</v>
      </c>
      <c r="M448">
        <f t="shared" si="14"/>
        <v>12</v>
      </c>
    </row>
    <row r="449" spans="1:13" hidden="1" x14ac:dyDescent="0.25">
      <c r="A449" s="78">
        <v>46003</v>
      </c>
      <c r="B449" s="79" t="s">
        <v>664</v>
      </c>
      <c r="C449" s="80" t="s">
        <v>1690</v>
      </c>
      <c r="D449" s="81" t="s">
        <v>730</v>
      </c>
      <c r="E449" s="26" t="s">
        <v>731</v>
      </c>
      <c r="F449" s="82">
        <v>10000</v>
      </c>
      <c r="G449" s="83" t="s">
        <v>622</v>
      </c>
      <c r="H449" s="84">
        <v>10000</v>
      </c>
      <c r="I449" s="80" t="s">
        <v>94</v>
      </c>
      <c r="J449" s="80"/>
      <c r="K449">
        <f t="shared" si="13"/>
        <v>1</v>
      </c>
      <c r="L449" t="str">
        <f>IF(I449="UGR","UGR",_xlfn.XLOOKUP(D449,Lookup!O:O,Lookup!N:N,0))</f>
        <v>Non FG</v>
      </c>
      <c r="M449">
        <f t="shared" si="14"/>
        <v>12</v>
      </c>
    </row>
    <row r="450" spans="1:13" hidden="1" x14ac:dyDescent="0.25">
      <c r="A450" s="78">
        <v>46007</v>
      </c>
      <c r="B450" s="79" t="s">
        <v>664</v>
      </c>
      <c r="C450" s="80" t="s">
        <v>1691</v>
      </c>
      <c r="D450" s="81" t="s">
        <v>730</v>
      </c>
      <c r="E450" s="26" t="s">
        <v>731</v>
      </c>
      <c r="F450" s="82">
        <v>10000</v>
      </c>
      <c r="G450" s="83" t="s">
        <v>622</v>
      </c>
      <c r="H450" s="84">
        <v>10000</v>
      </c>
      <c r="I450" s="80" t="s">
        <v>94</v>
      </c>
      <c r="J450" s="80"/>
      <c r="K450">
        <f t="shared" si="13"/>
        <v>1</v>
      </c>
      <c r="L450" t="str">
        <f>IF(I450="UGR","UGR",_xlfn.XLOOKUP(D450,Lookup!O:O,Lookup!N:N,0))</f>
        <v>Non FG</v>
      </c>
      <c r="M450">
        <f t="shared" si="14"/>
        <v>12</v>
      </c>
    </row>
    <row r="451" spans="1:13" hidden="1" x14ac:dyDescent="0.25">
      <c r="A451" s="78">
        <v>46009</v>
      </c>
      <c r="B451" s="79" t="s">
        <v>664</v>
      </c>
      <c r="C451" s="80" t="s">
        <v>1692</v>
      </c>
      <c r="D451" s="81" t="s">
        <v>730</v>
      </c>
      <c r="E451" s="26" t="s">
        <v>731</v>
      </c>
      <c r="F451" s="82">
        <v>4682</v>
      </c>
      <c r="G451" s="83" t="s">
        <v>622</v>
      </c>
      <c r="H451" s="84">
        <v>4682</v>
      </c>
      <c r="I451" s="80" t="s">
        <v>94</v>
      </c>
      <c r="J451" s="80"/>
      <c r="K451">
        <f t="shared" ref="K451:K514" si="15">IF(AND(B451=B450,C451=C450),0,1)</f>
        <v>1</v>
      </c>
      <c r="L451" t="str">
        <f>IF(I451="UGR","UGR",_xlfn.XLOOKUP(D451,Lookup!O:O,Lookup!N:N,0))</f>
        <v>Non FG</v>
      </c>
      <c r="M451">
        <f t="shared" ref="M451:M514" si="16">MONTH(A451)</f>
        <v>12</v>
      </c>
    </row>
    <row r="452" spans="1:13" hidden="1" x14ac:dyDescent="0.25">
      <c r="A452" s="78">
        <v>45972</v>
      </c>
      <c r="B452" s="79" t="s">
        <v>664</v>
      </c>
      <c r="C452" s="80" t="s">
        <v>1305</v>
      </c>
      <c r="D452" s="81" t="s">
        <v>698</v>
      </c>
      <c r="E452" s="26" t="s">
        <v>699</v>
      </c>
      <c r="F452" s="82">
        <v>10000</v>
      </c>
      <c r="G452" s="83" t="s">
        <v>622</v>
      </c>
      <c r="H452" s="84">
        <v>10000</v>
      </c>
      <c r="I452" s="80" t="s">
        <v>94</v>
      </c>
      <c r="J452" s="80"/>
      <c r="K452">
        <f t="shared" si="15"/>
        <v>1</v>
      </c>
      <c r="L452" t="str">
        <f>IF(I452="UGR","UGR",_xlfn.XLOOKUP(D452,Lookup!O:O,Lookup!N:N,0))</f>
        <v>Non FG</v>
      </c>
      <c r="M452">
        <f t="shared" si="16"/>
        <v>11</v>
      </c>
    </row>
    <row r="453" spans="1:13" hidden="1" x14ac:dyDescent="0.25">
      <c r="A453" s="78">
        <v>45974</v>
      </c>
      <c r="B453" s="79" t="s">
        <v>664</v>
      </c>
      <c r="C453" s="80" t="s">
        <v>1355</v>
      </c>
      <c r="D453" s="81" t="s">
        <v>698</v>
      </c>
      <c r="E453" s="26" t="s">
        <v>699</v>
      </c>
      <c r="F453" s="82">
        <v>10000</v>
      </c>
      <c r="G453" s="83" t="s">
        <v>622</v>
      </c>
      <c r="H453" s="84">
        <v>10000</v>
      </c>
      <c r="I453" s="80" t="s">
        <v>94</v>
      </c>
      <c r="J453" s="80"/>
      <c r="K453">
        <f t="shared" si="15"/>
        <v>1</v>
      </c>
      <c r="L453" t="str">
        <f>IF(I453="UGR","UGR",_xlfn.XLOOKUP(D453,Lookup!O:O,Lookup!N:N,0))</f>
        <v>Non FG</v>
      </c>
      <c r="M453">
        <f t="shared" si="16"/>
        <v>11</v>
      </c>
    </row>
    <row r="454" spans="1:13" hidden="1" x14ac:dyDescent="0.25">
      <c r="A454" s="78">
        <v>45978</v>
      </c>
      <c r="B454" s="79" t="s">
        <v>664</v>
      </c>
      <c r="C454" s="80" t="s">
        <v>1362</v>
      </c>
      <c r="D454" s="81" t="s">
        <v>698</v>
      </c>
      <c r="E454" s="26" t="s">
        <v>699</v>
      </c>
      <c r="F454" s="82">
        <v>10000</v>
      </c>
      <c r="G454" s="83" t="s">
        <v>622</v>
      </c>
      <c r="H454" s="84">
        <v>10000</v>
      </c>
      <c r="I454" s="80" t="s">
        <v>94</v>
      </c>
      <c r="J454" s="80"/>
      <c r="K454">
        <f t="shared" si="15"/>
        <v>1</v>
      </c>
      <c r="L454" t="str">
        <f>IF(I454="UGR","UGR",_xlfn.XLOOKUP(D454,Lookup!O:O,Lookup!N:N,0))</f>
        <v>Non FG</v>
      </c>
      <c r="M454">
        <f t="shared" si="16"/>
        <v>11</v>
      </c>
    </row>
    <row r="455" spans="1:13" hidden="1" x14ac:dyDescent="0.25">
      <c r="A455" s="78">
        <v>45980</v>
      </c>
      <c r="B455" s="79" t="s">
        <v>664</v>
      </c>
      <c r="C455" s="80" t="s">
        <v>1693</v>
      </c>
      <c r="D455" s="81" t="s">
        <v>698</v>
      </c>
      <c r="E455" s="26" t="s">
        <v>699</v>
      </c>
      <c r="F455" s="82">
        <v>10000</v>
      </c>
      <c r="G455" s="83" t="s">
        <v>622</v>
      </c>
      <c r="H455" s="84">
        <v>10000</v>
      </c>
      <c r="I455" s="80" t="s">
        <v>94</v>
      </c>
      <c r="J455" s="80"/>
      <c r="K455">
        <f t="shared" si="15"/>
        <v>1</v>
      </c>
      <c r="L455" t="str">
        <f>IF(I455="UGR","UGR",_xlfn.XLOOKUP(D455,Lookup!O:O,Lookup!N:N,0))</f>
        <v>Non FG</v>
      </c>
      <c r="M455">
        <f t="shared" si="16"/>
        <v>11</v>
      </c>
    </row>
    <row r="456" spans="1:13" hidden="1" x14ac:dyDescent="0.25">
      <c r="A456" s="78">
        <v>45985</v>
      </c>
      <c r="B456" s="79" t="s">
        <v>664</v>
      </c>
      <c r="C456" s="80" t="s">
        <v>1694</v>
      </c>
      <c r="D456" s="81" t="s">
        <v>698</v>
      </c>
      <c r="E456" s="26" t="s">
        <v>699</v>
      </c>
      <c r="F456" s="82">
        <v>10000</v>
      </c>
      <c r="G456" s="83" t="s">
        <v>622</v>
      </c>
      <c r="H456" s="84">
        <v>10000</v>
      </c>
      <c r="I456" s="80" t="s">
        <v>94</v>
      </c>
      <c r="J456" s="80"/>
      <c r="K456">
        <f t="shared" si="15"/>
        <v>1</v>
      </c>
      <c r="L456" t="str">
        <f>IF(I456="UGR","UGR",_xlfn.XLOOKUP(D456,Lookup!O:O,Lookup!N:N,0))</f>
        <v>Non FG</v>
      </c>
      <c r="M456">
        <f t="shared" si="16"/>
        <v>11</v>
      </c>
    </row>
    <row r="457" spans="1:13" hidden="1" x14ac:dyDescent="0.25">
      <c r="A457" s="78">
        <v>45987</v>
      </c>
      <c r="B457" s="79" t="s">
        <v>664</v>
      </c>
      <c r="C457" s="80" t="s">
        <v>1695</v>
      </c>
      <c r="D457" s="81" t="s">
        <v>698</v>
      </c>
      <c r="E457" s="26" t="s">
        <v>699</v>
      </c>
      <c r="F457" s="82">
        <v>10000</v>
      </c>
      <c r="G457" s="83" t="s">
        <v>622</v>
      </c>
      <c r="H457" s="84">
        <v>10000</v>
      </c>
      <c r="I457" s="80" t="s">
        <v>94</v>
      </c>
      <c r="J457" s="80"/>
      <c r="K457">
        <f t="shared" si="15"/>
        <v>1</v>
      </c>
      <c r="L457" t="str">
        <f>IF(I457="UGR","UGR",_xlfn.XLOOKUP(D457,Lookup!O:O,Lookup!N:N,0))</f>
        <v>Non FG</v>
      </c>
      <c r="M457">
        <f t="shared" si="16"/>
        <v>11</v>
      </c>
    </row>
    <row r="458" spans="1:13" hidden="1" x14ac:dyDescent="0.25">
      <c r="A458" s="78">
        <v>45994</v>
      </c>
      <c r="B458" s="79" t="s">
        <v>664</v>
      </c>
      <c r="C458" s="80" t="s">
        <v>1696</v>
      </c>
      <c r="D458" s="81" t="s">
        <v>698</v>
      </c>
      <c r="E458" s="26" t="s">
        <v>699</v>
      </c>
      <c r="F458" s="82">
        <v>10000</v>
      </c>
      <c r="G458" s="83" t="s">
        <v>622</v>
      </c>
      <c r="H458" s="84">
        <v>10000</v>
      </c>
      <c r="I458" s="80" t="s">
        <v>94</v>
      </c>
      <c r="J458" s="80"/>
      <c r="K458">
        <f t="shared" si="15"/>
        <v>1</v>
      </c>
      <c r="L458" t="str">
        <f>IF(I458="UGR","UGR",_xlfn.XLOOKUP(D458,Lookup!O:O,Lookup!N:N,0))</f>
        <v>Non FG</v>
      </c>
      <c r="M458">
        <f t="shared" si="16"/>
        <v>12</v>
      </c>
    </row>
    <row r="459" spans="1:13" hidden="1" x14ac:dyDescent="0.25">
      <c r="A459" s="78">
        <v>46001</v>
      </c>
      <c r="B459" s="79" t="s">
        <v>664</v>
      </c>
      <c r="C459" s="80" t="s">
        <v>1697</v>
      </c>
      <c r="D459" s="81" t="s">
        <v>698</v>
      </c>
      <c r="E459" s="26" t="s">
        <v>699</v>
      </c>
      <c r="F459" s="82">
        <v>10000</v>
      </c>
      <c r="G459" s="83" t="s">
        <v>622</v>
      </c>
      <c r="H459" s="84">
        <v>10000</v>
      </c>
      <c r="I459" s="80" t="s">
        <v>94</v>
      </c>
      <c r="J459" s="80"/>
      <c r="K459">
        <f t="shared" si="15"/>
        <v>1</v>
      </c>
      <c r="L459" t="str">
        <f>IF(I459="UGR","UGR",_xlfn.XLOOKUP(D459,Lookup!O:O,Lookup!N:N,0))</f>
        <v>Non FG</v>
      </c>
      <c r="M459">
        <f t="shared" si="16"/>
        <v>12</v>
      </c>
    </row>
    <row r="460" spans="1:13" hidden="1" x14ac:dyDescent="0.25">
      <c r="A460" s="78">
        <v>46002</v>
      </c>
      <c r="B460" s="79" t="s">
        <v>664</v>
      </c>
      <c r="C460" s="80" t="s">
        <v>1698</v>
      </c>
      <c r="D460" s="81" t="s">
        <v>698</v>
      </c>
      <c r="E460" s="26" t="s">
        <v>699</v>
      </c>
      <c r="F460" s="82">
        <v>10000</v>
      </c>
      <c r="G460" s="83" t="s">
        <v>622</v>
      </c>
      <c r="H460" s="84">
        <v>10000</v>
      </c>
      <c r="I460" s="80" t="s">
        <v>94</v>
      </c>
      <c r="J460" s="80"/>
      <c r="K460">
        <f t="shared" si="15"/>
        <v>1</v>
      </c>
      <c r="L460" t="str">
        <f>IF(I460="UGR","UGR",_xlfn.XLOOKUP(D460,Lookup!O:O,Lookup!N:N,0))</f>
        <v>Non FG</v>
      </c>
      <c r="M460">
        <f t="shared" si="16"/>
        <v>12</v>
      </c>
    </row>
    <row r="461" spans="1:13" hidden="1" x14ac:dyDescent="0.25">
      <c r="A461" s="78">
        <v>46007</v>
      </c>
      <c r="B461" s="79" t="s">
        <v>664</v>
      </c>
      <c r="C461" s="80" t="s">
        <v>1699</v>
      </c>
      <c r="D461" s="81" t="s">
        <v>698</v>
      </c>
      <c r="E461" s="26" t="s">
        <v>699</v>
      </c>
      <c r="F461" s="82">
        <v>10000</v>
      </c>
      <c r="G461" s="83" t="s">
        <v>622</v>
      </c>
      <c r="H461" s="84">
        <v>10000</v>
      </c>
      <c r="I461" s="80" t="s">
        <v>94</v>
      </c>
      <c r="J461" s="80"/>
      <c r="K461">
        <f t="shared" si="15"/>
        <v>1</v>
      </c>
      <c r="L461" t="str">
        <f>IF(I461="UGR","UGR",_xlfn.XLOOKUP(D461,Lookup!O:O,Lookup!N:N,0))</f>
        <v>Non FG</v>
      </c>
      <c r="M461">
        <f t="shared" si="16"/>
        <v>12</v>
      </c>
    </row>
    <row r="462" spans="1:13" hidden="1" x14ac:dyDescent="0.25">
      <c r="A462" s="78">
        <v>46008</v>
      </c>
      <c r="B462" s="79" t="s">
        <v>664</v>
      </c>
      <c r="C462" s="80" t="s">
        <v>1700</v>
      </c>
      <c r="D462" s="81" t="s">
        <v>698</v>
      </c>
      <c r="E462" s="26" t="s">
        <v>699</v>
      </c>
      <c r="F462" s="82">
        <v>10000</v>
      </c>
      <c r="G462" s="83" t="s">
        <v>622</v>
      </c>
      <c r="H462" s="84">
        <v>10000</v>
      </c>
      <c r="I462" s="80" t="s">
        <v>94</v>
      </c>
      <c r="J462" s="80"/>
      <c r="K462">
        <f t="shared" si="15"/>
        <v>1</v>
      </c>
      <c r="L462" t="str">
        <f>IF(I462="UGR","UGR",_xlfn.XLOOKUP(D462,Lookup!O:O,Lookup!N:N,0))</f>
        <v>Non FG</v>
      </c>
      <c r="M462">
        <f t="shared" si="16"/>
        <v>12</v>
      </c>
    </row>
    <row r="463" spans="1:13" hidden="1" x14ac:dyDescent="0.25">
      <c r="A463" s="78">
        <v>46009</v>
      </c>
      <c r="B463" s="79" t="s">
        <v>664</v>
      </c>
      <c r="C463" s="80" t="s">
        <v>1701</v>
      </c>
      <c r="D463" s="81" t="s">
        <v>698</v>
      </c>
      <c r="E463" s="26" t="s">
        <v>699</v>
      </c>
      <c r="F463" s="82">
        <v>4720</v>
      </c>
      <c r="G463" s="83" t="s">
        <v>622</v>
      </c>
      <c r="H463" s="84">
        <v>4720</v>
      </c>
      <c r="I463" s="80" t="s">
        <v>94</v>
      </c>
      <c r="J463" s="80"/>
      <c r="K463">
        <f t="shared" si="15"/>
        <v>1</v>
      </c>
      <c r="L463" t="str">
        <f>IF(I463="UGR","UGR",_xlfn.XLOOKUP(D463,Lookup!O:O,Lookup!N:N,0))</f>
        <v>Non FG</v>
      </c>
      <c r="M463">
        <f t="shared" si="16"/>
        <v>12</v>
      </c>
    </row>
    <row r="464" spans="1:13" hidden="1" x14ac:dyDescent="0.25">
      <c r="A464" s="78">
        <v>45973</v>
      </c>
      <c r="B464" s="79" t="s">
        <v>664</v>
      </c>
      <c r="C464" s="80" t="s">
        <v>1249</v>
      </c>
      <c r="D464" s="81" t="s">
        <v>671</v>
      </c>
      <c r="E464" s="26" t="s">
        <v>672</v>
      </c>
      <c r="F464" s="82">
        <v>10000</v>
      </c>
      <c r="G464" s="83" t="s">
        <v>622</v>
      </c>
      <c r="H464" s="84">
        <v>10000</v>
      </c>
      <c r="I464" s="80" t="s">
        <v>94</v>
      </c>
      <c r="J464" s="80"/>
      <c r="K464">
        <f t="shared" si="15"/>
        <v>1</v>
      </c>
      <c r="L464" t="str">
        <f>IF(I464="UGR","UGR",_xlfn.XLOOKUP(D464,Lookup!O:O,Lookup!N:N,0))</f>
        <v>Non FG</v>
      </c>
      <c r="M464">
        <f t="shared" si="16"/>
        <v>11</v>
      </c>
    </row>
    <row r="465" spans="1:13" hidden="1" x14ac:dyDescent="0.25">
      <c r="A465" s="78">
        <v>45975</v>
      </c>
      <c r="B465" s="79" t="s">
        <v>664</v>
      </c>
      <c r="C465" s="80" t="s">
        <v>1329</v>
      </c>
      <c r="D465" s="81" t="s">
        <v>671</v>
      </c>
      <c r="E465" s="26" t="s">
        <v>672</v>
      </c>
      <c r="F465" s="82">
        <v>10000</v>
      </c>
      <c r="G465" s="83" t="s">
        <v>622</v>
      </c>
      <c r="H465" s="84">
        <v>10000</v>
      </c>
      <c r="I465" s="80" t="s">
        <v>94</v>
      </c>
      <c r="J465" s="80"/>
      <c r="K465">
        <f t="shared" si="15"/>
        <v>1</v>
      </c>
      <c r="L465" t="str">
        <f>IF(I465="UGR","UGR",_xlfn.XLOOKUP(D465,Lookup!O:O,Lookup!N:N,0))</f>
        <v>Non FG</v>
      </c>
      <c r="M465">
        <f t="shared" si="16"/>
        <v>11</v>
      </c>
    </row>
    <row r="466" spans="1:13" hidden="1" x14ac:dyDescent="0.25">
      <c r="A466" s="78">
        <v>45979</v>
      </c>
      <c r="B466" s="79" t="s">
        <v>664</v>
      </c>
      <c r="C466" s="80" t="s">
        <v>1275</v>
      </c>
      <c r="D466" s="81" t="s">
        <v>671</v>
      </c>
      <c r="E466" s="26" t="s">
        <v>672</v>
      </c>
      <c r="F466" s="82">
        <v>10000</v>
      </c>
      <c r="G466" s="83" t="s">
        <v>622</v>
      </c>
      <c r="H466" s="84">
        <v>10000</v>
      </c>
      <c r="I466" s="80" t="s">
        <v>94</v>
      </c>
      <c r="J466" s="80"/>
      <c r="K466">
        <f t="shared" si="15"/>
        <v>1</v>
      </c>
      <c r="L466" t="str">
        <f>IF(I466="UGR","UGR",_xlfn.XLOOKUP(D466,Lookup!O:O,Lookup!N:N,0))</f>
        <v>Non FG</v>
      </c>
      <c r="M466">
        <f t="shared" si="16"/>
        <v>11</v>
      </c>
    </row>
    <row r="467" spans="1:13" hidden="1" x14ac:dyDescent="0.25">
      <c r="A467" s="78">
        <v>45981</v>
      </c>
      <c r="B467" s="79" t="s">
        <v>664</v>
      </c>
      <c r="C467" s="80" t="s">
        <v>1306</v>
      </c>
      <c r="D467" s="81" t="s">
        <v>671</v>
      </c>
      <c r="E467" s="26" t="s">
        <v>672</v>
      </c>
      <c r="F467" s="82">
        <v>10000</v>
      </c>
      <c r="G467" s="83" t="s">
        <v>622</v>
      </c>
      <c r="H467" s="84">
        <v>10000</v>
      </c>
      <c r="I467" s="80" t="s">
        <v>94</v>
      </c>
      <c r="J467" s="80"/>
      <c r="K467">
        <f t="shared" si="15"/>
        <v>1</v>
      </c>
      <c r="L467" t="str">
        <f>IF(I467="UGR","UGR",_xlfn.XLOOKUP(D467,Lookup!O:O,Lookup!N:N,0))</f>
        <v>Non FG</v>
      </c>
      <c r="M467">
        <f t="shared" si="16"/>
        <v>11</v>
      </c>
    </row>
    <row r="468" spans="1:13" hidden="1" x14ac:dyDescent="0.25">
      <c r="A468" s="78">
        <v>45986</v>
      </c>
      <c r="B468" s="79" t="s">
        <v>664</v>
      </c>
      <c r="C468" s="80" t="s">
        <v>1363</v>
      </c>
      <c r="D468" s="81" t="s">
        <v>671</v>
      </c>
      <c r="E468" s="26" t="s">
        <v>672</v>
      </c>
      <c r="F468" s="82">
        <v>10000</v>
      </c>
      <c r="G468" s="83" t="s">
        <v>622</v>
      </c>
      <c r="H468" s="84">
        <v>10000</v>
      </c>
      <c r="I468" s="80" t="s">
        <v>94</v>
      </c>
      <c r="J468" s="80"/>
      <c r="K468">
        <f t="shared" si="15"/>
        <v>1</v>
      </c>
      <c r="L468" t="str">
        <f>IF(I468="UGR","UGR",_xlfn.XLOOKUP(D468,Lookup!O:O,Lookup!N:N,0))</f>
        <v>Non FG</v>
      </c>
      <c r="M468">
        <f t="shared" si="16"/>
        <v>11</v>
      </c>
    </row>
    <row r="469" spans="1:13" hidden="1" x14ac:dyDescent="0.25">
      <c r="A469" s="78">
        <v>45992</v>
      </c>
      <c r="B469" s="79" t="s">
        <v>664</v>
      </c>
      <c r="C469" s="80" t="s">
        <v>1702</v>
      </c>
      <c r="D469" s="81" t="s">
        <v>671</v>
      </c>
      <c r="E469" s="26" t="s">
        <v>672</v>
      </c>
      <c r="F469" s="82">
        <v>10000</v>
      </c>
      <c r="G469" s="83" t="s">
        <v>622</v>
      </c>
      <c r="H469" s="84">
        <v>10000</v>
      </c>
      <c r="I469" s="80" t="s">
        <v>94</v>
      </c>
      <c r="J469" s="80"/>
      <c r="K469">
        <f t="shared" si="15"/>
        <v>1</v>
      </c>
      <c r="L469" t="str">
        <f>IF(I469="UGR","UGR",_xlfn.XLOOKUP(D469,Lookup!O:O,Lookup!N:N,0))</f>
        <v>Non FG</v>
      </c>
      <c r="M469">
        <f t="shared" si="16"/>
        <v>12</v>
      </c>
    </row>
    <row r="470" spans="1:13" hidden="1" x14ac:dyDescent="0.25">
      <c r="A470" s="78">
        <v>45994</v>
      </c>
      <c r="B470" s="79" t="s">
        <v>664</v>
      </c>
      <c r="C470" s="80" t="s">
        <v>1703</v>
      </c>
      <c r="D470" s="81" t="s">
        <v>671</v>
      </c>
      <c r="E470" s="26" t="s">
        <v>672</v>
      </c>
      <c r="F470" s="82">
        <v>10000</v>
      </c>
      <c r="G470" s="83" t="s">
        <v>622</v>
      </c>
      <c r="H470" s="84">
        <v>10000</v>
      </c>
      <c r="I470" s="80" t="s">
        <v>94</v>
      </c>
      <c r="J470" s="80"/>
      <c r="K470">
        <f t="shared" si="15"/>
        <v>1</v>
      </c>
      <c r="L470" t="str">
        <f>IF(I470="UGR","UGR",_xlfn.XLOOKUP(D470,Lookup!O:O,Lookup!N:N,0))</f>
        <v>Non FG</v>
      </c>
      <c r="M470">
        <f t="shared" si="16"/>
        <v>12</v>
      </c>
    </row>
    <row r="471" spans="1:13" hidden="1" x14ac:dyDescent="0.25">
      <c r="A471" s="78">
        <v>45994</v>
      </c>
      <c r="B471" s="79" t="s">
        <v>664</v>
      </c>
      <c r="C471" s="80" t="s">
        <v>1704</v>
      </c>
      <c r="D471" s="81" t="s">
        <v>671</v>
      </c>
      <c r="E471" s="26" t="s">
        <v>672</v>
      </c>
      <c r="F471" s="82">
        <v>10000</v>
      </c>
      <c r="G471" s="83" t="s">
        <v>622</v>
      </c>
      <c r="H471" s="84">
        <v>10000</v>
      </c>
      <c r="I471" s="80" t="s">
        <v>94</v>
      </c>
      <c r="J471" s="80"/>
      <c r="K471">
        <f t="shared" si="15"/>
        <v>1</v>
      </c>
      <c r="L471" t="str">
        <f>IF(I471="UGR","UGR",_xlfn.XLOOKUP(D471,Lookup!O:O,Lookup!N:N,0))</f>
        <v>Non FG</v>
      </c>
      <c r="M471">
        <f t="shared" si="16"/>
        <v>12</v>
      </c>
    </row>
    <row r="472" spans="1:13" hidden="1" x14ac:dyDescent="0.25">
      <c r="A472" s="78">
        <v>45999</v>
      </c>
      <c r="B472" s="79" t="s">
        <v>664</v>
      </c>
      <c r="C472" s="80" t="s">
        <v>1705</v>
      </c>
      <c r="D472" s="81" t="s">
        <v>671</v>
      </c>
      <c r="E472" s="26" t="s">
        <v>672</v>
      </c>
      <c r="F472" s="82">
        <v>10000</v>
      </c>
      <c r="G472" s="83" t="s">
        <v>622</v>
      </c>
      <c r="H472" s="84">
        <v>10000</v>
      </c>
      <c r="I472" s="80" t="s">
        <v>94</v>
      </c>
      <c r="J472" s="80"/>
      <c r="K472">
        <f t="shared" si="15"/>
        <v>1</v>
      </c>
      <c r="L472" t="str">
        <f>IF(I472="UGR","UGR",_xlfn.XLOOKUP(D472,Lookup!O:O,Lookup!N:N,0))</f>
        <v>Non FG</v>
      </c>
      <c r="M472">
        <f t="shared" si="16"/>
        <v>12</v>
      </c>
    </row>
    <row r="473" spans="1:13" hidden="1" x14ac:dyDescent="0.25">
      <c r="A473" s="78">
        <v>46002</v>
      </c>
      <c r="B473" s="79" t="s">
        <v>664</v>
      </c>
      <c r="C473" s="80" t="s">
        <v>1706</v>
      </c>
      <c r="D473" s="81" t="s">
        <v>671</v>
      </c>
      <c r="E473" s="26" t="s">
        <v>672</v>
      </c>
      <c r="F473" s="82">
        <v>10000</v>
      </c>
      <c r="G473" s="83" t="s">
        <v>622</v>
      </c>
      <c r="H473" s="84">
        <v>10000</v>
      </c>
      <c r="I473" s="80" t="s">
        <v>94</v>
      </c>
      <c r="J473" s="80"/>
      <c r="K473">
        <f t="shared" si="15"/>
        <v>1</v>
      </c>
      <c r="L473" t="str">
        <f>IF(I473="UGR","UGR",_xlfn.XLOOKUP(D473,Lookup!O:O,Lookup!N:N,0))</f>
        <v>Non FG</v>
      </c>
      <c r="M473">
        <f t="shared" si="16"/>
        <v>12</v>
      </c>
    </row>
    <row r="474" spans="1:13" hidden="1" x14ac:dyDescent="0.25">
      <c r="A474" s="78">
        <v>46007</v>
      </c>
      <c r="B474" s="79" t="s">
        <v>664</v>
      </c>
      <c r="C474" s="80" t="s">
        <v>1707</v>
      </c>
      <c r="D474" s="81" t="s">
        <v>671</v>
      </c>
      <c r="E474" s="26" t="s">
        <v>672</v>
      </c>
      <c r="F474" s="82">
        <v>10000</v>
      </c>
      <c r="G474" s="83" t="s">
        <v>622</v>
      </c>
      <c r="H474" s="84">
        <v>10000</v>
      </c>
      <c r="I474" s="80" t="s">
        <v>94</v>
      </c>
      <c r="J474" s="80"/>
      <c r="K474">
        <f t="shared" si="15"/>
        <v>1</v>
      </c>
      <c r="L474" t="str">
        <f>IF(I474="UGR","UGR",_xlfn.XLOOKUP(D474,Lookup!O:O,Lookup!N:N,0))</f>
        <v>Non FG</v>
      </c>
      <c r="M474">
        <f t="shared" si="16"/>
        <v>12</v>
      </c>
    </row>
    <row r="475" spans="1:13" hidden="1" x14ac:dyDescent="0.25">
      <c r="A475" s="78">
        <v>46008</v>
      </c>
      <c r="B475" s="79" t="s">
        <v>664</v>
      </c>
      <c r="C475" s="80" t="s">
        <v>1708</v>
      </c>
      <c r="D475" s="81" t="s">
        <v>671</v>
      </c>
      <c r="E475" s="26" t="s">
        <v>672</v>
      </c>
      <c r="F475" s="82">
        <v>3929</v>
      </c>
      <c r="G475" s="83" t="s">
        <v>622</v>
      </c>
      <c r="H475" s="84">
        <v>3929</v>
      </c>
      <c r="I475" s="80" t="s">
        <v>94</v>
      </c>
      <c r="J475" s="80"/>
      <c r="K475">
        <f t="shared" si="15"/>
        <v>1</v>
      </c>
      <c r="L475" t="str">
        <f>IF(I475="UGR","UGR",_xlfn.XLOOKUP(D475,Lookup!O:O,Lookup!N:N,0))</f>
        <v>Non FG</v>
      </c>
      <c r="M475">
        <f t="shared" si="16"/>
        <v>12</v>
      </c>
    </row>
    <row r="476" spans="1:13" hidden="1" x14ac:dyDescent="0.25">
      <c r="A476" s="78">
        <v>45972</v>
      </c>
      <c r="B476" s="79" t="s">
        <v>664</v>
      </c>
      <c r="C476" s="80" t="s">
        <v>1250</v>
      </c>
      <c r="D476" s="81" t="s">
        <v>706</v>
      </c>
      <c r="E476" s="26" t="s">
        <v>707</v>
      </c>
      <c r="F476" s="82">
        <v>10000</v>
      </c>
      <c r="G476" s="83" t="s">
        <v>622</v>
      </c>
      <c r="H476" s="84">
        <v>10000</v>
      </c>
      <c r="I476" s="80" t="s">
        <v>94</v>
      </c>
      <c r="J476" s="80"/>
      <c r="K476">
        <f t="shared" si="15"/>
        <v>1</v>
      </c>
      <c r="L476" t="str">
        <f>IF(I476="UGR","UGR",_xlfn.XLOOKUP(D476,Lookup!O:O,Lookup!N:N,0))</f>
        <v>Non FG</v>
      </c>
      <c r="M476">
        <f t="shared" si="16"/>
        <v>11</v>
      </c>
    </row>
    <row r="477" spans="1:13" hidden="1" x14ac:dyDescent="0.25">
      <c r="A477" s="78">
        <v>45975</v>
      </c>
      <c r="B477" s="79" t="s">
        <v>664</v>
      </c>
      <c r="C477" s="80" t="s">
        <v>1307</v>
      </c>
      <c r="D477" s="81" t="s">
        <v>706</v>
      </c>
      <c r="E477" s="26" t="s">
        <v>707</v>
      </c>
      <c r="F477" s="82">
        <v>10000</v>
      </c>
      <c r="G477" s="83" t="s">
        <v>622</v>
      </c>
      <c r="H477" s="84">
        <v>10000</v>
      </c>
      <c r="I477" s="80" t="s">
        <v>94</v>
      </c>
      <c r="J477" s="80"/>
      <c r="K477">
        <f t="shared" si="15"/>
        <v>1</v>
      </c>
      <c r="L477" t="str">
        <f>IF(I477="UGR","UGR",_xlfn.XLOOKUP(D477,Lookup!O:O,Lookup!N:N,0))</f>
        <v>Non FG</v>
      </c>
      <c r="M477">
        <f t="shared" si="16"/>
        <v>11</v>
      </c>
    </row>
    <row r="478" spans="1:13" hidden="1" x14ac:dyDescent="0.25">
      <c r="A478" s="78">
        <v>45979</v>
      </c>
      <c r="B478" s="79" t="s">
        <v>664</v>
      </c>
      <c r="C478" s="80" t="s">
        <v>1335</v>
      </c>
      <c r="D478" s="81" t="s">
        <v>706</v>
      </c>
      <c r="E478" s="26" t="s">
        <v>707</v>
      </c>
      <c r="F478" s="82">
        <v>10000</v>
      </c>
      <c r="G478" s="83" t="s">
        <v>622</v>
      </c>
      <c r="H478" s="84">
        <v>10000</v>
      </c>
      <c r="I478" s="80" t="s">
        <v>94</v>
      </c>
      <c r="J478" s="80"/>
      <c r="K478">
        <f t="shared" si="15"/>
        <v>1</v>
      </c>
      <c r="L478" t="str">
        <f>IF(I478="UGR","UGR",_xlfn.XLOOKUP(D478,Lookup!O:O,Lookup!N:N,0))</f>
        <v>Non FG</v>
      </c>
      <c r="M478">
        <f t="shared" si="16"/>
        <v>11</v>
      </c>
    </row>
    <row r="479" spans="1:13" hidden="1" x14ac:dyDescent="0.25">
      <c r="A479" s="78">
        <v>45981</v>
      </c>
      <c r="B479" s="79" t="s">
        <v>664</v>
      </c>
      <c r="C479" s="80" t="s">
        <v>1364</v>
      </c>
      <c r="D479" s="81" t="s">
        <v>706</v>
      </c>
      <c r="E479" s="26" t="s">
        <v>707</v>
      </c>
      <c r="F479" s="82">
        <v>10000</v>
      </c>
      <c r="G479" s="83" t="s">
        <v>622</v>
      </c>
      <c r="H479" s="84">
        <v>10000</v>
      </c>
      <c r="I479" s="80" t="s">
        <v>94</v>
      </c>
      <c r="J479" s="80"/>
      <c r="K479">
        <f t="shared" si="15"/>
        <v>1</v>
      </c>
      <c r="L479" t="str">
        <f>IF(I479="UGR","UGR",_xlfn.XLOOKUP(D479,Lookup!O:O,Lookup!N:N,0))</f>
        <v>Non FG</v>
      </c>
      <c r="M479">
        <f t="shared" si="16"/>
        <v>11</v>
      </c>
    </row>
    <row r="480" spans="1:13" hidden="1" x14ac:dyDescent="0.25">
      <c r="A480" s="78">
        <v>45986</v>
      </c>
      <c r="B480" s="79" t="s">
        <v>664</v>
      </c>
      <c r="C480" s="80" t="s">
        <v>1709</v>
      </c>
      <c r="D480" s="81" t="s">
        <v>706</v>
      </c>
      <c r="E480" s="26" t="s">
        <v>707</v>
      </c>
      <c r="F480" s="82">
        <v>10000</v>
      </c>
      <c r="G480" s="83" t="s">
        <v>622</v>
      </c>
      <c r="H480" s="84">
        <v>10000</v>
      </c>
      <c r="I480" s="80" t="s">
        <v>94</v>
      </c>
      <c r="J480" s="80"/>
      <c r="K480">
        <f t="shared" si="15"/>
        <v>1</v>
      </c>
      <c r="L480" t="str">
        <f>IF(I480="UGR","UGR",_xlfn.XLOOKUP(D480,Lookup!O:O,Lookup!N:N,0))</f>
        <v>Non FG</v>
      </c>
      <c r="M480">
        <f t="shared" si="16"/>
        <v>11</v>
      </c>
    </row>
    <row r="481" spans="1:13" hidden="1" x14ac:dyDescent="0.25">
      <c r="A481" s="78">
        <v>45992</v>
      </c>
      <c r="B481" s="79" t="s">
        <v>664</v>
      </c>
      <c r="C481" s="80" t="s">
        <v>1710</v>
      </c>
      <c r="D481" s="81" t="s">
        <v>706</v>
      </c>
      <c r="E481" s="26" t="s">
        <v>707</v>
      </c>
      <c r="F481" s="82">
        <v>10000</v>
      </c>
      <c r="G481" s="83" t="s">
        <v>622</v>
      </c>
      <c r="H481" s="84">
        <v>10000</v>
      </c>
      <c r="I481" s="80" t="s">
        <v>94</v>
      </c>
      <c r="J481" s="80"/>
      <c r="K481">
        <f t="shared" si="15"/>
        <v>1</v>
      </c>
      <c r="L481" t="str">
        <f>IF(I481="UGR","UGR",_xlfn.XLOOKUP(D481,Lookup!O:O,Lookup!N:N,0))</f>
        <v>Non FG</v>
      </c>
      <c r="M481">
        <f t="shared" si="16"/>
        <v>12</v>
      </c>
    </row>
    <row r="482" spans="1:13" hidden="1" x14ac:dyDescent="0.25">
      <c r="A482" s="78">
        <v>45993</v>
      </c>
      <c r="B482" s="79" t="s">
        <v>664</v>
      </c>
      <c r="C482" s="80" t="s">
        <v>1711</v>
      </c>
      <c r="D482" s="81" t="s">
        <v>706</v>
      </c>
      <c r="E482" s="26" t="s">
        <v>707</v>
      </c>
      <c r="F482" s="82">
        <v>10000</v>
      </c>
      <c r="G482" s="83" t="s">
        <v>622</v>
      </c>
      <c r="H482" s="84">
        <v>10000</v>
      </c>
      <c r="I482" s="80" t="s">
        <v>94</v>
      </c>
      <c r="J482" s="80"/>
      <c r="K482">
        <f t="shared" si="15"/>
        <v>1</v>
      </c>
      <c r="L482" t="str">
        <f>IF(I482="UGR","UGR",_xlfn.XLOOKUP(D482,Lookup!O:O,Lookup!N:N,0))</f>
        <v>Non FG</v>
      </c>
      <c r="M482">
        <f t="shared" si="16"/>
        <v>12</v>
      </c>
    </row>
    <row r="483" spans="1:13" hidden="1" x14ac:dyDescent="0.25">
      <c r="A483" s="78">
        <v>45999</v>
      </c>
      <c r="B483" s="79" t="s">
        <v>664</v>
      </c>
      <c r="C483" s="80" t="s">
        <v>1712</v>
      </c>
      <c r="D483" s="81" t="s">
        <v>706</v>
      </c>
      <c r="E483" s="26" t="s">
        <v>707</v>
      </c>
      <c r="F483" s="82">
        <v>10000</v>
      </c>
      <c r="G483" s="83" t="s">
        <v>622</v>
      </c>
      <c r="H483" s="84">
        <v>10000</v>
      </c>
      <c r="I483" s="80" t="s">
        <v>94</v>
      </c>
      <c r="J483" s="80"/>
      <c r="K483">
        <f t="shared" si="15"/>
        <v>1</v>
      </c>
      <c r="L483" t="str">
        <f>IF(I483="UGR","UGR",_xlfn.XLOOKUP(D483,Lookup!O:O,Lookup!N:N,0))</f>
        <v>Non FG</v>
      </c>
      <c r="M483">
        <f t="shared" si="16"/>
        <v>12</v>
      </c>
    </row>
    <row r="484" spans="1:13" hidden="1" x14ac:dyDescent="0.25">
      <c r="A484" s="78">
        <v>46002</v>
      </c>
      <c r="B484" s="79" t="s">
        <v>664</v>
      </c>
      <c r="C484" s="80" t="s">
        <v>1713</v>
      </c>
      <c r="D484" s="81" t="s">
        <v>706</v>
      </c>
      <c r="E484" s="26" t="s">
        <v>707</v>
      </c>
      <c r="F484" s="82">
        <v>10000</v>
      </c>
      <c r="G484" s="83" t="s">
        <v>622</v>
      </c>
      <c r="H484" s="84">
        <v>10000</v>
      </c>
      <c r="I484" s="80" t="s">
        <v>94</v>
      </c>
      <c r="J484" s="80"/>
      <c r="K484">
        <f t="shared" si="15"/>
        <v>1</v>
      </c>
      <c r="L484" t="str">
        <f>IF(I484="UGR","UGR",_xlfn.XLOOKUP(D484,Lookup!O:O,Lookup!N:N,0))</f>
        <v>Non FG</v>
      </c>
      <c r="M484">
        <f t="shared" si="16"/>
        <v>12</v>
      </c>
    </row>
    <row r="485" spans="1:13" hidden="1" x14ac:dyDescent="0.25">
      <c r="A485" s="78">
        <v>46007</v>
      </c>
      <c r="B485" s="79" t="s">
        <v>664</v>
      </c>
      <c r="C485" s="80" t="s">
        <v>1714</v>
      </c>
      <c r="D485" s="81" t="s">
        <v>706</v>
      </c>
      <c r="E485" s="26" t="s">
        <v>707</v>
      </c>
      <c r="F485" s="82">
        <v>10000</v>
      </c>
      <c r="G485" s="83" t="s">
        <v>622</v>
      </c>
      <c r="H485" s="84">
        <v>10000</v>
      </c>
      <c r="I485" s="80" t="s">
        <v>94</v>
      </c>
      <c r="J485" s="80"/>
      <c r="K485">
        <f t="shared" si="15"/>
        <v>1</v>
      </c>
      <c r="L485" t="str">
        <f>IF(I485="UGR","UGR",_xlfn.XLOOKUP(D485,Lookup!O:O,Lookup!N:N,0))</f>
        <v>Non FG</v>
      </c>
      <c r="M485">
        <f t="shared" si="16"/>
        <v>12</v>
      </c>
    </row>
    <row r="486" spans="1:13" hidden="1" x14ac:dyDescent="0.25">
      <c r="A486" s="78">
        <v>46008</v>
      </c>
      <c r="B486" s="79" t="s">
        <v>664</v>
      </c>
      <c r="C486" s="80" t="s">
        <v>1715</v>
      </c>
      <c r="D486" s="81" t="s">
        <v>706</v>
      </c>
      <c r="E486" s="26" t="s">
        <v>707</v>
      </c>
      <c r="F486" s="82">
        <v>10000</v>
      </c>
      <c r="G486" s="83" t="s">
        <v>622</v>
      </c>
      <c r="H486" s="84">
        <v>10000</v>
      </c>
      <c r="I486" s="80" t="s">
        <v>94</v>
      </c>
      <c r="J486" s="80"/>
      <c r="K486">
        <f t="shared" si="15"/>
        <v>1</v>
      </c>
      <c r="L486" t="str">
        <f>IF(I486="UGR","UGR",_xlfn.XLOOKUP(D486,Lookup!O:O,Lookup!N:N,0))</f>
        <v>Non FG</v>
      </c>
      <c r="M486">
        <f t="shared" si="16"/>
        <v>12</v>
      </c>
    </row>
    <row r="487" spans="1:13" hidden="1" x14ac:dyDescent="0.25">
      <c r="A487" s="78">
        <v>46009</v>
      </c>
      <c r="B487" s="79" t="s">
        <v>664</v>
      </c>
      <c r="C487" s="80" t="s">
        <v>1716</v>
      </c>
      <c r="D487" s="81" t="s">
        <v>706</v>
      </c>
      <c r="E487" s="26" t="s">
        <v>707</v>
      </c>
      <c r="F487" s="82">
        <v>4454</v>
      </c>
      <c r="G487" s="83" t="s">
        <v>622</v>
      </c>
      <c r="H487" s="84">
        <v>4454</v>
      </c>
      <c r="I487" s="80" t="s">
        <v>94</v>
      </c>
      <c r="J487" s="80"/>
      <c r="K487">
        <f t="shared" si="15"/>
        <v>1</v>
      </c>
      <c r="L487" t="str">
        <f>IF(I487="UGR","UGR",_xlfn.XLOOKUP(D487,Lookup!O:O,Lookup!N:N,0))</f>
        <v>Non FG</v>
      </c>
      <c r="M487">
        <f t="shared" si="16"/>
        <v>12</v>
      </c>
    </row>
    <row r="488" spans="1:13" hidden="1" x14ac:dyDescent="0.25">
      <c r="A488" s="78">
        <v>45973</v>
      </c>
      <c r="B488" s="79" t="s">
        <v>664</v>
      </c>
      <c r="C488" s="80" t="s">
        <v>1276</v>
      </c>
      <c r="D488" s="81" t="s">
        <v>732</v>
      </c>
      <c r="E488" s="26" t="s">
        <v>733</v>
      </c>
      <c r="F488" s="82">
        <v>10000</v>
      </c>
      <c r="G488" s="83" t="s">
        <v>622</v>
      </c>
      <c r="H488" s="84">
        <v>10000</v>
      </c>
      <c r="I488" s="80" t="s">
        <v>94</v>
      </c>
      <c r="J488" s="80"/>
      <c r="K488">
        <f t="shared" si="15"/>
        <v>1</v>
      </c>
      <c r="L488" t="str">
        <f>IF(I488="UGR","UGR",_xlfn.XLOOKUP(D488,Lookup!O:O,Lookup!N:N,0))</f>
        <v>Non FG</v>
      </c>
      <c r="M488">
        <f t="shared" si="16"/>
        <v>11</v>
      </c>
    </row>
    <row r="489" spans="1:13" hidden="1" x14ac:dyDescent="0.25">
      <c r="A489" s="78">
        <v>45975</v>
      </c>
      <c r="B489" s="79" t="s">
        <v>664</v>
      </c>
      <c r="C489" s="80" t="s">
        <v>1308</v>
      </c>
      <c r="D489" s="81" t="s">
        <v>732</v>
      </c>
      <c r="E489" s="26" t="s">
        <v>733</v>
      </c>
      <c r="F489" s="82">
        <v>10000</v>
      </c>
      <c r="G489" s="83" t="s">
        <v>622</v>
      </c>
      <c r="H489" s="84">
        <v>10000</v>
      </c>
      <c r="I489" s="80" t="s">
        <v>94</v>
      </c>
      <c r="J489" s="80"/>
      <c r="K489">
        <f t="shared" si="15"/>
        <v>1</v>
      </c>
      <c r="L489" t="str">
        <f>IF(I489="UGR","UGR",_xlfn.XLOOKUP(D489,Lookup!O:O,Lookup!N:N,0))</f>
        <v>Non FG</v>
      </c>
      <c r="M489">
        <f t="shared" si="16"/>
        <v>11</v>
      </c>
    </row>
    <row r="490" spans="1:13" hidden="1" x14ac:dyDescent="0.25">
      <c r="A490" s="78">
        <v>45979</v>
      </c>
      <c r="B490" s="79" t="s">
        <v>664</v>
      </c>
      <c r="C490" s="80" t="s">
        <v>1365</v>
      </c>
      <c r="D490" s="81" t="s">
        <v>732</v>
      </c>
      <c r="E490" s="26" t="s">
        <v>733</v>
      </c>
      <c r="F490" s="82">
        <v>10000</v>
      </c>
      <c r="G490" s="83" t="s">
        <v>622</v>
      </c>
      <c r="H490" s="84">
        <v>10000</v>
      </c>
      <c r="I490" s="80" t="s">
        <v>94</v>
      </c>
      <c r="J490" s="80"/>
      <c r="K490">
        <f t="shared" si="15"/>
        <v>1</v>
      </c>
      <c r="L490" t="str">
        <f>IF(I490="UGR","UGR",_xlfn.XLOOKUP(D490,Lookup!O:O,Lookup!N:N,0))</f>
        <v>Non FG</v>
      </c>
      <c r="M490">
        <f t="shared" si="16"/>
        <v>11</v>
      </c>
    </row>
    <row r="491" spans="1:13" hidden="1" x14ac:dyDescent="0.25">
      <c r="A491" s="78">
        <v>45981</v>
      </c>
      <c r="B491" s="79" t="s">
        <v>664</v>
      </c>
      <c r="C491" s="80" t="s">
        <v>1717</v>
      </c>
      <c r="D491" s="81" t="s">
        <v>732</v>
      </c>
      <c r="E491" s="26" t="s">
        <v>733</v>
      </c>
      <c r="F491" s="82">
        <v>10000</v>
      </c>
      <c r="G491" s="83" t="s">
        <v>622</v>
      </c>
      <c r="H491" s="84">
        <v>10000</v>
      </c>
      <c r="I491" s="80" t="s">
        <v>94</v>
      </c>
      <c r="J491" s="80"/>
      <c r="K491">
        <f t="shared" si="15"/>
        <v>1</v>
      </c>
      <c r="L491" t="str">
        <f>IF(I491="UGR","UGR",_xlfn.XLOOKUP(D491,Lookup!O:O,Lookup!N:N,0))</f>
        <v>Non FG</v>
      </c>
      <c r="M491">
        <f t="shared" si="16"/>
        <v>11</v>
      </c>
    </row>
    <row r="492" spans="1:13" hidden="1" x14ac:dyDescent="0.25">
      <c r="A492" s="78">
        <v>45986</v>
      </c>
      <c r="B492" s="79" t="s">
        <v>664</v>
      </c>
      <c r="C492" s="80" t="s">
        <v>1718</v>
      </c>
      <c r="D492" s="81" t="s">
        <v>732</v>
      </c>
      <c r="E492" s="26" t="s">
        <v>733</v>
      </c>
      <c r="F492" s="82">
        <v>10000</v>
      </c>
      <c r="G492" s="83" t="s">
        <v>622</v>
      </c>
      <c r="H492" s="84">
        <v>10000</v>
      </c>
      <c r="I492" s="80" t="s">
        <v>94</v>
      </c>
      <c r="J492" s="80"/>
      <c r="K492">
        <f t="shared" si="15"/>
        <v>1</v>
      </c>
      <c r="L492" t="str">
        <f>IF(I492="UGR","UGR",_xlfn.XLOOKUP(D492,Lookup!O:O,Lookup!N:N,0))</f>
        <v>Non FG</v>
      </c>
      <c r="M492">
        <f t="shared" si="16"/>
        <v>11</v>
      </c>
    </row>
    <row r="493" spans="1:13" hidden="1" x14ac:dyDescent="0.25">
      <c r="A493" s="78">
        <v>45992</v>
      </c>
      <c r="B493" s="79" t="s">
        <v>664</v>
      </c>
      <c r="C493" s="80" t="s">
        <v>1719</v>
      </c>
      <c r="D493" s="81" t="s">
        <v>732</v>
      </c>
      <c r="E493" s="26" t="s">
        <v>733</v>
      </c>
      <c r="F493" s="82">
        <v>10000</v>
      </c>
      <c r="G493" s="83" t="s">
        <v>622</v>
      </c>
      <c r="H493" s="84">
        <v>10000</v>
      </c>
      <c r="I493" s="80" t="s">
        <v>94</v>
      </c>
      <c r="J493" s="80"/>
      <c r="K493">
        <f t="shared" si="15"/>
        <v>1</v>
      </c>
      <c r="L493" t="str">
        <f>IF(I493="UGR","UGR",_xlfn.XLOOKUP(D493,Lookup!O:O,Lookup!N:N,0))</f>
        <v>Non FG</v>
      </c>
      <c r="M493">
        <f t="shared" si="16"/>
        <v>12</v>
      </c>
    </row>
    <row r="494" spans="1:13" hidden="1" x14ac:dyDescent="0.25">
      <c r="A494" s="78">
        <v>45994</v>
      </c>
      <c r="B494" s="79" t="s">
        <v>664</v>
      </c>
      <c r="C494" s="80" t="s">
        <v>1720</v>
      </c>
      <c r="D494" s="81" t="s">
        <v>732</v>
      </c>
      <c r="E494" s="26" t="s">
        <v>733</v>
      </c>
      <c r="F494" s="82">
        <v>10000</v>
      </c>
      <c r="G494" s="83" t="s">
        <v>622</v>
      </c>
      <c r="H494" s="84">
        <v>10000</v>
      </c>
      <c r="I494" s="80" t="s">
        <v>94</v>
      </c>
      <c r="J494" s="80"/>
      <c r="K494">
        <f t="shared" si="15"/>
        <v>1</v>
      </c>
      <c r="L494" t="str">
        <f>IF(I494="UGR","UGR",_xlfn.XLOOKUP(D494,Lookup!O:O,Lookup!N:N,0))</f>
        <v>Non FG</v>
      </c>
      <c r="M494">
        <f t="shared" si="16"/>
        <v>12</v>
      </c>
    </row>
    <row r="495" spans="1:13" hidden="1" x14ac:dyDescent="0.25">
      <c r="A495" s="78">
        <v>46001</v>
      </c>
      <c r="B495" s="79" t="s">
        <v>664</v>
      </c>
      <c r="C495" s="80" t="s">
        <v>1721</v>
      </c>
      <c r="D495" s="81" t="s">
        <v>732</v>
      </c>
      <c r="E495" s="26" t="s">
        <v>733</v>
      </c>
      <c r="F495" s="82">
        <v>10000</v>
      </c>
      <c r="G495" s="83" t="s">
        <v>622</v>
      </c>
      <c r="H495" s="84">
        <v>10000</v>
      </c>
      <c r="I495" s="80" t="s">
        <v>94</v>
      </c>
      <c r="J495" s="80"/>
      <c r="K495">
        <f t="shared" si="15"/>
        <v>1</v>
      </c>
      <c r="L495" t="str">
        <f>IF(I495="UGR","UGR",_xlfn.XLOOKUP(D495,Lookup!O:O,Lookup!N:N,0))</f>
        <v>Non FG</v>
      </c>
      <c r="M495">
        <f t="shared" si="16"/>
        <v>12</v>
      </c>
    </row>
    <row r="496" spans="1:13" hidden="1" x14ac:dyDescent="0.25">
      <c r="A496" s="78">
        <v>46002</v>
      </c>
      <c r="B496" s="79" t="s">
        <v>664</v>
      </c>
      <c r="C496" s="80" t="s">
        <v>1722</v>
      </c>
      <c r="D496" s="81" t="s">
        <v>732</v>
      </c>
      <c r="E496" s="26" t="s">
        <v>733</v>
      </c>
      <c r="F496" s="82">
        <v>10000</v>
      </c>
      <c r="G496" s="83" t="s">
        <v>622</v>
      </c>
      <c r="H496" s="84">
        <v>10000</v>
      </c>
      <c r="I496" s="80" t="s">
        <v>94</v>
      </c>
      <c r="J496" s="80"/>
      <c r="K496">
        <f t="shared" si="15"/>
        <v>1</v>
      </c>
      <c r="L496" t="str">
        <f>IF(I496="UGR","UGR",_xlfn.XLOOKUP(D496,Lookup!O:O,Lookup!N:N,0))</f>
        <v>Non FG</v>
      </c>
      <c r="M496">
        <f t="shared" si="16"/>
        <v>12</v>
      </c>
    </row>
    <row r="497" spans="1:13" hidden="1" x14ac:dyDescent="0.25">
      <c r="A497" s="78">
        <v>46006</v>
      </c>
      <c r="B497" s="79" t="s">
        <v>664</v>
      </c>
      <c r="C497" s="80" t="s">
        <v>1723</v>
      </c>
      <c r="D497" s="81" t="s">
        <v>732</v>
      </c>
      <c r="E497" s="26" t="s">
        <v>733</v>
      </c>
      <c r="F497" s="82">
        <v>10000</v>
      </c>
      <c r="G497" s="83" t="s">
        <v>622</v>
      </c>
      <c r="H497" s="84">
        <v>10000</v>
      </c>
      <c r="I497" s="80" t="s">
        <v>94</v>
      </c>
      <c r="J497" s="80"/>
      <c r="K497">
        <f t="shared" si="15"/>
        <v>1</v>
      </c>
      <c r="L497" t="str">
        <f>IF(I497="UGR","UGR",_xlfn.XLOOKUP(D497,Lookup!O:O,Lookup!N:N,0))</f>
        <v>Non FG</v>
      </c>
      <c r="M497">
        <f t="shared" si="16"/>
        <v>12</v>
      </c>
    </row>
    <row r="498" spans="1:13" hidden="1" x14ac:dyDescent="0.25">
      <c r="A498" s="78">
        <v>46008</v>
      </c>
      <c r="B498" s="79" t="s">
        <v>664</v>
      </c>
      <c r="C498" s="80" t="s">
        <v>1724</v>
      </c>
      <c r="D498" s="81" t="s">
        <v>732</v>
      </c>
      <c r="E498" s="26" t="s">
        <v>733</v>
      </c>
      <c r="F498" s="82">
        <v>10000</v>
      </c>
      <c r="G498" s="83" t="s">
        <v>622</v>
      </c>
      <c r="H498" s="84">
        <v>10000</v>
      </c>
      <c r="I498" s="80" t="s">
        <v>94</v>
      </c>
      <c r="J498" s="80"/>
      <c r="K498">
        <f t="shared" si="15"/>
        <v>1</v>
      </c>
      <c r="L498" t="str">
        <f>IF(I498="UGR","UGR",_xlfn.XLOOKUP(D498,Lookup!O:O,Lookup!N:N,0))</f>
        <v>Non FG</v>
      </c>
      <c r="M498">
        <f t="shared" si="16"/>
        <v>12</v>
      </c>
    </row>
    <row r="499" spans="1:13" hidden="1" x14ac:dyDescent="0.25">
      <c r="A499" s="78">
        <v>46009</v>
      </c>
      <c r="B499" s="79" t="s">
        <v>664</v>
      </c>
      <c r="C499" s="80" t="s">
        <v>1725</v>
      </c>
      <c r="D499" s="81" t="s">
        <v>732</v>
      </c>
      <c r="E499" s="26" t="s">
        <v>733</v>
      </c>
      <c r="F499" s="82">
        <v>2590</v>
      </c>
      <c r="G499" s="83" t="s">
        <v>622</v>
      </c>
      <c r="H499" s="84">
        <v>2590</v>
      </c>
      <c r="I499" s="80" t="s">
        <v>94</v>
      </c>
      <c r="J499" s="80"/>
      <c r="K499">
        <f t="shared" si="15"/>
        <v>1</v>
      </c>
      <c r="L499" t="str">
        <f>IF(I499="UGR","UGR",_xlfn.XLOOKUP(D499,Lookup!O:O,Lookup!N:N,0))</f>
        <v>Non FG</v>
      </c>
      <c r="M499">
        <f t="shared" si="16"/>
        <v>12</v>
      </c>
    </row>
    <row r="500" spans="1:13" hidden="1" x14ac:dyDescent="0.25">
      <c r="A500" s="78">
        <v>45972</v>
      </c>
      <c r="B500" s="79" t="s">
        <v>664</v>
      </c>
      <c r="C500" s="80" t="s">
        <v>1277</v>
      </c>
      <c r="D500" s="81" t="s">
        <v>700</v>
      </c>
      <c r="E500" s="26" t="s">
        <v>701</v>
      </c>
      <c r="F500" s="82">
        <v>10000</v>
      </c>
      <c r="G500" s="83" t="s">
        <v>622</v>
      </c>
      <c r="H500" s="84">
        <v>10000</v>
      </c>
      <c r="I500" s="80" t="s">
        <v>94</v>
      </c>
      <c r="J500" s="80"/>
      <c r="K500">
        <f t="shared" si="15"/>
        <v>1</v>
      </c>
      <c r="L500" t="str">
        <f>IF(I500="UGR","UGR",_xlfn.XLOOKUP(D500,Lookup!O:O,Lookup!N:N,0))</f>
        <v>Non FG</v>
      </c>
      <c r="M500">
        <f t="shared" si="16"/>
        <v>11</v>
      </c>
    </row>
    <row r="501" spans="1:13" hidden="1" x14ac:dyDescent="0.25">
      <c r="A501" s="78">
        <v>45974</v>
      </c>
      <c r="B501" s="79" t="s">
        <v>664</v>
      </c>
      <c r="C501" s="80" t="s">
        <v>1309</v>
      </c>
      <c r="D501" s="81" t="s">
        <v>700</v>
      </c>
      <c r="E501" s="26" t="s">
        <v>701</v>
      </c>
      <c r="F501" s="82">
        <v>10000</v>
      </c>
      <c r="G501" s="83" t="s">
        <v>622</v>
      </c>
      <c r="H501" s="84">
        <v>10000</v>
      </c>
      <c r="I501" s="80" t="s">
        <v>94</v>
      </c>
      <c r="J501" s="80"/>
      <c r="K501">
        <f t="shared" si="15"/>
        <v>1</v>
      </c>
      <c r="L501" t="str">
        <f>IF(I501="UGR","UGR",_xlfn.XLOOKUP(D501,Lookup!O:O,Lookup!N:N,0))</f>
        <v>Non FG</v>
      </c>
      <c r="M501">
        <f t="shared" si="16"/>
        <v>11</v>
      </c>
    </row>
    <row r="502" spans="1:13" hidden="1" x14ac:dyDescent="0.25">
      <c r="A502" s="78">
        <v>45978</v>
      </c>
      <c r="B502" s="79" t="s">
        <v>664</v>
      </c>
      <c r="C502" s="80" t="s">
        <v>1336</v>
      </c>
      <c r="D502" s="81" t="s">
        <v>700</v>
      </c>
      <c r="E502" s="26" t="s">
        <v>701</v>
      </c>
      <c r="F502" s="82">
        <v>10000</v>
      </c>
      <c r="G502" s="83" t="s">
        <v>622</v>
      </c>
      <c r="H502" s="84">
        <v>10000</v>
      </c>
      <c r="I502" s="80" t="s">
        <v>94</v>
      </c>
      <c r="J502" s="80"/>
      <c r="K502">
        <f t="shared" si="15"/>
        <v>1</v>
      </c>
      <c r="L502" t="str">
        <f>IF(I502="UGR","UGR",_xlfn.XLOOKUP(D502,Lookup!O:O,Lookup!N:N,0))</f>
        <v>Non FG</v>
      </c>
      <c r="M502">
        <f t="shared" si="16"/>
        <v>11</v>
      </c>
    </row>
    <row r="503" spans="1:13" hidden="1" x14ac:dyDescent="0.25">
      <c r="A503" s="78">
        <v>45980</v>
      </c>
      <c r="B503" s="79" t="s">
        <v>664</v>
      </c>
      <c r="C503" s="80" t="s">
        <v>1726</v>
      </c>
      <c r="D503" s="81" t="s">
        <v>700</v>
      </c>
      <c r="E503" s="26" t="s">
        <v>701</v>
      </c>
      <c r="F503" s="82">
        <v>10000</v>
      </c>
      <c r="G503" s="83" t="s">
        <v>622</v>
      </c>
      <c r="H503" s="84">
        <v>10000</v>
      </c>
      <c r="I503" s="80" t="s">
        <v>94</v>
      </c>
      <c r="J503" s="80"/>
      <c r="K503">
        <f t="shared" si="15"/>
        <v>1</v>
      </c>
      <c r="L503" t="str">
        <f>IF(I503="UGR","UGR",_xlfn.XLOOKUP(D503,Lookup!O:O,Lookup!N:N,0))</f>
        <v>Non FG</v>
      </c>
      <c r="M503">
        <f t="shared" si="16"/>
        <v>11</v>
      </c>
    </row>
    <row r="504" spans="1:13" hidden="1" x14ac:dyDescent="0.25">
      <c r="A504" s="78">
        <v>45985</v>
      </c>
      <c r="B504" s="79" t="s">
        <v>664</v>
      </c>
      <c r="C504" s="80" t="s">
        <v>1727</v>
      </c>
      <c r="D504" s="81" t="s">
        <v>700</v>
      </c>
      <c r="E504" s="26" t="s">
        <v>701</v>
      </c>
      <c r="F504" s="82">
        <v>10000</v>
      </c>
      <c r="G504" s="83" t="s">
        <v>622</v>
      </c>
      <c r="H504" s="84">
        <v>10000</v>
      </c>
      <c r="I504" s="80" t="s">
        <v>94</v>
      </c>
      <c r="J504" s="80"/>
      <c r="K504">
        <f t="shared" si="15"/>
        <v>1</v>
      </c>
      <c r="L504" t="str">
        <f>IF(I504="UGR","UGR",_xlfn.XLOOKUP(D504,Lookup!O:O,Lookup!N:N,0))</f>
        <v>Non FG</v>
      </c>
      <c r="M504">
        <f t="shared" si="16"/>
        <v>11</v>
      </c>
    </row>
    <row r="505" spans="1:13" hidden="1" x14ac:dyDescent="0.25">
      <c r="A505" s="78">
        <v>45987</v>
      </c>
      <c r="B505" s="79" t="s">
        <v>664</v>
      </c>
      <c r="C505" s="80" t="s">
        <v>1728</v>
      </c>
      <c r="D505" s="81" t="s">
        <v>700</v>
      </c>
      <c r="E505" s="26" t="s">
        <v>701</v>
      </c>
      <c r="F505" s="82">
        <v>10000</v>
      </c>
      <c r="G505" s="83" t="s">
        <v>622</v>
      </c>
      <c r="H505" s="84">
        <v>10000</v>
      </c>
      <c r="I505" s="80" t="s">
        <v>94</v>
      </c>
      <c r="J505" s="80"/>
      <c r="K505">
        <f t="shared" si="15"/>
        <v>1</v>
      </c>
      <c r="L505" t="str">
        <f>IF(I505="UGR","UGR",_xlfn.XLOOKUP(D505,Lookup!O:O,Lookup!N:N,0))</f>
        <v>Non FG</v>
      </c>
      <c r="M505">
        <f t="shared" si="16"/>
        <v>11</v>
      </c>
    </row>
    <row r="506" spans="1:13" hidden="1" x14ac:dyDescent="0.25">
      <c r="A506" s="78">
        <v>45994</v>
      </c>
      <c r="B506" s="79" t="s">
        <v>664</v>
      </c>
      <c r="C506" s="80" t="s">
        <v>1729</v>
      </c>
      <c r="D506" s="81" t="s">
        <v>700</v>
      </c>
      <c r="E506" s="26" t="s">
        <v>701</v>
      </c>
      <c r="F506" s="82">
        <v>10000</v>
      </c>
      <c r="G506" s="83" t="s">
        <v>622</v>
      </c>
      <c r="H506" s="84">
        <v>10000</v>
      </c>
      <c r="I506" s="80" t="s">
        <v>94</v>
      </c>
      <c r="J506" s="80"/>
      <c r="K506">
        <f t="shared" si="15"/>
        <v>1</v>
      </c>
      <c r="L506" t="str">
        <f>IF(I506="UGR","UGR",_xlfn.XLOOKUP(D506,Lookup!O:O,Lookup!N:N,0))</f>
        <v>Non FG</v>
      </c>
      <c r="M506">
        <f t="shared" si="16"/>
        <v>12</v>
      </c>
    </row>
    <row r="507" spans="1:13" hidden="1" x14ac:dyDescent="0.25">
      <c r="A507" s="78">
        <v>46000</v>
      </c>
      <c r="B507" s="79" t="s">
        <v>664</v>
      </c>
      <c r="C507" s="80" t="s">
        <v>1730</v>
      </c>
      <c r="D507" s="81" t="s">
        <v>700</v>
      </c>
      <c r="E507" s="26" t="s">
        <v>701</v>
      </c>
      <c r="F507" s="82">
        <v>10000</v>
      </c>
      <c r="G507" s="83" t="s">
        <v>622</v>
      </c>
      <c r="H507" s="84">
        <v>10000</v>
      </c>
      <c r="I507" s="80" t="s">
        <v>94</v>
      </c>
      <c r="J507" s="80"/>
      <c r="K507">
        <f t="shared" si="15"/>
        <v>1</v>
      </c>
      <c r="L507" t="str">
        <f>IF(I507="UGR","UGR",_xlfn.XLOOKUP(D507,Lookup!O:O,Lookup!N:N,0))</f>
        <v>Non FG</v>
      </c>
      <c r="M507">
        <f t="shared" si="16"/>
        <v>12</v>
      </c>
    </row>
    <row r="508" spans="1:13" hidden="1" x14ac:dyDescent="0.25">
      <c r="A508" s="78">
        <v>46001</v>
      </c>
      <c r="B508" s="79" t="s">
        <v>664</v>
      </c>
      <c r="C508" s="80" t="s">
        <v>1731</v>
      </c>
      <c r="D508" s="81" t="s">
        <v>700</v>
      </c>
      <c r="E508" s="26" t="s">
        <v>701</v>
      </c>
      <c r="F508" s="82">
        <v>10000</v>
      </c>
      <c r="G508" s="83" t="s">
        <v>622</v>
      </c>
      <c r="H508" s="84">
        <v>10000</v>
      </c>
      <c r="I508" s="80" t="s">
        <v>94</v>
      </c>
      <c r="J508" s="80"/>
      <c r="K508">
        <f t="shared" si="15"/>
        <v>1</v>
      </c>
      <c r="L508" t="str">
        <f>IF(I508="UGR","UGR",_xlfn.XLOOKUP(D508,Lookup!O:O,Lookup!N:N,0))</f>
        <v>Non FG</v>
      </c>
      <c r="M508">
        <f t="shared" si="16"/>
        <v>12</v>
      </c>
    </row>
    <row r="509" spans="1:13" hidden="1" x14ac:dyDescent="0.25">
      <c r="A509" s="78">
        <v>46006</v>
      </c>
      <c r="B509" s="79" t="s">
        <v>664</v>
      </c>
      <c r="C509" s="80" t="s">
        <v>1732</v>
      </c>
      <c r="D509" s="81" t="s">
        <v>700</v>
      </c>
      <c r="E509" s="26" t="s">
        <v>701</v>
      </c>
      <c r="F509" s="82">
        <v>10000</v>
      </c>
      <c r="G509" s="83" t="s">
        <v>622</v>
      </c>
      <c r="H509" s="84">
        <v>10000</v>
      </c>
      <c r="I509" s="80" t="s">
        <v>94</v>
      </c>
      <c r="J509" s="80"/>
      <c r="K509">
        <f t="shared" si="15"/>
        <v>1</v>
      </c>
      <c r="L509" t="str">
        <f>IF(I509="UGR","UGR",_xlfn.XLOOKUP(D509,Lookup!O:O,Lookup!N:N,0))</f>
        <v>Non FG</v>
      </c>
      <c r="M509">
        <f t="shared" si="16"/>
        <v>12</v>
      </c>
    </row>
    <row r="510" spans="1:13" hidden="1" x14ac:dyDescent="0.25">
      <c r="A510" s="78">
        <v>46008</v>
      </c>
      <c r="B510" s="79" t="s">
        <v>664</v>
      </c>
      <c r="C510" s="80" t="s">
        <v>1733</v>
      </c>
      <c r="D510" s="81" t="s">
        <v>700</v>
      </c>
      <c r="E510" s="26" t="s">
        <v>701</v>
      </c>
      <c r="F510" s="82">
        <v>10000</v>
      </c>
      <c r="G510" s="83" t="s">
        <v>622</v>
      </c>
      <c r="H510" s="84">
        <v>10000</v>
      </c>
      <c r="I510" s="80" t="s">
        <v>94</v>
      </c>
      <c r="J510" s="80"/>
      <c r="K510">
        <f t="shared" si="15"/>
        <v>1</v>
      </c>
      <c r="L510" t="str">
        <f>IF(I510="UGR","UGR",_xlfn.XLOOKUP(D510,Lookup!O:O,Lookup!N:N,0))</f>
        <v>Non FG</v>
      </c>
      <c r="M510">
        <f t="shared" si="16"/>
        <v>12</v>
      </c>
    </row>
    <row r="511" spans="1:13" hidden="1" x14ac:dyDescent="0.25">
      <c r="A511" s="78">
        <v>46009</v>
      </c>
      <c r="B511" s="79" t="s">
        <v>664</v>
      </c>
      <c r="C511" s="80" t="s">
        <v>1734</v>
      </c>
      <c r="D511" s="81" t="s">
        <v>700</v>
      </c>
      <c r="E511" s="26" t="s">
        <v>701</v>
      </c>
      <c r="F511" s="82">
        <v>4758</v>
      </c>
      <c r="G511" s="83" t="s">
        <v>622</v>
      </c>
      <c r="H511" s="84">
        <v>4758</v>
      </c>
      <c r="I511" s="80" t="s">
        <v>94</v>
      </c>
      <c r="J511" s="80"/>
      <c r="K511">
        <f t="shared" si="15"/>
        <v>1</v>
      </c>
      <c r="L511" t="str">
        <f>IF(I511="UGR","UGR",_xlfn.XLOOKUP(D511,Lookup!O:O,Lookup!N:N,0))</f>
        <v>Non FG</v>
      </c>
      <c r="M511">
        <f t="shared" si="16"/>
        <v>12</v>
      </c>
    </row>
    <row r="512" spans="1:13" hidden="1" x14ac:dyDescent="0.25">
      <c r="A512" s="78">
        <v>45972</v>
      </c>
      <c r="B512" s="79" t="s">
        <v>664</v>
      </c>
      <c r="C512" s="80" t="s">
        <v>1278</v>
      </c>
      <c r="D512" s="81" t="s">
        <v>673</v>
      </c>
      <c r="E512" s="26" t="s">
        <v>674</v>
      </c>
      <c r="F512" s="82">
        <v>10000</v>
      </c>
      <c r="G512" s="83" t="s">
        <v>622</v>
      </c>
      <c r="H512" s="84">
        <v>10000</v>
      </c>
      <c r="I512" s="80" t="s">
        <v>94</v>
      </c>
      <c r="J512" s="80"/>
      <c r="K512">
        <f t="shared" si="15"/>
        <v>1</v>
      </c>
      <c r="L512" t="str">
        <f>IF(I512="UGR","UGR",_xlfn.XLOOKUP(D512,Lookup!O:O,Lookup!N:N,0))</f>
        <v>Non FG</v>
      </c>
      <c r="M512">
        <f t="shared" si="16"/>
        <v>11</v>
      </c>
    </row>
    <row r="513" spans="1:13" hidden="1" x14ac:dyDescent="0.25">
      <c r="A513" s="78">
        <v>45974</v>
      </c>
      <c r="B513" s="79" t="s">
        <v>664</v>
      </c>
      <c r="C513" s="80" t="s">
        <v>1310</v>
      </c>
      <c r="D513" s="81" t="s">
        <v>673</v>
      </c>
      <c r="E513" s="26" t="s">
        <v>674</v>
      </c>
      <c r="F513" s="82">
        <v>10000</v>
      </c>
      <c r="G513" s="83" t="s">
        <v>622</v>
      </c>
      <c r="H513" s="84">
        <v>10000</v>
      </c>
      <c r="I513" s="80" t="s">
        <v>94</v>
      </c>
      <c r="J513" s="80"/>
      <c r="K513">
        <f t="shared" si="15"/>
        <v>1</v>
      </c>
      <c r="L513" t="str">
        <f>IF(I513="UGR","UGR",_xlfn.XLOOKUP(D513,Lookup!O:O,Lookup!N:N,0))</f>
        <v>Non FG</v>
      </c>
      <c r="M513">
        <f t="shared" si="16"/>
        <v>11</v>
      </c>
    </row>
    <row r="514" spans="1:13" hidden="1" x14ac:dyDescent="0.25">
      <c r="A514" s="78">
        <v>45978</v>
      </c>
      <c r="B514" s="79" t="s">
        <v>664</v>
      </c>
      <c r="C514" s="80" t="s">
        <v>1337</v>
      </c>
      <c r="D514" s="81" t="s">
        <v>673</v>
      </c>
      <c r="E514" s="26" t="s">
        <v>674</v>
      </c>
      <c r="F514" s="82">
        <v>10000</v>
      </c>
      <c r="G514" s="83" t="s">
        <v>622</v>
      </c>
      <c r="H514" s="84">
        <v>10000</v>
      </c>
      <c r="I514" s="80" t="s">
        <v>94</v>
      </c>
      <c r="J514" s="80"/>
      <c r="K514">
        <f t="shared" si="15"/>
        <v>1</v>
      </c>
      <c r="L514" t="str">
        <f>IF(I514="UGR","UGR",_xlfn.XLOOKUP(D514,Lookup!O:O,Lookup!N:N,0))</f>
        <v>Non FG</v>
      </c>
      <c r="M514">
        <f t="shared" si="16"/>
        <v>11</v>
      </c>
    </row>
    <row r="515" spans="1:13" hidden="1" x14ac:dyDescent="0.25">
      <c r="A515" s="78">
        <v>45980</v>
      </c>
      <c r="B515" s="79" t="s">
        <v>664</v>
      </c>
      <c r="C515" s="80" t="s">
        <v>1735</v>
      </c>
      <c r="D515" s="81" t="s">
        <v>673</v>
      </c>
      <c r="E515" s="26" t="s">
        <v>674</v>
      </c>
      <c r="F515" s="82">
        <v>10000</v>
      </c>
      <c r="G515" s="83" t="s">
        <v>622</v>
      </c>
      <c r="H515" s="84">
        <v>10000</v>
      </c>
      <c r="I515" s="80" t="s">
        <v>94</v>
      </c>
      <c r="J515" s="80"/>
      <c r="K515">
        <f t="shared" ref="K515:K578" si="17">IF(AND(B515=B514,C515=C514),0,1)</f>
        <v>1</v>
      </c>
      <c r="L515" t="str">
        <f>IF(I515="UGR","UGR",_xlfn.XLOOKUP(D515,Lookup!O:O,Lookup!N:N,0))</f>
        <v>Non FG</v>
      </c>
      <c r="M515">
        <f t="shared" ref="M515:M578" si="18">MONTH(A515)</f>
        <v>11</v>
      </c>
    </row>
    <row r="516" spans="1:13" hidden="1" x14ac:dyDescent="0.25">
      <c r="A516" s="78">
        <v>45985</v>
      </c>
      <c r="B516" s="79" t="s">
        <v>664</v>
      </c>
      <c r="C516" s="80" t="s">
        <v>1736</v>
      </c>
      <c r="D516" s="81" t="s">
        <v>673</v>
      </c>
      <c r="E516" s="26" t="s">
        <v>674</v>
      </c>
      <c r="F516" s="82">
        <v>10000</v>
      </c>
      <c r="G516" s="83" t="s">
        <v>622</v>
      </c>
      <c r="H516" s="84">
        <v>10000</v>
      </c>
      <c r="I516" s="80" t="s">
        <v>94</v>
      </c>
      <c r="J516" s="80"/>
      <c r="K516">
        <f t="shared" si="17"/>
        <v>1</v>
      </c>
      <c r="L516" t="str">
        <f>IF(I516="UGR","UGR",_xlfn.XLOOKUP(D516,Lookup!O:O,Lookup!N:N,0))</f>
        <v>Non FG</v>
      </c>
      <c r="M516">
        <f t="shared" si="18"/>
        <v>11</v>
      </c>
    </row>
    <row r="517" spans="1:13" hidden="1" x14ac:dyDescent="0.25">
      <c r="A517" s="78">
        <v>45987</v>
      </c>
      <c r="B517" s="79" t="s">
        <v>664</v>
      </c>
      <c r="C517" s="80" t="s">
        <v>1737</v>
      </c>
      <c r="D517" s="81" t="s">
        <v>673</v>
      </c>
      <c r="E517" s="26" t="s">
        <v>674</v>
      </c>
      <c r="F517" s="82">
        <v>10000</v>
      </c>
      <c r="G517" s="83" t="s">
        <v>622</v>
      </c>
      <c r="H517" s="84">
        <v>10000</v>
      </c>
      <c r="I517" s="80" t="s">
        <v>94</v>
      </c>
      <c r="J517" s="80"/>
      <c r="K517">
        <f t="shared" si="17"/>
        <v>1</v>
      </c>
      <c r="L517" t="str">
        <f>IF(I517="UGR","UGR",_xlfn.XLOOKUP(D517,Lookup!O:O,Lookup!N:N,0))</f>
        <v>Non FG</v>
      </c>
      <c r="M517">
        <f t="shared" si="18"/>
        <v>11</v>
      </c>
    </row>
    <row r="518" spans="1:13" hidden="1" x14ac:dyDescent="0.25">
      <c r="A518" s="78">
        <v>45994</v>
      </c>
      <c r="B518" s="79" t="s">
        <v>664</v>
      </c>
      <c r="C518" s="80" t="s">
        <v>1738</v>
      </c>
      <c r="D518" s="81" t="s">
        <v>673</v>
      </c>
      <c r="E518" s="26" t="s">
        <v>674</v>
      </c>
      <c r="F518" s="82">
        <v>10000</v>
      </c>
      <c r="G518" s="83" t="s">
        <v>622</v>
      </c>
      <c r="H518" s="84">
        <v>10000</v>
      </c>
      <c r="I518" s="80" t="s">
        <v>94</v>
      </c>
      <c r="J518" s="80"/>
      <c r="K518">
        <f t="shared" si="17"/>
        <v>1</v>
      </c>
      <c r="L518" t="str">
        <f>IF(I518="UGR","UGR",_xlfn.XLOOKUP(D518,Lookup!O:O,Lookup!N:N,0))</f>
        <v>Non FG</v>
      </c>
      <c r="M518">
        <f t="shared" si="18"/>
        <v>12</v>
      </c>
    </row>
    <row r="519" spans="1:13" hidden="1" x14ac:dyDescent="0.25">
      <c r="A519" s="78">
        <v>46000</v>
      </c>
      <c r="B519" s="79" t="s">
        <v>664</v>
      </c>
      <c r="C519" s="80" t="s">
        <v>1739</v>
      </c>
      <c r="D519" s="81" t="s">
        <v>673</v>
      </c>
      <c r="E519" s="26" t="s">
        <v>674</v>
      </c>
      <c r="F519" s="82">
        <v>10000</v>
      </c>
      <c r="G519" s="83" t="s">
        <v>622</v>
      </c>
      <c r="H519" s="84">
        <v>10000</v>
      </c>
      <c r="I519" s="80" t="s">
        <v>94</v>
      </c>
      <c r="J519" s="80"/>
      <c r="K519">
        <f t="shared" si="17"/>
        <v>1</v>
      </c>
      <c r="L519" t="str">
        <f>IF(I519="UGR","UGR",_xlfn.XLOOKUP(D519,Lookup!O:O,Lookup!N:N,0))</f>
        <v>Non FG</v>
      </c>
      <c r="M519">
        <f t="shared" si="18"/>
        <v>12</v>
      </c>
    </row>
    <row r="520" spans="1:13" hidden="1" x14ac:dyDescent="0.25">
      <c r="A520" s="78">
        <v>46001</v>
      </c>
      <c r="B520" s="79" t="s">
        <v>664</v>
      </c>
      <c r="C520" s="80" t="s">
        <v>1740</v>
      </c>
      <c r="D520" s="81" t="s">
        <v>673</v>
      </c>
      <c r="E520" s="26" t="s">
        <v>674</v>
      </c>
      <c r="F520" s="82">
        <v>10000</v>
      </c>
      <c r="G520" s="83" t="s">
        <v>622</v>
      </c>
      <c r="H520" s="84">
        <v>10000</v>
      </c>
      <c r="I520" s="80" t="s">
        <v>94</v>
      </c>
      <c r="J520" s="80"/>
      <c r="K520">
        <f t="shared" si="17"/>
        <v>1</v>
      </c>
      <c r="L520" t="str">
        <f>IF(I520="UGR","UGR",_xlfn.XLOOKUP(D520,Lookup!O:O,Lookup!N:N,0))</f>
        <v>Non FG</v>
      </c>
      <c r="M520">
        <f t="shared" si="18"/>
        <v>12</v>
      </c>
    </row>
    <row r="521" spans="1:13" hidden="1" x14ac:dyDescent="0.25">
      <c r="A521" s="78">
        <v>46006</v>
      </c>
      <c r="B521" s="79" t="s">
        <v>664</v>
      </c>
      <c r="C521" s="80" t="s">
        <v>1741</v>
      </c>
      <c r="D521" s="81" t="s">
        <v>673</v>
      </c>
      <c r="E521" s="26" t="s">
        <v>674</v>
      </c>
      <c r="F521" s="82">
        <v>10000</v>
      </c>
      <c r="G521" s="83" t="s">
        <v>622</v>
      </c>
      <c r="H521" s="84">
        <v>10000</v>
      </c>
      <c r="I521" s="80" t="s">
        <v>94</v>
      </c>
      <c r="J521" s="80"/>
      <c r="K521">
        <f t="shared" si="17"/>
        <v>1</v>
      </c>
      <c r="L521" t="str">
        <f>IF(I521="UGR","UGR",_xlfn.XLOOKUP(D521,Lookup!O:O,Lookup!N:N,0))</f>
        <v>Non FG</v>
      </c>
      <c r="M521">
        <f t="shared" si="18"/>
        <v>12</v>
      </c>
    </row>
    <row r="522" spans="1:13" hidden="1" x14ac:dyDescent="0.25">
      <c r="A522" s="78">
        <v>46008</v>
      </c>
      <c r="B522" s="79" t="s">
        <v>664</v>
      </c>
      <c r="C522" s="80" t="s">
        <v>1742</v>
      </c>
      <c r="D522" s="81" t="s">
        <v>673</v>
      </c>
      <c r="E522" s="26" t="s">
        <v>674</v>
      </c>
      <c r="F522" s="82">
        <v>10000</v>
      </c>
      <c r="G522" s="83" t="s">
        <v>622</v>
      </c>
      <c r="H522" s="84">
        <v>10000</v>
      </c>
      <c r="I522" s="80" t="s">
        <v>94</v>
      </c>
      <c r="J522" s="80"/>
      <c r="K522">
        <f t="shared" si="17"/>
        <v>1</v>
      </c>
      <c r="L522" t="str">
        <f>IF(I522="UGR","UGR",_xlfn.XLOOKUP(D522,Lookup!O:O,Lookup!N:N,0))</f>
        <v>Non FG</v>
      </c>
      <c r="M522">
        <f t="shared" si="18"/>
        <v>12</v>
      </c>
    </row>
    <row r="523" spans="1:13" hidden="1" x14ac:dyDescent="0.25">
      <c r="A523" s="78">
        <v>46009</v>
      </c>
      <c r="B523" s="79" t="s">
        <v>664</v>
      </c>
      <c r="C523" s="80" t="s">
        <v>1743</v>
      </c>
      <c r="D523" s="81" t="s">
        <v>673</v>
      </c>
      <c r="E523" s="26" t="s">
        <v>674</v>
      </c>
      <c r="F523" s="82">
        <v>4914</v>
      </c>
      <c r="G523" s="83" t="s">
        <v>622</v>
      </c>
      <c r="H523" s="84">
        <v>4914</v>
      </c>
      <c r="I523" s="80" t="s">
        <v>94</v>
      </c>
      <c r="J523" s="80"/>
      <c r="K523">
        <f t="shared" si="17"/>
        <v>1</v>
      </c>
      <c r="L523" t="str">
        <f>IF(I523="UGR","UGR",_xlfn.XLOOKUP(D523,Lookup!O:O,Lookup!N:N,0))</f>
        <v>Non FG</v>
      </c>
      <c r="M523">
        <f t="shared" si="18"/>
        <v>12</v>
      </c>
    </row>
    <row r="524" spans="1:13" hidden="1" x14ac:dyDescent="0.25">
      <c r="A524" s="78">
        <v>45971</v>
      </c>
      <c r="B524" s="79" t="s">
        <v>664</v>
      </c>
      <c r="C524" s="80" t="s">
        <v>1744</v>
      </c>
      <c r="D524" s="81" t="s">
        <v>734</v>
      </c>
      <c r="E524" s="26" t="s">
        <v>735</v>
      </c>
      <c r="F524" s="82">
        <v>2000</v>
      </c>
      <c r="G524" s="83" t="s">
        <v>622</v>
      </c>
      <c r="H524" s="84">
        <v>1999.9999999999998</v>
      </c>
      <c r="I524" s="80" t="s">
        <v>94</v>
      </c>
      <c r="J524" s="80"/>
      <c r="K524">
        <f t="shared" si="17"/>
        <v>1</v>
      </c>
      <c r="L524" t="str">
        <f>IF(I524="UGR","UGR",_xlfn.XLOOKUP(D524,Lookup!O:O,Lookup!N:N,0))</f>
        <v>Non FG</v>
      </c>
      <c r="M524">
        <f t="shared" si="18"/>
        <v>11</v>
      </c>
    </row>
    <row r="525" spans="1:13" hidden="1" x14ac:dyDescent="0.25">
      <c r="A525" s="78">
        <v>45973</v>
      </c>
      <c r="B525" s="79" t="s">
        <v>664</v>
      </c>
      <c r="C525" s="80" t="s">
        <v>1311</v>
      </c>
      <c r="D525" s="81" t="s">
        <v>734</v>
      </c>
      <c r="E525" s="26" t="s">
        <v>735</v>
      </c>
      <c r="F525" s="82">
        <v>10000</v>
      </c>
      <c r="G525" s="83" t="s">
        <v>622</v>
      </c>
      <c r="H525" s="84">
        <v>10000</v>
      </c>
      <c r="I525" s="80" t="s">
        <v>94</v>
      </c>
      <c r="J525" s="80"/>
      <c r="K525">
        <f t="shared" si="17"/>
        <v>1</v>
      </c>
      <c r="L525" t="str">
        <f>IF(I525="UGR","UGR",_xlfn.XLOOKUP(D525,Lookup!O:O,Lookup!N:N,0))</f>
        <v>Non FG</v>
      </c>
      <c r="M525">
        <f t="shared" si="18"/>
        <v>11</v>
      </c>
    </row>
    <row r="526" spans="1:13" hidden="1" x14ac:dyDescent="0.25">
      <c r="A526" s="78">
        <v>45975</v>
      </c>
      <c r="B526" s="79" t="s">
        <v>664</v>
      </c>
      <c r="C526" s="80" t="s">
        <v>1279</v>
      </c>
      <c r="D526" s="81" t="s">
        <v>734</v>
      </c>
      <c r="E526" s="26" t="s">
        <v>735</v>
      </c>
      <c r="F526" s="82">
        <v>10000</v>
      </c>
      <c r="G526" s="83" t="s">
        <v>622</v>
      </c>
      <c r="H526" s="84">
        <v>10000</v>
      </c>
      <c r="I526" s="80" t="s">
        <v>94</v>
      </c>
      <c r="J526" s="80"/>
      <c r="K526">
        <f t="shared" si="17"/>
        <v>1</v>
      </c>
      <c r="L526" t="str">
        <f>IF(I526="UGR","UGR",_xlfn.XLOOKUP(D526,Lookup!O:O,Lookup!N:N,0))</f>
        <v>Non FG</v>
      </c>
      <c r="M526">
        <f t="shared" si="18"/>
        <v>11</v>
      </c>
    </row>
    <row r="527" spans="1:13" hidden="1" x14ac:dyDescent="0.25">
      <c r="A527" s="78">
        <v>45979</v>
      </c>
      <c r="B527" s="79" t="s">
        <v>664</v>
      </c>
      <c r="C527" s="80" t="s">
        <v>1338</v>
      </c>
      <c r="D527" s="81" t="s">
        <v>734</v>
      </c>
      <c r="E527" s="26" t="s">
        <v>735</v>
      </c>
      <c r="F527" s="82">
        <v>10000</v>
      </c>
      <c r="G527" s="83" t="s">
        <v>622</v>
      </c>
      <c r="H527" s="84">
        <v>10000</v>
      </c>
      <c r="I527" s="80" t="s">
        <v>94</v>
      </c>
      <c r="J527" s="80"/>
      <c r="K527">
        <f t="shared" si="17"/>
        <v>1</v>
      </c>
      <c r="L527" t="str">
        <f>IF(I527="UGR","UGR",_xlfn.XLOOKUP(D527,Lookup!O:O,Lookup!N:N,0))</f>
        <v>Non FG</v>
      </c>
      <c r="M527">
        <f t="shared" si="18"/>
        <v>11</v>
      </c>
    </row>
    <row r="528" spans="1:13" hidden="1" x14ac:dyDescent="0.25">
      <c r="A528" s="78">
        <v>45981</v>
      </c>
      <c r="B528" s="79" t="s">
        <v>664</v>
      </c>
      <c r="C528" s="80" t="s">
        <v>1366</v>
      </c>
      <c r="D528" s="81" t="s">
        <v>734</v>
      </c>
      <c r="E528" s="26" t="s">
        <v>735</v>
      </c>
      <c r="F528" s="82">
        <v>10000</v>
      </c>
      <c r="G528" s="83" t="s">
        <v>622</v>
      </c>
      <c r="H528" s="84">
        <v>10000</v>
      </c>
      <c r="I528" s="80" t="s">
        <v>94</v>
      </c>
      <c r="J528" s="80"/>
      <c r="K528">
        <f t="shared" si="17"/>
        <v>1</v>
      </c>
      <c r="L528" t="str">
        <f>IF(I528="UGR","UGR",_xlfn.XLOOKUP(D528,Lookup!O:O,Lookup!N:N,0))</f>
        <v>Non FG</v>
      </c>
      <c r="M528">
        <f t="shared" si="18"/>
        <v>11</v>
      </c>
    </row>
    <row r="529" spans="1:13" hidden="1" x14ac:dyDescent="0.25">
      <c r="A529" s="78">
        <v>45986</v>
      </c>
      <c r="B529" s="79" t="s">
        <v>664</v>
      </c>
      <c r="C529" s="80" t="s">
        <v>1254</v>
      </c>
      <c r="D529" s="81" t="s">
        <v>734</v>
      </c>
      <c r="E529" s="26" t="s">
        <v>735</v>
      </c>
      <c r="F529" s="82">
        <v>10000</v>
      </c>
      <c r="G529" s="83" t="s">
        <v>622</v>
      </c>
      <c r="H529" s="84">
        <v>10000</v>
      </c>
      <c r="I529" s="80" t="s">
        <v>94</v>
      </c>
      <c r="J529" s="80"/>
      <c r="K529">
        <f t="shared" si="17"/>
        <v>1</v>
      </c>
      <c r="L529" t="str">
        <f>IF(I529="UGR","UGR",_xlfn.XLOOKUP(D529,Lookup!O:O,Lookup!N:N,0))</f>
        <v>Non FG</v>
      </c>
      <c r="M529">
        <f t="shared" si="18"/>
        <v>11</v>
      </c>
    </row>
    <row r="530" spans="1:13" hidden="1" x14ac:dyDescent="0.25">
      <c r="A530" s="78">
        <v>45993</v>
      </c>
      <c r="B530" s="79" t="s">
        <v>664</v>
      </c>
      <c r="C530" s="80" t="s">
        <v>1745</v>
      </c>
      <c r="D530" s="81" t="s">
        <v>734</v>
      </c>
      <c r="E530" s="26" t="s">
        <v>735</v>
      </c>
      <c r="F530" s="82">
        <v>10000</v>
      </c>
      <c r="G530" s="83" t="s">
        <v>622</v>
      </c>
      <c r="H530" s="84">
        <v>10000</v>
      </c>
      <c r="I530" s="80" t="s">
        <v>94</v>
      </c>
      <c r="J530" s="80"/>
      <c r="K530">
        <f t="shared" si="17"/>
        <v>1</v>
      </c>
      <c r="L530" t="str">
        <f>IF(I530="UGR","UGR",_xlfn.XLOOKUP(D530,Lookup!O:O,Lookup!N:N,0))</f>
        <v>Non FG</v>
      </c>
      <c r="M530">
        <f t="shared" si="18"/>
        <v>12</v>
      </c>
    </row>
    <row r="531" spans="1:13" hidden="1" x14ac:dyDescent="0.25">
      <c r="A531" s="78">
        <v>45993</v>
      </c>
      <c r="B531" s="79" t="s">
        <v>664</v>
      </c>
      <c r="C531" s="80" t="s">
        <v>1746</v>
      </c>
      <c r="D531" s="81" t="s">
        <v>734</v>
      </c>
      <c r="E531" s="26" t="s">
        <v>735</v>
      </c>
      <c r="F531" s="82">
        <v>10000</v>
      </c>
      <c r="G531" s="83" t="s">
        <v>622</v>
      </c>
      <c r="H531" s="84">
        <v>10000</v>
      </c>
      <c r="I531" s="80" t="s">
        <v>94</v>
      </c>
      <c r="J531" s="80"/>
      <c r="K531">
        <f t="shared" si="17"/>
        <v>1</v>
      </c>
      <c r="L531" t="str">
        <f>IF(I531="UGR","UGR",_xlfn.XLOOKUP(D531,Lookup!O:O,Lookup!N:N,0))</f>
        <v>Non FG</v>
      </c>
      <c r="M531">
        <f t="shared" si="18"/>
        <v>12</v>
      </c>
    </row>
    <row r="532" spans="1:13" hidden="1" x14ac:dyDescent="0.25">
      <c r="A532" s="78">
        <v>45994</v>
      </c>
      <c r="B532" s="79" t="s">
        <v>664</v>
      </c>
      <c r="C532" s="80" t="s">
        <v>1747</v>
      </c>
      <c r="D532" s="81" t="s">
        <v>734</v>
      </c>
      <c r="E532" s="26" t="s">
        <v>735</v>
      </c>
      <c r="F532" s="82">
        <v>10000</v>
      </c>
      <c r="G532" s="83" t="s">
        <v>622</v>
      </c>
      <c r="H532" s="84">
        <v>10000</v>
      </c>
      <c r="I532" s="80" t="s">
        <v>94</v>
      </c>
      <c r="J532" s="80"/>
      <c r="K532">
        <f t="shared" si="17"/>
        <v>1</v>
      </c>
      <c r="L532" t="str">
        <f>IF(I532="UGR","UGR",_xlfn.XLOOKUP(D532,Lookup!O:O,Lookup!N:N,0))</f>
        <v>Non FG</v>
      </c>
      <c r="M532">
        <f t="shared" si="18"/>
        <v>12</v>
      </c>
    </row>
    <row r="533" spans="1:13" hidden="1" x14ac:dyDescent="0.25">
      <c r="A533" s="78">
        <v>46000</v>
      </c>
      <c r="B533" s="79" t="s">
        <v>664</v>
      </c>
      <c r="C533" s="80" t="s">
        <v>1748</v>
      </c>
      <c r="D533" s="81" t="s">
        <v>734</v>
      </c>
      <c r="E533" s="26" t="s">
        <v>735</v>
      </c>
      <c r="F533" s="82">
        <v>10000</v>
      </c>
      <c r="G533" s="83" t="s">
        <v>622</v>
      </c>
      <c r="H533" s="84">
        <v>10000</v>
      </c>
      <c r="I533" s="80" t="s">
        <v>94</v>
      </c>
      <c r="J533" s="80"/>
      <c r="K533">
        <f t="shared" si="17"/>
        <v>1</v>
      </c>
      <c r="L533" t="str">
        <f>IF(I533="UGR","UGR",_xlfn.XLOOKUP(D533,Lookup!O:O,Lookup!N:N,0))</f>
        <v>Non FG</v>
      </c>
      <c r="M533">
        <f t="shared" si="18"/>
        <v>12</v>
      </c>
    </row>
    <row r="534" spans="1:13" hidden="1" x14ac:dyDescent="0.25">
      <c r="A534" s="78">
        <v>46006</v>
      </c>
      <c r="B534" s="79" t="s">
        <v>664</v>
      </c>
      <c r="C534" s="80" t="s">
        <v>1749</v>
      </c>
      <c r="D534" s="81" t="s">
        <v>734</v>
      </c>
      <c r="E534" s="26" t="s">
        <v>735</v>
      </c>
      <c r="F534" s="82">
        <v>10000</v>
      </c>
      <c r="G534" s="83" t="s">
        <v>622</v>
      </c>
      <c r="H534" s="84">
        <v>10000</v>
      </c>
      <c r="I534" s="80" t="s">
        <v>94</v>
      </c>
      <c r="J534" s="80"/>
      <c r="K534">
        <f t="shared" si="17"/>
        <v>1</v>
      </c>
      <c r="L534" t="str">
        <f>IF(I534="UGR","UGR",_xlfn.XLOOKUP(D534,Lookup!O:O,Lookup!N:N,0))</f>
        <v>Non FG</v>
      </c>
      <c r="M534">
        <f t="shared" si="18"/>
        <v>12</v>
      </c>
    </row>
    <row r="535" spans="1:13" hidden="1" x14ac:dyDescent="0.25">
      <c r="A535" s="78">
        <v>46008</v>
      </c>
      <c r="B535" s="79" t="s">
        <v>664</v>
      </c>
      <c r="C535" s="80" t="s">
        <v>1750</v>
      </c>
      <c r="D535" s="81" t="s">
        <v>734</v>
      </c>
      <c r="E535" s="26" t="s">
        <v>735</v>
      </c>
      <c r="F535" s="82">
        <v>10000</v>
      </c>
      <c r="G535" s="83" t="s">
        <v>622</v>
      </c>
      <c r="H535" s="84">
        <v>10000</v>
      </c>
      <c r="I535" s="80" t="s">
        <v>94</v>
      </c>
      <c r="J535" s="80"/>
      <c r="K535">
        <f t="shared" si="17"/>
        <v>1</v>
      </c>
      <c r="L535" t="str">
        <f>IF(I535="UGR","UGR",_xlfn.XLOOKUP(D535,Lookup!O:O,Lookup!N:N,0))</f>
        <v>Non FG</v>
      </c>
      <c r="M535">
        <f t="shared" si="18"/>
        <v>12</v>
      </c>
    </row>
    <row r="536" spans="1:13" hidden="1" x14ac:dyDescent="0.25">
      <c r="A536" s="78">
        <v>46009</v>
      </c>
      <c r="B536" s="79" t="s">
        <v>664</v>
      </c>
      <c r="C536" s="80" t="s">
        <v>1751</v>
      </c>
      <c r="D536" s="81" t="s">
        <v>734</v>
      </c>
      <c r="E536" s="26" t="s">
        <v>735</v>
      </c>
      <c r="F536" s="82">
        <v>1891</v>
      </c>
      <c r="G536" s="83" t="s">
        <v>622</v>
      </c>
      <c r="H536" s="84">
        <v>1891.0000000000002</v>
      </c>
      <c r="I536" s="80" t="s">
        <v>94</v>
      </c>
      <c r="J536" s="80"/>
      <c r="K536">
        <f t="shared" si="17"/>
        <v>1</v>
      </c>
      <c r="L536" t="str">
        <f>IF(I536="UGR","UGR",_xlfn.XLOOKUP(D536,Lookup!O:O,Lookup!N:N,0))</f>
        <v>Non FG</v>
      </c>
      <c r="M536">
        <f t="shared" si="18"/>
        <v>12</v>
      </c>
    </row>
    <row r="537" spans="1:13" hidden="1" x14ac:dyDescent="0.25">
      <c r="A537" s="78">
        <v>45973</v>
      </c>
      <c r="B537" s="79" t="s">
        <v>664</v>
      </c>
      <c r="C537" s="80" t="s">
        <v>1187</v>
      </c>
      <c r="D537" s="81" t="s">
        <v>675</v>
      </c>
      <c r="E537" s="26" t="s">
        <v>676</v>
      </c>
      <c r="F537" s="82">
        <v>10000</v>
      </c>
      <c r="G537" s="83" t="s">
        <v>622</v>
      </c>
      <c r="H537" s="84">
        <v>10000</v>
      </c>
      <c r="I537" s="80" t="s">
        <v>94</v>
      </c>
      <c r="J537" s="80"/>
      <c r="K537">
        <f t="shared" si="17"/>
        <v>1</v>
      </c>
      <c r="L537" t="str">
        <f>IF(I537="UGR","UGR",_xlfn.XLOOKUP(D537,Lookup!O:O,Lookup!N:N,0))</f>
        <v>Non FG</v>
      </c>
      <c r="M537">
        <f t="shared" si="18"/>
        <v>11</v>
      </c>
    </row>
    <row r="538" spans="1:13" hidden="1" x14ac:dyDescent="0.25">
      <c r="A538" s="78">
        <v>45975</v>
      </c>
      <c r="B538" s="79" t="s">
        <v>664</v>
      </c>
      <c r="C538" s="80" t="s">
        <v>1255</v>
      </c>
      <c r="D538" s="81" t="s">
        <v>675</v>
      </c>
      <c r="E538" s="26" t="s">
        <v>676</v>
      </c>
      <c r="F538" s="82">
        <v>10000</v>
      </c>
      <c r="G538" s="83" t="s">
        <v>622</v>
      </c>
      <c r="H538" s="84">
        <v>10000</v>
      </c>
      <c r="I538" s="80" t="s">
        <v>94</v>
      </c>
      <c r="J538" s="80"/>
      <c r="K538">
        <f t="shared" si="17"/>
        <v>1</v>
      </c>
      <c r="L538" t="str">
        <f>IF(I538="UGR","UGR",_xlfn.XLOOKUP(D538,Lookup!O:O,Lookup!N:N,0))</f>
        <v>Non FG</v>
      </c>
      <c r="M538">
        <f t="shared" si="18"/>
        <v>11</v>
      </c>
    </row>
    <row r="539" spans="1:13" hidden="1" x14ac:dyDescent="0.25">
      <c r="A539" s="78">
        <v>45979</v>
      </c>
      <c r="B539" s="79" t="s">
        <v>664</v>
      </c>
      <c r="C539" s="80" t="s">
        <v>1280</v>
      </c>
      <c r="D539" s="81" t="s">
        <v>675</v>
      </c>
      <c r="E539" s="26" t="s">
        <v>676</v>
      </c>
      <c r="F539" s="82">
        <v>10000</v>
      </c>
      <c r="G539" s="83" t="s">
        <v>622</v>
      </c>
      <c r="H539" s="84">
        <v>10000</v>
      </c>
      <c r="I539" s="80" t="s">
        <v>94</v>
      </c>
      <c r="J539" s="80"/>
      <c r="K539">
        <f t="shared" si="17"/>
        <v>1</v>
      </c>
      <c r="L539" t="str">
        <f>IF(I539="UGR","UGR",_xlfn.XLOOKUP(D539,Lookup!O:O,Lookup!N:N,0))</f>
        <v>Non FG</v>
      </c>
      <c r="M539">
        <f t="shared" si="18"/>
        <v>11</v>
      </c>
    </row>
    <row r="540" spans="1:13" hidden="1" x14ac:dyDescent="0.25">
      <c r="A540" s="78">
        <v>45981</v>
      </c>
      <c r="B540" s="79" t="s">
        <v>664</v>
      </c>
      <c r="C540" s="80" t="s">
        <v>1752</v>
      </c>
      <c r="D540" s="81" t="s">
        <v>675</v>
      </c>
      <c r="E540" s="26" t="s">
        <v>676</v>
      </c>
      <c r="F540" s="82">
        <v>10000</v>
      </c>
      <c r="G540" s="83" t="s">
        <v>622</v>
      </c>
      <c r="H540" s="84">
        <v>10000</v>
      </c>
      <c r="I540" s="80" t="s">
        <v>94</v>
      </c>
      <c r="J540" s="80"/>
      <c r="K540">
        <f t="shared" si="17"/>
        <v>1</v>
      </c>
      <c r="L540" t="str">
        <f>IF(I540="UGR","UGR",_xlfn.XLOOKUP(D540,Lookup!O:O,Lookup!N:N,0))</f>
        <v>Non FG</v>
      </c>
      <c r="M540">
        <f t="shared" si="18"/>
        <v>11</v>
      </c>
    </row>
    <row r="541" spans="1:13" hidden="1" x14ac:dyDescent="0.25">
      <c r="A541" s="78">
        <v>45986</v>
      </c>
      <c r="B541" s="79" t="s">
        <v>664</v>
      </c>
      <c r="C541" s="80" t="s">
        <v>1339</v>
      </c>
      <c r="D541" s="81" t="s">
        <v>675</v>
      </c>
      <c r="E541" s="26" t="s">
        <v>676</v>
      </c>
      <c r="F541" s="82">
        <v>10000</v>
      </c>
      <c r="G541" s="83" t="s">
        <v>622</v>
      </c>
      <c r="H541" s="84">
        <v>10000</v>
      </c>
      <c r="I541" s="80" t="s">
        <v>94</v>
      </c>
      <c r="J541" s="80"/>
      <c r="K541">
        <f t="shared" si="17"/>
        <v>1</v>
      </c>
      <c r="L541" t="str">
        <f>IF(I541="UGR","UGR",_xlfn.XLOOKUP(D541,Lookup!O:O,Lookup!N:N,0))</f>
        <v>Non FG</v>
      </c>
      <c r="M541">
        <f t="shared" si="18"/>
        <v>11</v>
      </c>
    </row>
    <row r="542" spans="1:13" hidden="1" x14ac:dyDescent="0.25">
      <c r="A542" s="78">
        <v>45992</v>
      </c>
      <c r="B542" s="79" t="s">
        <v>664</v>
      </c>
      <c r="C542" s="80" t="s">
        <v>1367</v>
      </c>
      <c r="D542" s="81" t="s">
        <v>675</v>
      </c>
      <c r="E542" s="26" t="s">
        <v>676</v>
      </c>
      <c r="F542" s="82">
        <v>10000</v>
      </c>
      <c r="G542" s="83" t="s">
        <v>622</v>
      </c>
      <c r="H542" s="84">
        <v>10000</v>
      </c>
      <c r="I542" s="80" t="s">
        <v>94</v>
      </c>
      <c r="J542" s="80"/>
      <c r="K542">
        <f t="shared" si="17"/>
        <v>1</v>
      </c>
      <c r="L542" t="str">
        <f>IF(I542="UGR","UGR",_xlfn.XLOOKUP(D542,Lookup!O:O,Lookup!N:N,0))</f>
        <v>Non FG</v>
      </c>
      <c r="M542">
        <f t="shared" si="18"/>
        <v>12</v>
      </c>
    </row>
    <row r="543" spans="1:13" hidden="1" x14ac:dyDescent="0.25">
      <c r="A543" s="78">
        <v>45992</v>
      </c>
      <c r="B543" s="79" t="s">
        <v>664</v>
      </c>
      <c r="C543" s="80" t="s">
        <v>1312</v>
      </c>
      <c r="D543" s="81" t="s">
        <v>675</v>
      </c>
      <c r="E543" s="26" t="s">
        <v>676</v>
      </c>
      <c r="F543" s="82">
        <v>10000</v>
      </c>
      <c r="G543" s="83" t="s">
        <v>622</v>
      </c>
      <c r="H543" s="84">
        <v>10000</v>
      </c>
      <c r="I543" s="80" t="s">
        <v>94</v>
      </c>
      <c r="J543" s="80"/>
      <c r="K543">
        <f t="shared" si="17"/>
        <v>1</v>
      </c>
      <c r="L543" t="str">
        <f>IF(I543="UGR","UGR",_xlfn.XLOOKUP(D543,Lookup!O:O,Lookup!N:N,0))</f>
        <v>Non FG</v>
      </c>
      <c r="M543">
        <f t="shared" si="18"/>
        <v>12</v>
      </c>
    </row>
    <row r="544" spans="1:13" hidden="1" x14ac:dyDescent="0.25">
      <c r="A544" s="78">
        <v>45993</v>
      </c>
      <c r="B544" s="79" t="s">
        <v>664</v>
      </c>
      <c r="C544" s="80" t="s">
        <v>1753</v>
      </c>
      <c r="D544" s="81" t="s">
        <v>675</v>
      </c>
      <c r="E544" s="26" t="s">
        <v>676</v>
      </c>
      <c r="F544" s="82">
        <v>10000</v>
      </c>
      <c r="G544" s="83" t="s">
        <v>622</v>
      </c>
      <c r="H544" s="84">
        <v>10000</v>
      </c>
      <c r="I544" s="80" t="s">
        <v>94</v>
      </c>
      <c r="J544" s="80"/>
      <c r="K544">
        <f t="shared" si="17"/>
        <v>1</v>
      </c>
      <c r="L544" t="str">
        <f>IF(I544="UGR","UGR",_xlfn.XLOOKUP(D544,Lookup!O:O,Lookup!N:N,0))</f>
        <v>Non FG</v>
      </c>
      <c r="M544">
        <f t="shared" si="18"/>
        <v>12</v>
      </c>
    </row>
    <row r="545" spans="1:13" hidden="1" x14ac:dyDescent="0.25">
      <c r="A545" s="78">
        <v>45994</v>
      </c>
      <c r="B545" s="79" t="s">
        <v>664</v>
      </c>
      <c r="C545" s="80" t="s">
        <v>1754</v>
      </c>
      <c r="D545" s="81" t="s">
        <v>675</v>
      </c>
      <c r="E545" s="26" t="s">
        <v>676</v>
      </c>
      <c r="F545" s="82">
        <v>10000</v>
      </c>
      <c r="G545" s="83" t="s">
        <v>622</v>
      </c>
      <c r="H545" s="84">
        <v>10000</v>
      </c>
      <c r="I545" s="80" t="s">
        <v>94</v>
      </c>
      <c r="J545" s="80"/>
      <c r="K545">
        <f t="shared" si="17"/>
        <v>1</v>
      </c>
      <c r="L545" t="str">
        <f>IF(I545="UGR","UGR",_xlfn.XLOOKUP(D545,Lookup!O:O,Lookup!N:N,0))</f>
        <v>Non FG</v>
      </c>
      <c r="M545">
        <f t="shared" si="18"/>
        <v>12</v>
      </c>
    </row>
    <row r="546" spans="1:13" hidden="1" x14ac:dyDescent="0.25">
      <c r="A546" s="78">
        <v>46001</v>
      </c>
      <c r="B546" s="79" t="s">
        <v>664</v>
      </c>
      <c r="C546" s="80" t="s">
        <v>1755</v>
      </c>
      <c r="D546" s="81" t="s">
        <v>675</v>
      </c>
      <c r="E546" s="26" t="s">
        <v>676</v>
      </c>
      <c r="F546" s="82">
        <v>10000</v>
      </c>
      <c r="G546" s="83" t="s">
        <v>622</v>
      </c>
      <c r="H546" s="84">
        <v>10000</v>
      </c>
      <c r="I546" s="80" t="s">
        <v>94</v>
      </c>
      <c r="J546" s="80"/>
      <c r="K546">
        <f t="shared" si="17"/>
        <v>1</v>
      </c>
      <c r="L546" t="str">
        <f>IF(I546="UGR","UGR",_xlfn.XLOOKUP(D546,Lookup!O:O,Lookup!N:N,0))</f>
        <v>Non FG</v>
      </c>
      <c r="M546">
        <f t="shared" si="18"/>
        <v>12</v>
      </c>
    </row>
    <row r="547" spans="1:13" hidden="1" x14ac:dyDescent="0.25">
      <c r="A547" s="78">
        <v>46003</v>
      </c>
      <c r="B547" s="79" t="s">
        <v>664</v>
      </c>
      <c r="C547" s="80" t="s">
        <v>1756</v>
      </c>
      <c r="D547" s="81" t="s">
        <v>675</v>
      </c>
      <c r="E547" s="26" t="s">
        <v>676</v>
      </c>
      <c r="F547" s="82">
        <v>10000</v>
      </c>
      <c r="G547" s="83" t="s">
        <v>622</v>
      </c>
      <c r="H547" s="84">
        <v>10000</v>
      </c>
      <c r="I547" s="80" t="s">
        <v>94</v>
      </c>
      <c r="J547" s="80"/>
      <c r="K547">
        <f t="shared" si="17"/>
        <v>1</v>
      </c>
      <c r="L547" t="str">
        <f>IF(I547="UGR","UGR",_xlfn.XLOOKUP(D547,Lookup!O:O,Lookup!N:N,0))</f>
        <v>Non FG</v>
      </c>
      <c r="M547">
        <f t="shared" si="18"/>
        <v>12</v>
      </c>
    </row>
    <row r="548" spans="1:13" hidden="1" x14ac:dyDescent="0.25">
      <c r="A548" s="78">
        <v>46003</v>
      </c>
      <c r="B548" s="79" t="s">
        <v>664</v>
      </c>
      <c r="C548" s="80" t="s">
        <v>1757</v>
      </c>
      <c r="D548" s="81" t="s">
        <v>675</v>
      </c>
      <c r="E548" s="26" t="s">
        <v>676</v>
      </c>
      <c r="F548" s="82">
        <v>3204</v>
      </c>
      <c r="G548" s="83" t="s">
        <v>622</v>
      </c>
      <c r="H548" s="84">
        <v>3204</v>
      </c>
      <c r="I548" s="80" t="s">
        <v>94</v>
      </c>
      <c r="J548" s="80"/>
      <c r="K548">
        <f t="shared" si="17"/>
        <v>1</v>
      </c>
      <c r="L548" t="str">
        <f>IF(I548="UGR","UGR",_xlfn.XLOOKUP(D548,Lookup!O:O,Lookup!N:N,0))</f>
        <v>Non FG</v>
      </c>
      <c r="M548">
        <f t="shared" si="18"/>
        <v>12</v>
      </c>
    </row>
    <row r="549" spans="1:13" hidden="1" x14ac:dyDescent="0.25">
      <c r="A549" s="78">
        <v>45973</v>
      </c>
      <c r="B549" s="79" t="s">
        <v>664</v>
      </c>
      <c r="C549" s="80" t="s">
        <v>1189</v>
      </c>
      <c r="D549" s="81" t="s">
        <v>708</v>
      </c>
      <c r="E549" s="26" t="s">
        <v>709</v>
      </c>
      <c r="F549" s="82">
        <v>10000</v>
      </c>
      <c r="G549" s="83" t="s">
        <v>622</v>
      </c>
      <c r="H549" s="84">
        <v>10000</v>
      </c>
      <c r="I549" s="80" t="s">
        <v>94</v>
      </c>
      <c r="J549" s="80"/>
      <c r="K549">
        <f t="shared" si="17"/>
        <v>1</v>
      </c>
      <c r="L549" t="str">
        <f>IF(I549="UGR","UGR",_xlfn.XLOOKUP(D549,Lookup!O:O,Lookup!N:N,0))</f>
        <v>Non FG</v>
      </c>
      <c r="M549">
        <f t="shared" si="18"/>
        <v>11</v>
      </c>
    </row>
    <row r="550" spans="1:13" hidden="1" x14ac:dyDescent="0.25">
      <c r="A550" s="78">
        <v>45975</v>
      </c>
      <c r="B550" s="79" t="s">
        <v>664</v>
      </c>
      <c r="C550" s="80" t="s">
        <v>1281</v>
      </c>
      <c r="D550" s="81" t="s">
        <v>708</v>
      </c>
      <c r="E550" s="26" t="s">
        <v>709</v>
      </c>
      <c r="F550" s="82">
        <v>10000</v>
      </c>
      <c r="G550" s="83" t="s">
        <v>622</v>
      </c>
      <c r="H550" s="84">
        <v>10000</v>
      </c>
      <c r="I550" s="80" t="s">
        <v>94</v>
      </c>
      <c r="J550" s="80"/>
      <c r="K550">
        <f t="shared" si="17"/>
        <v>1</v>
      </c>
      <c r="L550" t="str">
        <f>IF(I550="UGR","UGR",_xlfn.XLOOKUP(D550,Lookup!O:O,Lookup!N:N,0))</f>
        <v>Non FG</v>
      </c>
      <c r="M550">
        <f t="shared" si="18"/>
        <v>11</v>
      </c>
    </row>
    <row r="551" spans="1:13" hidden="1" x14ac:dyDescent="0.25">
      <c r="A551" s="78">
        <v>45979</v>
      </c>
      <c r="B551" s="79" t="s">
        <v>664</v>
      </c>
      <c r="C551" s="80" t="s">
        <v>1313</v>
      </c>
      <c r="D551" s="81" t="s">
        <v>708</v>
      </c>
      <c r="E551" s="26" t="s">
        <v>709</v>
      </c>
      <c r="F551" s="82">
        <v>10000</v>
      </c>
      <c r="G551" s="83" t="s">
        <v>622</v>
      </c>
      <c r="H551" s="84">
        <v>10000</v>
      </c>
      <c r="I551" s="80" t="s">
        <v>94</v>
      </c>
      <c r="J551" s="80"/>
      <c r="K551">
        <f t="shared" si="17"/>
        <v>1</v>
      </c>
      <c r="L551" t="str">
        <f>IF(I551="UGR","UGR",_xlfn.XLOOKUP(D551,Lookup!O:O,Lookup!N:N,0))</f>
        <v>Non FG</v>
      </c>
      <c r="M551">
        <f t="shared" si="18"/>
        <v>11</v>
      </c>
    </row>
    <row r="552" spans="1:13" hidden="1" x14ac:dyDescent="0.25">
      <c r="A552" s="78">
        <v>45981</v>
      </c>
      <c r="B552" s="79" t="s">
        <v>664</v>
      </c>
      <c r="C552" s="80" t="s">
        <v>1758</v>
      </c>
      <c r="D552" s="81" t="s">
        <v>708</v>
      </c>
      <c r="E552" s="26" t="s">
        <v>709</v>
      </c>
      <c r="F552" s="82">
        <v>10000</v>
      </c>
      <c r="G552" s="83" t="s">
        <v>622</v>
      </c>
      <c r="H552" s="84">
        <v>10000</v>
      </c>
      <c r="I552" s="80" t="s">
        <v>94</v>
      </c>
      <c r="J552" s="80"/>
      <c r="K552">
        <f t="shared" si="17"/>
        <v>1</v>
      </c>
      <c r="L552" t="str">
        <f>IF(I552="UGR","UGR",_xlfn.XLOOKUP(D552,Lookup!O:O,Lookup!N:N,0))</f>
        <v>Non FG</v>
      </c>
      <c r="M552">
        <f t="shared" si="18"/>
        <v>11</v>
      </c>
    </row>
    <row r="553" spans="1:13" hidden="1" x14ac:dyDescent="0.25">
      <c r="A553" s="78">
        <v>45986</v>
      </c>
      <c r="B553" s="79" t="s">
        <v>664</v>
      </c>
      <c r="C553" s="80" t="s">
        <v>1340</v>
      </c>
      <c r="D553" s="81" t="s">
        <v>708</v>
      </c>
      <c r="E553" s="26" t="s">
        <v>709</v>
      </c>
      <c r="F553" s="82">
        <v>10000</v>
      </c>
      <c r="G553" s="83" t="s">
        <v>622</v>
      </c>
      <c r="H553" s="84">
        <v>10000</v>
      </c>
      <c r="I553" s="80" t="s">
        <v>94</v>
      </c>
      <c r="J553" s="80"/>
      <c r="K553">
        <f t="shared" si="17"/>
        <v>1</v>
      </c>
      <c r="L553" t="str">
        <f>IF(I553="UGR","UGR",_xlfn.XLOOKUP(D553,Lookup!O:O,Lookup!N:N,0))</f>
        <v>Non FG</v>
      </c>
      <c r="M553">
        <f t="shared" si="18"/>
        <v>11</v>
      </c>
    </row>
    <row r="554" spans="1:13" hidden="1" x14ac:dyDescent="0.25">
      <c r="A554" s="78">
        <v>45992</v>
      </c>
      <c r="B554" s="79" t="s">
        <v>664</v>
      </c>
      <c r="C554" s="80" t="s">
        <v>1368</v>
      </c>
      <c r="D554" s="81" t="s">
        <v>708</v>
      </c>
      <c r="E554" s="26" t="s">
        <v>709</v>
      </c>
      <c r="F554" s="82">
        <v>10000</v>
      </c>
      <c r="G554" s="83" t="s">
        <v>622</v>
      </c>
      <c r="H554" s="84">
        <v>10000</v>
      </c>
      <c r="I554" s="80" t="s">
        <v>94</v>
      </c>
      <c r="J554" s="80"/>
      <c r="K554">
        <f t="shared" si="17"/>
        <v>1</v>
      </c>
      <c r="L554" t="str">
        <f>IF(I554="UGR","UGR",_xlfn.XLOOKUP(D554,Lookup!O:O,Lookup!N:N,0))</f>
        <v>Non FG</v>
      </c>
      <c r="M554">
        <f t="shared" si="18"/>
        <v>12</v>
      </c>
    </row>
    <row r="555" spans="1:13" hidden="1" x14ac:dyDescent="0.25">
      <c r="A555" s="78">
        <v>45992</v>
      </c>
      <c r="B555" s="79" t="s">
        <v>664</v>
      </c>
      <c r="C555" s="80" t="s">
        <v>1759</v>
      </c>
      <c r="D555" s="81" t="s">
        <v>708</v>
      </c>
      <c r="E555" s="26" t="s">
        <v>709</v>
      </c>
      <c r="F555" s="82">
        <v>10000</v>
      </c>
      <c r="G555" s="83" t="s">
        <v>622</v>
      </c>
      <c r="H555" s="84">
        <v>10000</v>
      </c>
      <c r="I555" s="80" t="s">
        <v>94</v>
      </c>
      <c r="J555" s="80"/>
      <c r="K555">
        <f t="shared" si="17"/>
        <v>1</v>
      </c>
      <c r="L555" t="str">
        <f>IF(I555="UGR","UGR",_xlfn.XLOOKUP(D555,Lookup!O:O,Lookup!N:N,0))</f>
        <v>Non FG</v>
      </c>
      <c r="M555">
        <f t="shared" si="18"/>
        <v>12</v>
      </c>
    </row>
    <row r="556" spans="1:13" hidden="1" x14ac:dyDescent="0.25">
      <c r="A556" s="78">
        <v>45993</v>
      </c>
      <c r="B556" s="79" t="s">
        <v>664</v>
      </c>
      <c r="C556" s="80" t="s">
        <v>1760</v>
      </c>
      <c r="D556" s="81" t="s">
        <v>708</v>
      </c>
      <c r="E556" s="26" t="s">
        <v>709</v>
      </c>
      <c r="F556" s="82">
        <v>10000</v>
      </c>
      <c r="G556" s="83" t="s">
        <v>622</v>
      </c>
      <c r="H556" s="84">
        <v>10000</v>
      </c>
      <c r="I556" s="80" t="s">
        <v>94</v>
      </c>
      <c r="J556" s="80"/>
      <c r="K556">
        <f t="shared" si="17"/>
        <v>1</v>
      </c>
      <c r="L556" t="str">
        <f>IF(I556="UGR","UGR",_xlfn.XLOOKUP(D556,Lookup!O:O,Lookup!N:N,0))</f>
        <v>Non FG</v>
      </c>
      <c r="M556">
        <f t="shared" si="18"/>
        <v>12</v>
      </c>
    </row>
    <row r="557" spans="1:13" hidden="1" x14ac:dyDescent="0.25">
      <c r="A557" s="78">
        <v>45994</v>
      </c>
      <c r="B557" s="79" t="s">
        <v>664</v>
      </c>
      <c r="C557" s="80" t="s">
        <v>1761</v>
      </c>
      <c r="D557" s="81" t="s">
        <v>708</v>
      </c>
      <c r="E557" s="26" t="s">
        <v>709</v>
      </c>
      <c r="F557" s="82">
        <v>10000</v>
      </c>
      <c r="G557" s="83" t="s">
        <v>622</v>
      </c>
      <c r="H557" s="84">
        <v>10000</v>
      </c>
      <c r="I557" s="80" t="s">
        <v>94</v>
      </c>
      <c r="J557" s="80"/>
      <c r="K557">
        <f t="shared" si="17"/>
        <v>1</v>
      </c>
      <c r="L557" t="str">
        <f>IF(I557="UGR","UGR",_xlfn.XLOOKUP(D557,Lookup!O:O,Lookup!N:N,0))</f>
        <v>Non FG</v>
      </c>
      <c r="M557">
        <f t="shared" si="18"/>
        <v>12</v>
      </c>
    </row>
    <row r="558" spans="1:13" hidden="1" x14ac:dyDescent="0.25">
      <c r="A558" s="78">
        <v>46000</v>
      </c>
      <c r="B558" s="79" t="s">
        <v>664</v>
      </c>
      <c r="C558" s="80" t="s">
        <v>1762</v>
      </c>
      <c r="D558" s="81" t="s">
        <v>708</v>
      </c>
      <c r="E558" s="26" t="s">
        <v>709</v>
      </c>
      <c r="F558" s="82">
        <v>10000</v>
      </c>
      <c r="G558" s="83" t="s">
        <v>622</v>
      </c>
      <c r="H558" s="84">
        <v>10000</v>
      </c>
      <c r="I558" s="80" t="s">
        <v>94</v>
      </c>
      <c r="J558" s="80"/>
      <c r="K558">
        <f t="shared" si="17"/>
        <v>1</v>
      </c>
      <c r="L558" t="str">
        <f>IF(I558="UGR","UGR",_xlfn.XLOOKUP(D558,Lookup!O:O,Lookup!N:N,0))</f>
        <v>Non FG</v>
      </c>
      <c r="M558">
        <f t="shared" si="18"/>
        <v>12</v>
      </c>
    </row>
    <row r="559" spans="1:13" hidden="1" x14ac:dyDescent="0.25">
      <c r="A559" s="78">
        <v>46001</v>
      </c>
      <c r="B559" s="79" t="s">
        <v>664</v>
      </c>
      <c r="C559" s="80" t="s">
        <v>1763</v>
      </c>
      <c r="D559" s="81" t="s">
        <v>708</v>
      </c>
      <c r="E559" s="26" t="s">
        <v>709</v>
      </c>
      <c r="F559" s="82">
        <v>10000</v>
      </c>
      <c r="G559" s="83" t="s">
        <v>622</v>
      </c>
      <c r="H559" s="84">
        <v>10000</v>
      </c>
      <c r="I559" s="80" t="s">
        <v>94</v>
      </c>
      <c r="J559" s="80"/>
      <c r="K559">
        <f t="shared" si="17"/>
        <v>1</v>
      </c>
      <c r="L559" t="str">
        <f>IF(I559="UGR","UGR",_xlfn.XLOOKUP(D559,Lookup!O:O,Lookup!N:N,0))</f>
        <v>Non FG</v>
      </c>
      <c r="M559">
        <f t="shared" si="18"/>
        <v>12</v>
      </c>
    </row>
    <row r="560" spans="1:13" hidden="1" x14ac:dyDescent="0.25">
      <c r="A560" s="78">
        <v>46003</v>
      </c>
      <c r="B560" s="79" t="s">
        <v>664</v>
      </c>
      <c r="C560" s="80" t="s">
        <v>1764</v>
      </c>
      <c r="D560" s="81" t="s">
        <v>708</v>
      </c>
      <c r="E560" s="26" t="s">
        <v>709</v>
      </c>
      <c r="F560" s="82">
        <v>3512</v>
      </c>
      <c r="G560" s="83" t="s">
        <v>622</v>
      </c>
      <c r="H560" s="84">
        <v>3512</v>
      </c>
      <c r="I560" s="80" t="s">
        <v>94</v>
      </c>
      <c r="J560" s="80"/>
      <c r="K560">
        <f t="shared" si="17"/>
        <v>1</v>
      </c>
      <c r="L560" t="str">
        <f>IF(I560="UGR","UGR",_xlfn.XLOOKUP(D560,Lookup!O:O,Lookup!N:N,0))</f>
        <v>Non FG</v>
      </c>
      <c r="M560">
        <f t="shared" si="18"/>
        <v>12</v>
      </c>
    </row>
    <row r="561" spans="1:13" hidden="1" x14ac:dyDescent="0.25">
      <c r="A561" s="78">
        <v>45972</v>
      </c>
      <c r="B561" s="79" t="s">
        <v>664</v>
      </c>
      <c r="C561" s="80" t="s">
        <v>1236</v>
      </c>
      <c r="D561" s="81" t="s">
        <v>736</v>
      </c>
      <c r="E561" s="26" t="s">
        <v>737</v>
      </c>
      <c r="F561" s="82">
        <v>10000</v>
      </c>
      <c r="G561" s="83" t="s">
        <v>622</v>
      </c>
      <c r="H561" s="84">
        <v>10000</v>
      </c>
      <c r="I561" s="80" t="s">
        <v>94</v>
      </c>
      <c r="J561" s="80"/>
      <c r="K561">
        <f t="shared" si="17"/>
        <v>1</v>
      </c>
      <c r="L561" t="str">
        <f>IF(I561="UGR","UGR",_xlfn.XLOOKUP(D561,Lookup!O:O,Lookup!N:N,0))</f>
        <v>Non FG</v>
      </c>
      <c r="M561">
        <f t="shared" si="18"/>
        <v>11</v>
      </c>
    </row>
    <row r="562" spans="1:13" hidden="1" x14ac:dyDescent="0.25">
      <c r="A562" s="78">
        <v>45974</v>
      </c>
      <c r="B562" s="79" t="s">
        <v>664</v>
      </c>
      <c r="C562" s="80" t="s">
        <v>1282</v>
      </c>
      <c r="D562" s="81" t="s">
        <v>736</v>
      </c>
      <c r="E562" s="26" t="s">
        <v>737</v>
      </c>
      <c r="F562" s="82">
        <v>10000</v>
      </c>
      <c r="G562" s="83" t="s">
        <v>622</v>
      </c>
      <c r="H562" s="84">
        <v>10000</v>
      </c>
      <c r="I562" s="80" t="s">
        <v>94</v>
      </c>
      <c r="J562" s="80"/>
      <c r="K562">
        <f t="shared" si="17"/>
        <v>1</v>
      </c>
      <c r="L562" t="str">
        <f>IF(I562="UGR","UGR",_xlfn.XLOOKUP(D562,Lookup!O:O,Lookup!N:N,0))</f>
        <v>Non FG</v>
      </c>
      <c r="M562">
        <f t="shared" si="18"/>
        <v>11</v>
      </c>
    </row>
    <row r="563" spans="1:13" hidden="1" x14ac:dyDescent="0.25">
      <c r="A563" s="78">
        <v>45978</v>
      </c>
      <c r="B563" s="79" t="s">
        <v>664</v>
      </c>
      <c r="C563" s="80" t="s">
        <v>1266</v>
      </c>
      <c r="D563" s="81" t="s">
        <v>736</v>
      </c>
      <c r="E563" s="26" t="s">
        <v>737</v>
      </c>
      <c r="F563" s="82">
        <v>10000</v>
      </c>
      <c r="G563" s="83" t="s">
        <v>622</v>
      </c>
      <c r="H563" s="84">
        <v>10000</v>
      </c>
      <c r="I563" s="80" t="s">
        <v>94</v>
      </c>
      <c r="J563" s="80"/>
      <c r="K563">
        <f t="shared" si="17"/>
        <v>1</v>
      </c>
      <c r="L563" t="str">
        <f>IF(I563="UGR","UGR",_xlfn.XLOOKUP(D563,Lookup!O:O,Lookup!N:N,0))</f>
        <v>Non FG</v>
      </c>
      <c r="M563">
        <f t="shared" si="18"/>
        <v>11</v>
      </c>
    </row>
    <row r="564" spans="1:13" hidden="1" x14ac:dyDescent="0.25">
      <c r="A564" s="78">
        <v>45980</v>
      </c>
      <c r="B564" s="79" t="s">
        <v>664</v>
      </c>
      <c r="C564" s="80" t="s">
        <v>1341</v>
      </c>
      <c r="D564" s="81" t="s">
        <v>736</v>
      </c>
      <c r="E564" s="26" t="s">
        <v>737</v>
      </c>
      <c r="F564" s="82">
        <v>10000</v>
      </c>
      <c r="G564" s="83" t="s">
        <v>622</v>
      </c>
      <c r="H564" s="84">
        <v>10000</v>
      </c>
      <c r="I564" s="80" t="s">
        <v>94</v>
      </c>
      <c r="J564" s="80"/>
      <c r="K564">
        <f t="shared" si="17"/>
        <v>1</v>
      </c>
      <c r="L564" t="str">
        <f>IF(I564="UGR","UGR",_xlfn.XLOOKUP(D564,Lookup!O:O,Lookup!N:N,0))</f>
        <v>Non FG</v>
      </c>
      <c r="M564">
        <f t="shared" si="18"/>
        <v>11</v>
      </c>
    </row>
    <row r="565" spans="1:13" hidden="1" x14ac:dyDescent="0.25">
      <c r="A565" s="78">
        <v>45985</v>
      </c>
      <c r="B565" s="79" t="s">
        <v>664</v>
      </c>
      <c r="C565" s="80" t="s">
        <v>1369</v>
      </c>
      <c r="D565" s="81" t="s">
        <v>736</v>
      </c>
      <c r="E565" s="26" t="s">
        <v>737</v>
      </c>
      <c r="F565" s="82">
        <v>10000</v>
      </c>
      <c r="G565" s="83" t="s">
        <v>622</v>
      </c>
      <c r="H565" s="84">
        <v>10000</v>
      </c>
      <c r="I565" s="80" t="s">
        <v>94</v>
      </c>
      <c r="J565" s="80"/>
      <c r="K565">
        <f t="shared" si="17"/>
        <v>1</v>
      </c>
      <c r="L565" t="str">
        <f>IF(I565="UGR","UGR",_xlfn.XLOOKUP(D565,Lookup!O:O,Lookup!N:N,0))</f>
        <v>Non FG</v>
      </c>
      <c r="M565">
        <f t="shared" si="18"/>
        <v>11</v>
      </c>
    </row>
    <row r="566" spans="1:13" hidden="1" x14ac:dyDescent="0.25">
      <c r="A566" s="78">
        <v>45987</v>
      </c>
      <c r="B566" s="79" t="s">
        <v>664</v>
      </c>
      <c r="C566" s="80" t="s">
        <v>1314</v>
      </c>
      <c r="D566" s="81" t="s">
        <v>736</v>
      </c>
      <c r="E566" s="26" t="s">
        <v>737</v>
      </c>
      <c r="F566" s="82">
        <v>10000</v>
      </c>
      <c r="G566" s="83" t="s">
        <v>622</v>
      </c>
      <c r="H566" s="84">
        <v>10000</v>
      </c>
      <c r="I566" s="80" t="s">
        <v>94</v>
      </c>
      <c r="J566" s="80"/>
      <c r="K566">
        <f t="shared" si="17"/>
        <v>1</v>
      </c>
      <c r="L566" t="str">
        <f>IF(I566="UGR","UGR",_xlfn.XLOOKUP(D566,Lookup!O:O,Lookup!N:N,0))</f>
        <v>Non FG</v>
      </c>
      <c r="M566">
        <f t="shared" si="18"/>
        <v>11</v>
      </c>
    </row>
    <row r="567" spans="1:13" hidden="1" x14ac:dyDescent="0.25">
      <c r="A567" s="78">
        <v>45993</v>
      </c>
      <c r="B567" s="79" t="s">
        <v>664</v>
      </c>
      <c r="C567" s="80" t="s">
        <v>1765</v>
      </c>
      <c r="D567" s="81" t="s">
        <v>736</v>
      </c>
      <c r="E567" s="26" t="s">
        <v>737</v>
      </c>
      <c r="F567" s="82">
        <v>10000</v>
      </c>
      <c r="G567" s="83" t="s">
        <v>622</v>
      </c>
      <c r="H567" s="84">
        <v>10000</v>
      </c>
      <c r="I567" s="80" t="s">
        <v>94</v>
      </c>
      <c r="J567" s="80"/>
      <c r="K567">
        <f t="shared" si="17"/>
        <v>1</v>
      </c>
      <c r="L567" t="str">
        <f>IF(I567="UGR","UGR",_xlfn.XLOOKUP(D567,Lookup!O:O,Lookup!N:N,0))</f>
        <v>Non FG</v>
      </c>
      <c r="M567">
        <f t="shared" si="18"/>
        <v>12</v>
      </c>
    </row>
    <row r="568" spans="1:13" hidden="1" x14ac:dyDescent="0.25">
      <c r="A568" s="78">
        <v>45994</v>
      </c>
      <c r="B568" s="79" t="s">
        <v>664</v>
      </c>
      <c r="C568" s="80" t="s">
        <v>1766</v>
      </c>
      <c r="D568" s="81" t="s">
        <v>736</v>
      </c>
      <c r="E568" s="26" t="s">
        <v>737</v>
      </c>
      <c r="F568" s="82">
        <v>10000</v>
      </c>
      <c r="G568" s="83" t="s">
        <v>622</v>
      </c>
      <c r="H568" s="84">
        <v>10000</v>
      </c>
      <c r="I568" s="80" t="s">
        <v>94</v>
      </c>
      <c r="J568" s="80"/>
      <c r="K568">
        <f t="shared" si="17"/>
        <v>1</v>
      </c>
      <c r="L568" t="str">
        <f>IF(I568="UGR","UGR",_xlfn.XLOOKUP(D568,Lookup!O:O,Lookup!N:N,0))</f>
        <v>Non FG</v>
      </c>
      <c r="M568">
        <f t="shared" si="18"/>
        <v>12</v>
      </c>
    </row>
    <row r="569" spans="1:13" hidden="1" x14ac:dyDescent="0.25">
      <c r="A569" s="78">
        <v>46000</v>
      </c>
      <c r="B569" s="79" t="s">
        <v>664</v>
      </c>
      <c r="C569" s="80" t="s">
        <v>1767</v>
      </c>
      <c r="D569" s="81" t="s">
        <v>736</v>
      </c>
      <c r="E569" s="26" t="s">
        <v>737</v>
      </c>
      <c r="F569" s="82">
        <v>10000</v>
      </c>
      <c r="G569" s="83" t="s">
        <v>622</v>
      </c>
      <c r="H569" s="84">
        <v>10000</v>
      </c>
      <c r="I569" s="80" t="s">
        <v>94</v>
      </c>
      <c r="J569" s="80"/>
      <c r="K569">
        <f t="shared" si="17"/>
        <v>1</v>
      </c>
      <c r="L569" t="str">
        <f>IF(I569="UGR","UGR",_xlfn.XLOOKUP(D569,Lookup!O:O,Lookup!N:N,0))</f>
        <v>Non FG</v>
      </c>
      <c r="M569">
        <f t="shared" si="18"/>
        <v>12</v>
      </c>
    </row>
    <row r="570" spans="1:13" hidden="1" x14ac:dyDescent="0.25">
      <c r="A570" s="78">
        <v>46001</v>
      </c>
      <c r="B570" s="79" t="s">
        <v>664</v>
      </c>
      <c r="C570" s="80" t="s">
        <v>1768</v>
      </c>
      <c r="D570" s="81" t="s">
        <v>736</v>
      </c>
      <c r="E570" s="26" t="s">
        <v>737</v>
      </c>
      <c r="F570" s="82">
        <v>10000</v>
      </c>
      <c r="G570" s="83" t="s">
        <v>622</v>
      </c>
      <c r="H570" s="84">
        <v>10000</v>
      </c>
      <c r="I570" s="80" t="s">
        <v>94</v>
      </c>
      <c r="J570" s="80"/>
      <c r="K570">
        <f t="shared" si="17"/>
        <v>1</v>
      </c>
      <c r="L570" t="str">
        <f>IF(I570="UGR","UGR",_xlfn.XLOOKUP(D570,Lookup!O:O,Lookup!N:N,0))</f>
        <v>Non FG</v>
      </c>
      <c r="M570">
        <f t="shared" si="18"/>
        <v>12</v>
      </c>
    </row>
    <row r="571" spans="1:13" hidden="1" x14ac:dyDescent="0.25">
      <c r="A571" s="78">
        <v>46003</v>
      </c>
      <c r="B571" s="79" t="s">
        <v>664</v>
      </c>
      <c r="C571" s="80" t="s">
        <v>1769</v>
      </c>
      <c r="D571" s="81" t="s">
        <v>736</v>
      </c>
      <c r="E571" s="26" t="s">
        <v>737</v>
      </c>
      <c r="F571" s="82">
        <v>10000</v>
      </c>
      <c r="G571" s="83" t="s">
        <v>622</v>
      </c>
      <c r="H571" s="84">
        <v>10000</v>
      </c>
      <c r="I571" s="80" t="s">
        <v>94</v>
      </c>
      <c r="J571" s="80"/>
      <c r="K571">
        <f t="shared" si="17"/>
        <v>1</v>
      </c>
      <c r="L571" t="str">
        <f>IF(I571="UGR","UGR",_xlfn.XLOOKUP(D571,Lookup!O:O,Lookup!N:N,0))</f>
        <v>Non FG</v>
      </c>
      <c r="M571">
        <f t="shared" si="18"/>
        <v>12</v>
      </c>
    </row>
    <row r="572" spans="1:13" hidden="1" x14ac:dyDescent="0.25">
      <c r="A572" s="78">
        <v>46009</v>
      </c>
      <c r="B572" s="79" t="s">
        <v>664</v>
      </c>
      <c r="C572" s="80" t="s">
        <v>1770</v>
      </c>
      <c r="D572" s="81" t="s">
        <v>736</v>
      </c>
      <c r="E572" s="26" t="s">
        <v>737</v>
      </c>
      <c r="F572" s="82">
        <v>4631</v>
      </c>
      <c r="G572" s="83" t="s">
        <v>622</v>
      </c>
      <c r="H572" s="84">
        <v>4631</v>
      </c>
      <c r="I572" s="80" t="s">
        <v>94</v>
      </c>
      <c r="J572" s="80"/>
      <c r="K572">
        <f t="shared" si="17"/>
        <v>1</v>
      </c>
      <c r="L572" t="str">
        <f>IF(I572="UGR","UGR",_xlfn.XLOOKUP(D572,Lookup!O:O,Lookup!N:N,0))</f>
        <v>Non FG</v>
      </c>
      <c r="M572">
        <f t="shared" si="18"/>
        <v>12</v>
      </c>
    </row>
    <row r="573" spans="1:13" hidden="1" x14ac:dyDescent="0.25">
      <c r="A573" s="78">
        <v>45973</v>
      </c>
      <c r="B573" s="79" t="s">
        <v>664</v>
      </c>
      <c r="C573" s="80" t="s">
        <v>1267</v>
      </c>
      <c r="D573" s="81" t="s">
        <v>702</v>
      </c>
      <c r="E573" s="26" t="s">
        <v>703</v>
      </c>
      <c r="F573" s="82">
        <v>10000</v>
      </c>
      <c r="G573" s="83" t="s">
        <v>622</v>
      </c>
      <c r="H573" s="84">
        <v>10000</v>
      </c>
      <c r="I573" s="80" t="s">
        <v>94</v>
      </c>
      <c r="J573" s="80"/>
      <c r="K573">
        <f t="shared" si="17"/>
        <v>1</v>
      </c>
      <c r="L573" t="str">
        <f>IF(I573="UGR","UGR",_xlfn.XLOOKUP(D573,Lookup!O:O,Lookup!N:N,0))</f>
        <v>Non FG</v>
      </c>
      <c r="M573">
        <f t="shared" si="18"/>
        <v>11</v>
      </c>
    </row>
    <row r="574" spans="1:13" hidden="1" x14ac:dyDescent="0.25">
      <c r="A574" s="78">
        <v>45978</v>
      </c>
      <c r="B574" s="79" t="s">
        <v>664</v>
      </c>
      <c r="C574" s="80" t="s">
        <v>1298</v>
      </c>
      <c r="D574" s="81" t="s">
        <v>702</v>
      </c>
      <c r="E574" s="26" t="s">
        <v>703</v>
      </c>
      <c r="F574" s="82">
        <v>10000</v>
      </c>
      <c r="G574" s="83" t="s">
        <v>622</v>
      </c>
      <c r="H574" s="84">
        <v>10000</v>
      </c>
      <c r="I574" s="80" t="s">
        <v>94</v>
      </c>
      <c r="J574" s="80"/>
      <c r="K574">
        <f t="shared" si="17"/>
        <v>1</v>
      </c>
      <c r="L574" t="str">
        <f>IF(I574="UGR","UGR",_xlfn.XLOOKUP(D574,Lookup!O:O,Lookup!N:N,0))</f>
        <v>Non FG</v>
      </c>
      <c r="M574">
        <f t="shared" si="18"/>
        <v>11</v>
      </c>
    </row>
    <row r="575" spans="1:13" hidden="1" x14ac:dyDescent="0.25">
      <c r="A575" s="78">
        <v>45980</v>
      </c>
      <c r="B575" s="79" t="s">
        <v>664</v>
      </c>
      <c r="C575" s="80" t="s">
        <v>1315</v>
      </c>
      <c r="D575" s="81" t="s">
        <v>702</v>
      </c>
      <c r="E575" s="26" t="s">
        <v>703</v>
      </c>
      <c r="F575" s="82">
        <v>10000</v>
      </c>
      <c r="G575" s="83" t="s">
        <v>622</v>
      </c>
      <c r="H575" s="84">
        <v>10000</v>
      </c>
      <c r="I575" s="80" t="s">
        <v>94</v>
      </c>
      <c r="J575" s="80"/>
      <c r="K575">
        <f t="shared" si="17"/>
        <v>1</v>
      </c>
      <c r="L575" t="str">
        <f>IF(I575="UGR","UGR",_xlfn.XLOOKUP(D575,Lookup!O:O,Lookup!N:N,0))</f>
        <v>Non FG</v>
      </c>
      <c r="M575">
        <f t="shared" si="18"/>
        <v>11</v>
      </c>
    </row>
    <row r="576" spans="1:13" hidden="1" x14ac:dyDescent="0.25">
      <c r="A576" s="78">
        <v>45985</v>
      </c>
      <c r="B576" s="79" t="s">
        <v>664</v>
      </c>
      <c r="C576" s="80" t="s">
        <v>1771</v>
      </c>
      <c r="D576" s="81" t="s">
        <v>702</v>
      </c>
      <c r="E576" s="26" t="s">
        <v>703</v>
      </c>
      <c r="F576" s="82">
        <v>10000</v>
      </c>
      <c r="G576" s="83" t="s">
        <v>622</v>
      </c>
      <c r="H576" s="84">
        <v>10000</v>
      </c>
      <c r="I576" s="80" t="s">
        <v>94</v>
      </c>
      <c r="J576" s="80"/>
      <c r="K576">
        <f t="shared" si="17"/>
        <v>1</v>
      </c>
      <c r="L576" t="str">
        <f>IF(I576="UGR","UGR",_xlfn.XLOOKUP(D576,Lookup!O:O,Lookup!N:N,0))</f>
        <v>Non FG</v>
      </c>
      <c r="M576">
        <f t="shared" si="18"/>
        <v>11</v>
      </c>
    </row>
    <row r="577" spans="1:13" hidden="1" x14ac:dyDescent="0.25">
      <c r="A577" s="78">
        <v>45987</v>
      </c>
      <c r="B577" s="79" t="s">
        <v>664</v>
      </c>
      <c r="C577" s="80" t="s">
        <v>1342</v>
      </c>
      <c r="D577" s="81" t="s">
        <v>702</v>
      </c>
      <c r="E577" s="26" t="s">
        <v>703</v>
      </c>
      <c r="F577" s="82">
        <v>10000</v>
      </c>
      <c r="G577" s="83" t="s">
        <v>622</v>
      </c>
      <c r="H577" s="84">
        <v>10000</v>
      </c>
      <c r="I577" s="80" t="s">
        <v>94</v>
      </c>
      <c r="J577" s="80"/>
      <c r="K577">
        <f t="shared" si="17"/>
        <v>1</v>
      </c>
      <c r="L577" t="str">
        <f>IF(I577="UGR","UGR",_xlfn.XLOOKUP(D577,Lookup!O:O,Lookup!N:N,0))</f>
        <v>Non FG</v>
      </c>
      <c r="M577">
        <f t="shared" si="18"/>
        <v>11</v>
      </c>
    </row>
    <row r="578" spans="1:13" hidden="1" x14ac:dyDescent="0.25">
      <c r="A578" s="78">
        <v>45992</v>
      </c>
      <c r="B578" s="79" t="s">
        <v>664</v>
      </c>
      <c r="C578" s="80" t="s">
        <v>1376</v>
      </c>
      <c r="D578" s="81" t="s">
        <v>702</v>
      </c>
      <c r="E578" s="26" t="s">
        <v>703</v>
      </c>
      <c r="F578" s="82">
        <v>10000</v>
      </c>
      <c r="G578" s="83" t="s">
        <v>622</v>
      </c>
      <c r="H578" s="84">
        <v>10000</v>
      </c>
      <c r="I578" s="80" t="s">
        <v>94</v>
      </c>
      <c r="J578" s="80"/>
      <c r="K578">
        <f t="shared" si="17"/>
        <v>1</v>
      </c>
      <c r="L578" t="str">
        <f>IF(I578="UGR","UGR",_xlfn.XLOOKUP(D578,Lookup!O:O,Lookup!N:N,0))</f>
        <v>Non FG</v>
      </c>
      <c r="M578">
        <f t="shared" si="18"/>
        <v>12</v>
      </c>
    </row>
    <row r="579" spans="1:13" hidden="1" x14ac:dyDescent="0.25">
      <c r="A579" s="78">
        <v>45993</v>
      </c>
      <c r="B579" s="79" t="s">
        <v>664</v>
      </c>
      <c r="C579" s="80" t="s">
        <v>1772</v>
      </c>
      <c r="D579" s="81" t="s">
        <v>702</v>
      </c>
      <c r="E579" s="26" t="s">
        <v>703</v>
      </c>
      <c r="F579" s="82">
        <v>10000</v>
      </c>
      <c r="G579" s="83" t="s">
        <v>622</v>
      </c>
      <c r="H579" s="84">
        <v>10000</v>
      </c>
      <c r="I579" s="80" t="s">
        <v>94</v>
      </c>
      <c r="J579" s="80"/>
      <c r="K579">
        <f t="shared" ref="K579:K642" si="19">IF(AND(B579=B578,C579=C578),0,1)</f>
        <v>1</v>
      </c>
      <c r="L579" t="str">
        <f>IF(I579="UGR","UGR",_xlfn.XLOOKUP(D579,Lookup!O:O,Lookup!N:N,0))</f>
        <v>Non FG</v>
      </c>
      <c r="M579">
        <f t="shared" ref="M579:M642" si="20">MONTH(A579)</f>
        <v>12</v>
      </c>
    </row>
    <row r="580" spans="1:13" hidden="1" x14ac:dyDescent="0.25">
      <c r="A580" s="78">
        <v>45995</v>
      </c>
      <c r="B580" s="79" t="s">
        <v>664</v>
      </c>
      <c r="C580" s="80" t="s">
        <v>1773</v>
      </c>
      <c r="D580" s="81" t="s">
        <v>702</v>
      </c>
      <c r="E580" s="26" t="s">
        <v>703</v>
      </c>
      <c r="F580" s="82">
        <v>10000</v>
      </c>
      <c r="G580" s="83" t="s">
        <v>622</v>
      </c>
      <c r="H580" s="84">
        <v>10000</v>
      </c>
      <c r="I580" s="80" t="s">
        <v>94</v>
      </c>
      <c r="J580" s="80"/>
      <c r="K580">
        <f t="shared" si="19"/>
        <v>1</v>
      </c>
      <c r="L580" t="str">
        <f>IF(I580="UGR","UGR",_xlfn.XLOOKUP(D580,Lookup!O:O,Lookup!N:N,0))</f>
        <v>Non FG</v>
      </c>
      <c r="M580">
        <f t="shared" si="20"/>
        <v>12</v>
      </c>
    </row>
    <row r="581" spans="1:13" hidden="1" x14ac:dyDescent="0.25">
      <c r="A581" s="78">
        <v>46000</v>
      </c>
      <c r="B581" s="79" t="s">
        <v>664</v>
      </c>
      <c r="C581" s="80" t="s">
        <v>1774</v>
      </c>
      <c r="D581" s="81" t="s">
        <v>702</v>
      </c>
      <c r="E581" s="26" t="s">
        <v>703</v>
      </c>
      <c r="F581" s="82">
        <v>10000</v>
      </c>
      <c r="G581" s="83" t="s">
        <v>622</v>
      </c>
      <c r="H581" s="84">
        <v>10000</v>
      </c>
      <c r="I581" s="80" t="s">
        <v>94</v>
      </c>
      <c r="J581" s="80"/>
      <c r="K581">
        <f t="shared" si="19"/>
        <v>1</v>
      </c>
      <c r="L581" t="str">
        <f>IF(I581="UGR","UGR",_xlfn.XLOOKUP(D581,Lookup!O:O,Lookup!N:N,0))</f>
        <v>Non FG</v>
      </c>
      <c r="M581">
        <f t="shared" si="20"/>
        <v>12</v>
      </c>
    </row>
    <row r="582" spans="1:13" hidden="1" x14ac:dyDescent="0.25">
      <c r="A582" s="78">
        <v>46001</v>
      </c>
      <c r="B582" s="79" t="s">
        <v>664</v>
      </c>
      <c r="C582" s="80" t="s">
        <v>1775</v>
      </c>
      <c r="D582" s="81" t="s">
        <v>702</v>
      </c>
      <c r="E582" s="26" t="s">
        <v>703</v>
      </c>
      <c r="F582" s="82">
        <v>10000</v>
      </c>
      <c r="G582" s="83" t="s">
        <v>622</v>
      </c>
      <c r="H582" s="84">
        <v>10000</v>
      </c>
      <c r="I582" s="80" t="s">
        <v>94</v>
      </c>
      <c r="J582" s="80"/>
      <c r="K582">
        <f t="shared" si="19"/>
        <v>1</v>
      </c>
      <c r="L582" t="str">
        <f>IF(I582="UGR","UGR",_xlfn.XLOOKUP(D582,Lookup!O:O,Lookup!N:N,0))</f>
        <v>Non FG</v>
      </c>
      <c r="M582">
        <f t="shared" si="20"/>
        <v>12</v>
      </c>
    </row>
    <row r="583" spans="1:13" hidden="1" x14ac:dyDescent="0.25">
      <c r="A583" s="78">
        <v>46003</v>
      </c>
      <c r="B583" s="79" t="s">
        <v>664</v>
      </c>
      <c r="C583" s="80" t="s">
        <v>1776</v>
      </c>
      <c r="D583" s="81" t="s">
        <v>702</v>
      </c>
      <c r="E583" s="26" t="s">
        <v>703</v>
      </c>
      <c r="F583" s="82">
        <v>10000</v>
      </c>
      <c r="G583" s="83" t="s">
        <v>622</v>
      </c>
      <c r="H583" s="84">
        <v>10000</v>
      </c>
      <c r="I583" s="80" t="s">
        <v>94</v>
      </c>
      <c r="J583" s="80"/>
      <c r="K583">
        <f t="shared" si="19"/>
        <v>1</v>
      </c>
      <c r="L583" t="str">
        <f>IF(I583="UGR","UGR",_xlfn.XLOOKUP(D583,Lookup!O:O,Lookup!N:N,0))</f>
        <v>Non FG</v>
      </c>
      <c r="M583">
        <f t="shared" si="20"/>
        <v>12</v>
      </c>
    </row>
    <row r="584" spans="1:13" hidden="1" x14ac:dyDescent="0.25">
      <c r="A584" s="78">
        <v>46009</v>
      </c>
      <c r="B584" s="79" t="s">
        <v>664</v>
      </c>
      <c r="C584" s="80" t="s">
        <v>1777</v>
      </c>
      <c r="D584" s="81" t="s">
        <v>702</v>
      </c>
      <c r="E584" s="26" t="s">
        <v>703</v>
      </c>
      <c r="F584" s="82">
        <v>2316</v>
      </c>
      <c r="G584" s="83" t="s">
        <v>622</v>
      </c>
      <c r="H584" s="84">
        <v>2316</v>
      </c>
      <c r="I584" s="80" t="s">
        <v>94</v>
      </c>
      <c r="J584" s="80"/>
      <c r="K584">
        <f t="shared" si="19"/>
        <v>1</v>
      </c>
      <c r="L584" t="str">
        <f>IF(I584="UGR","UGR",_xlfn.XLOOKUP(D584,Lookup!O:O,Lookup!N:N,0))</f>
        <v>Non FG</v>
      </c>
      <c r="M584">
        <f t="shared" si="20"/>
        <v>12</v>
      </c>
    </row>
    <row r="585" spans="1:13" hidden="1" x14ac:dyDescent="0.25">
      <c r="A585" s="78">
        <v>45972</v>
      </c>
      <c r="B585" s="79" t="s">
        <v>664</v>
      </c>
      <c r="C585" s="80" t="s">
        <v>1316</v>
      </c>
      <c r="D585" s="81" t="s">
        <v>677</v>
      </c>
      <c r="E585" s="26" t="s">
        <v>678</v>
      </c>
      <c r="F585" s="82">
        <v>10000</v>
      </c>
      <c r="G585" s="83" t="s">
        <v>622</v>
      </c>
      <c r="H585" s="84">
        <v>10000</v>
      </c>
      <c r="I585" s="80" t="s">
        <v>94</v>
      </c>
      <c r="J585" s="80"/>
      <c r="K585">
        <f t="shared" si="19"/>
        <v>1</v>
      </c>
      <c r="L585" t="str">
        <f>IF(I585="UGR","UGR",_xlfn.XLOOKUP(D585,Lookup!O:O,Lookup!N:N,0))</f>
        <v>Non FG</v>
      </c>
      <c r="M585">
        <f t="shared" si="20"/>
        <v>11</v>
      </c>
    </row>
    <row r="586" spans="1:13" hidden="1" x14ac:dyDescent="0.25">
      <c r="A586" s="78">
        <v>45973</v>
      </c>
      <c r="B586" s="79" t="s">
        <v>664</v>
      </c>
      <c r="C586" s="80" t="s">
        <v>1268</v>
      </c>
      <c r="D586" s="81" t="s">
        <v>677</v>
      </c>
      <c r="E586" s="26" t="s">
        <v>678</v>
      </c>
      <c r="F586" s="82">
        <v>10000</v>
      </c>
      <c r="G586" s="83" t="s">
        <v>622</v>
      </c>
      <c r="H586" s="84">
        <v>10000</v>
      </c>
      <c r="I586" s="80" t="s">
        <v>94</v>
      </c>
      <c r="J586" s="80"/>
      <c r="K586">
        <f t="shared" si="19"/>
        <v>1</v>
      </c>
      <c r="L586" t="str">
        <f>IF(I586="UGR","UGR",_xlfn.XLOOKUP(D586,Lookup!O:O,Lookup!N:N,0))</f>
        <v>Non FG</v>
      </c>
      <c r="M586">
        <f t="shared" si="20"/>
        <v>11</v>
      </c>
    </row>
    <row r="587" spans="1:13" hidden="1" x14ac:dyDescent="0.25">
      <c r="A587" s="78">
        <v>45978</v>
      </c>
      <c r="B587" s="79" t="s">
        <v>664</v>
      </c>
      <c r="C587" s="80" t="s">
        <v>1356</v>
      </c>
      <c r="D587" s="81" t="s">
        <v>677</v>
      </c>
      <c r="E587" s="26" t="s">
        <v>678</v>
      </c>
      <c r="F587" s="82">
        <v>10000</v>
      </c>
      <c r="G587" s="83" t="s">
        <v>622</v>
      </c>
      <c r="H587" s="84">
        <v>10000</v>
      </c>
      <c r="I587" s="80" t="s">
        <v>94</v>
      </c>
      <c r="J587" s="80"/>
      <c r="K587">
        <f t="shared" si="19"/>
        <v>1</v>
      </c>
      <c r="L587" t="str">
        <f>IF(I587="UGR","UGR",_xlfn.XLOOKUP(D587,Lookup!O:O,Lookup!N:N,0))</f>
        <v>Non FG</v>
      </c>
      <c r="M587">
        <f t="shared" si="20"/>
        <v>11</v>
      </c>
    </row>
    <row r="588" spans="1:13" hidden="1" x14ac:dyDescent="0.25">
      <c r="A588" s="78">
        <v>45980</v>
      </c>
      <c r="B588" s="79" t="s">
        <v>664</v>
      </c>
      <c r="C588" s="80" t="s">
        <v>1377</v>
      </c>
      <c r="D588" s="81" t="s">
        <v>677</v>
      </c>
      <c r="E588" s="26" t="s">
        <v>678</v>
      </c>
      <c r="F588" s="82">
        <v>10000</v>
      </c>
      <c r="G588" s="83" t="s">
        <v>622</v>
      </c>
      <c r="H588" s="84">
        <v>10000</v>
      </c>
      <c r="I588" s="80" t="s">
        <v>94</v>
      </c>
      <c r="J588" s="80"/>
      <c r="K588">
        <f t="shared" si="19"/>
        <v>1</v>
      </c>
      <c r="L588" t="str">
        <f>IF(I588="UGR","UGR",_xlfn.XLOOKUP(D588,Lookup!O:O,Lookup!N:N,0))</f>
        <v>Non FG</v>
      </c>
      <c r="M588">
        <f t="shared" si="20"/>
        <v>11</v>
      </c>
    </row>
    <row r="589" spans="1:13" hidden="1" x14ac:dyDescent="0.25">
      <c r="A589" s="78">
        <v>45985</v>
      </c>
      <c r="B589" s="79" t="s">
        <v>664</v>
      </c>
      <c r="C589" s="80" t="s">
        <v>1778</v>
      </c>
      <c r="D589" s="81" t="s">
        <v>677</v>
      </c>
      <c r="E589" s="26" t="s">
        <v>678</v>
      </c>
      <c r="F589" s="82">
        <v>10000</v>
      </c>
      <c r="G589" s="83" t="s">
        <v>622</v>
      </c>
      <c r="H589" s="84">
        <v>10000</v>
      </c>
      <c r="I589" s="80" t="s">
        <v>94</v>
      </c>
      <c r="J589" s="80"/>
      <c r="K589">
        <f t="shared" si="19"/>
        <v>1</v>
      </c>
      <c r="L589" t="str">
        <f>IF(I589="UGR","UGR",_xlfn.XLOOKUP(D589,Lookup!O:O,Lookup!N:N,0))</f>
        <v>Non FG</v>
      </c>
      <c r="M589">
        <f t="shared" si="20"/>
        <v>11</v>
      </c>
    </row>
    <row r="590" spans="1:13" hidden="1" x14ac:dyDescent="0.25">
      <c r="A590" s="78">
        <v>45987</v>
      </c>
      <c r="B590" s="79" t="s">
        <v>664</v>
      </c>
      <c r="C590" s="80" t="s">
        <v>1779</v>
      </c>
      <c r="D590" s="81" t="s">
        <v>677</v>
      </c>
      <c r="E590" s="26" t="s">
        <v>678</v>
      </c>
      <c r="F590" s="82">
        <v>10000</v>
      </c>
      <c r="G590" s="83" t="s">
        <v>622</v>
      </c>
      <c r="H590" s="84">
        <v>10000</v>
      </c>
      <c r="I590" s="80" t="s">
        <v>94</v>
      </c>
      <c r="J590" s="80"/>
      <c r="K590">
        <f t="shared" si="19"/>
        <v>1</v>
      </c>
      <c r="L590" t="str">
        <f>IF(I590="UGR","UGR",_xlfn.XLOOKUP(D590,Lookup!O:O,Lookup!N:N,0))</f>
        <v>Non FG</v>
      </c>
      <c r="M590">
        <f t="shared" si="20"/>
        <v>11</v>
      </c>
    </row>
    <row r="591" spans="1:13" hidden="1" x14ac:dyDescent="0.25">
      <c r="A591" s="78">
        <v>45999</v>
      </c>
      <c r="B591" s="79" t="s">
        <v>664</v>
      </c>
      <c r="C591" s="80" t="s">
        <v>1780</v>
      </c>
      <c r="D591" s="81" t="s">
        <v>677</v>
      </c>
      <c r="E591" s="26" t="s">
        <v>678</v>
      </c>
      <c r="F591" s="82">
        <v>10000</v>
      </c>
      <c r="G591" s="83" t="s">
        <v>622</v>
      </c>
      <c r="H591" s="84">
        <v>10000</v>
      </c>
      <c r="I591" s="80" t="s">
        <v>94</v>
      </c>
      <c r="J591" s="80"/>
      <c r="K591">
        <f t="shared" si="19"/>
        <v>1</v>
      </c>
      <c r="L591" t="str">
        <f>IF(I591="UGR","UGR",_xlfn.XLOOKUP(D591,Lookup!O:O,Lookup!N:N,0))</f>
        <v>Non FG</v>
      </c>
      <c r="M591">
        <f t="shared" si="20"/>
        <v>12</v>
      </c>
    </row>
    <row r="592" spans="1:13" hidden="1" x14ac:dyDescent="0.25">
      <c r="A592" s="78">
        <v>46001</v>
      </c>
      <c r="B592" s="79" t="s">
        <v>664</v>
      </c>
      <c r="C592" s="80" t="s">
        <v>1781</v>
      </c>
      <c r="D592" s="81" t="s">
        <v>677</v>
      </c>
      <c r="E592" s="26" t="s">
        <v>678</v>
      </c>
      <c r="F592" s="82">
        <v>10000</v>
      </c>
      <c r="G592" s="83" t="s">
        <v>622</v>
      </c>
      <c r="H592" s="84">
        <v>10000</v>
      </c>
      <c r="I592" s="80" t="s">
        <v>94</v>
      </c>
      <c r="J592" s="80"/>
      <c r="K592">
        <f t="shared" si="19"/>
        <v>1</v>
      </c>
      <c r="L592" t="str">
        <f>IF(I592="UGR","UGR",_xlfn.XLOOKUP(D592,Lookup!O:O,Lookup!N:N,0))</f>
        <v>Non FG</v>
      </c>
      <c r="M592">
        <f t="shared" si="20"/>
        <v>12</v>
      </c>
    </row>
    <row r="593" spans="1:13" hidden="1" x14ac:dyDescent="0.25">
      <c r="A593" s="78">
        <v>46003</v>
      </c>
      <c r="B593" s="79" t="s">
        <v>664</v>
      </c>
      <c r="C593" s="80" t="s">
        <v>1782</v>
      </c>
      <c r="D593" s="81" t="s">
        <v>677</v>
      </c>
      <c r="E593" s="26" t="s">
        <v>678</v>
      </c>
      <c r="F593" s="82">
        <v>10000</v>
      </c>
      <c r="G593" s="83" t="s">
        <v>622</v>
      </c>
      <c r="H593" s="84">
        <v>10000</v>
      </c>
      <c r="I593" s="80" t="s">
        <v>94</v>
      </c>
      <c r="J593" s="80"/>
      <c r="K593">
        <f t="shared" si="19"/>
        <v>1</v>
      </c>
      <c r="L593" t="str">
        <f>IF(I593="UGR","UGR",_xlfn.XLOOKUP(D593,Lookup!O:O,Lookup!N:N,0))</f>
        <v>Non FG</v>
      </c>
      <c r="M593">
        <f t="shared" si="20"/>
        <v>12</v>
      </c>
    </row>
    <row r="594" spans="1:13" hidden="1" x14ac:dyDescent="0.25">
      <c r="A594" s="78">
        <v>46007</v>
      </c>
      <c r="B594" s="79" t="s">
        <v>664</v>
      </c>
      <c r="C594" s="80" t="s">
        <v>1783</v>
      </c>
      <c r="D594" s="81" t="s">
        <v>677</v>
      </c>
      <c r="E594" s="26" t="s">
        <v>678</v>
      </c>
      <c r="F594" s="82">
        <v>10000</v>
      </c>
      <c r="G594" s="83" t="s">
        <v>622</v>
      </c>
      <c r="H594" s="84">
        <v>10000</v>
      </c>
      <c r="I594" s="80" t="s">
        <v>94</v>
      </c>
      <c r="J594" s="80"/>
      <c r="K594">
        <f t="shared" si="19"/>
        <v>1</v>
      </c>
      <c r="L594" t="str">
        <f>IF(I594="UGR","UGR",_xlfn.XLOOKUP(D594,Lookup!O:O,Lookup!N:N,0))</f>
        <v>Non FG</v>
      </c>
      <c r="M594">
        <f t="shared" si="20"/>
        <v>12</v>
      </c>
    </row>
    <row r="595" spans="1:13" hidden="1" x14ac:dyDescent="0.25">
      <c r="A595" s="78">
        <v>46007</v>
      </c>
      <c r="B595" s="79" t="s">
        <v>664</v>
      </c>
      <c r="C595" s="80" t="s">
        <v>1784</v>
      </c>
      <c r="D595" s="81" t="s">
        <v>677</v>
      </c>
      <c r="E595" s="26" t="s">
        <v>678</v>
      </c>
      <c r="F595" s="82">
        <v>10000</v>
      </c>
      <c r="G595" s="83" t="s">
        <v>622</v>
      </c>
      <c r="H595" s="84">
        <v>10000</v>
      </c>
      <c r="I595" s="80" t="s">
        <v>94</v>
      </c>
      <c r="J595" s="80"/>
      <c r="K595">
        <f t="shared" si="19"/>
        <v>1</v>
      </c>
      <c r="L595" t="str">
        <f>IF(I595="UGR","UGR",_xlfn.XLOOKUP(D595,Lookup!O:O,Lookup!N:N,0))</f>
        <v>Non FG</v>
      </c>
      <c r="M595">
        <f t="shared" si="20"/>
        <v>12</v>
      </c>
    </row>
    <row r="596" spans="1:13" hidden="1" x14ac:dyDescent="0.25">
      <c r="A596" s="78">
        <v>46009</v>
      </c>
      <c r="B596" s="79" t="s">
        <v>664</v>
      </c>
      <c r="C596" s="80" t="s">
        <v>1785</v>
      </c>
      <c r="D596" s="81" t="s">
        <v>677</v>
      </c>
      <c r="E596" s="26" t="s">
        <v>678</v>
      </c>
      <c r="F596" s="82">
        <v>4962</v>
      </c>
      <c r="G596" s="83" t="s">
        <v>622</v>
      </c>
      <c r="H596" s="84">
        <v>4962</v>
      </c>
      <c r="I596" s="80" t="s">
        <v>94</v>
      </c>
      <c r="J596" s="80"/>
      <c r="K596">
        <f t="shared" si="19"/>
        <v>1</v>
      </c>
      <c r="L596" t="str">
        <f>IF(I596="UGR","UGR",_xlfn.XLOOKUP(D596,Lookup!O:O,Lookup!N:N,0))</f>
        <v>Non FG</v>
      </c>
      <c r="M596">
        <f t="shared" si="20"/>
        <v>12</v>
      </c>
    </row>
    <row r="597" spans="1:13" hidden="1" x14ac:dyDescent="0.25">
      <c r="A597" s="78">
        <v>45973</v>
      </c>
      <c r="B597" s="79" t="s">
        <v>664</v>
      </c>
      <c r="C597" s="80" t="s">
        <v>1330</v>
      </c>
      <c r="D597" s="81" t="s">
        <v>710</v>
      </c>
      <c r="E597" s="26" t="s">
        <v>711</v>
      </c>
      <c r="F597" s="82">
        <v>10000</v>
      </c>
      <c r="G597" s="83" t="s">
        <v>622</v>
      </c>
      <c r="H597" s="84">
        <v>10000</v>
      </c>
      <c r="I597" s="80" t="s">
        <v>94</v>
      </c>
      <c r="J597" s="80"/>
      <c r="K597">
        <f t="shared" si="19"/>
        <v>1</v>
      </c>
      <c r="L597" t="str">
        <f>IF(I597="UGR","UGR",_xlfn.XLOOKUP(D597,Lookup!O:O,Lookup!N:N,0))</f>
        <v>Non FG</v>
      </c>
      <c r="M597">
        <f t="shared" si="20"/>
        <v>11</v>
      </c>
    </row>
    <row r="598" spans="1:13" hidden="1" x14ac:dyDescent="0.25">
      <c r="A598" s="78">
        <v>45978</v>
      </c>
      <c r="B598" s="79" t="s">
        <v>664</v>
      </c>
      <c r="C598" s="80" t="s">
        <v>1357</v>
      </c>
      <c r="D598" s="81" t="s">
        <v>710</v>
      </c>
      <c r="E598" s="26" t="s">
        <v>711</v>
      </c>
      <c r="F598" s="82">
        <v>10000</v>
      </c>
      <c r="G598" s="83" t="s">
        <v>622</v>
      </c>
      <c r="H598" s="84">
        <v>10000</v>
      </c>
      <c r="I598" s="80" t="s">
        <v>94</v>
      </c>
      <c r="J598" s="80"/>
      <c r="K598">
        <f t="shared" si="19"/>
        <v>1</v>
      </c>
      <c r="L598" t="str">
        <f>IF(I598="UGR","UGR",_xlfn.XLOOKUP(D598,Lookup!O:O,Lookup!N:N,0))</f>
        <v>Non FG</v>
      </c>
      <c r="M598">
        <f t="shared" si="20"/>
        <v>11</v>
      </c>
    </row>
    <row r="599" spans="1:13" hidden="1" x14ac:dyDescent="0.25">
      <c r="A599" s="78">
        <v>45980</v>
      </c>
      <c r="B599" s="79" t="s">
        <v>664</v>
      </c>
      <c r="C599" s="80" t="s">
        <v>1378</v>
      </c>
      <c r="D599" s="81" t="s">
        <v>710</v>
      </c>
      <c r="E599" s="26" t="s">
        <v>711</v>
      </c>
      <c r="F599" s="82">
        <v>10000</v>
      </c>
      <c r="G599" s="83" t="s">
        <v>622</v>
      </c>
      <c r="H599" s="84">
        <v>10000</v>
      </c>
      <c r="I599" s="80" t="s">
        <v>94</v>
      </c>
      <c r="J599" s="80"/>
      <c r="K599">
        <f t="shared" si="19"/>
        <v>1</v>
      </c>
      <c r="L599" t="str">
        <f>IF(I599="UGR","UGR",_xlfn.XLOOKUP(D599,Lookup!O:O,Lookup!N:N,0))</f>
        <v>Non FG</v>
      </c>
      <c r="M599">
        <f t="shared" si="20"/>
        <v>11</v>
      </c>
    </row>
    <row r="600" spans="1:13" hidden="1" x14ac:dyDescent="0.25">
      <c r="A600" s="78">
        <v>45985</v>
      </c>
      <c r="B600" s="79" t="s">
        <v>664</v>
      </c>
      <c r="C600" s="80" t="s">
        <v>1786</v>
      </c>
      <c r="D600" s="81" t="s">
        <v>710</v>
      </c>
      <c r="E600" s="26" t="s">
        <v>711</v>
      </c>
      <c r="F600" s="82">
        <v>10000</v>
      </c>
      <c r="G600" s="83" t="s">
        <v>622</v>
      </c>
      <c r="H600" s="84">
        <v>10000</v>
      </c>
      <c r="I600" s="80" t="s">
        <v>94</v>
      </c>
      <c r="J600" s="80"/>
      <c r="K600">
        <f t="shared" si="19"/>
        <v>1</v>
      </c>
      <c r="L600" t="str">
        <f>IF(I600="UGR","UGR",_xlfn.XLOOKUP(D600,Lookup!O:O,Lookup!N:N,0))</f>
        <v>Non FG</v>
      </c>
      <c r="M600">
        <f t="shared" si="20"/>
        <v>11</v>
      </c>
    </row>
    <row r="601" spans="1:13" hidden="1" x14ac:dyDescent="0.25">
      <c r="A601" s="78">
        <v>45987</v>
      </c>
      <c r="B601" s="79" t="s">
        <v>664</v>
      </c>
      <c r="C601" s="80" t="s">
        <v>1787</v>
      </c>
      <c r="D601" s="81" t="s">
        <v>710</v>
      </c>
      <c r="E601" s="26" t="s">
        <v>711</v>
      </c>
      <c r="F601" s="82">
        <v>10000</v>
      </c>
      <c r="G601" s="83" t="s">
        <v>622</v>
      </c>
      <c r="H601" s="84">
        <v>10000</v>
      </c>
      <c r="I601" s="80" t="s">
        <v>94</v>
      </c>
      <c r="J601" s="80"/>
      <c r="K601">
        <f t="shared" si="19"/>
        <v>1</v>
      </c>
      <c r="L601" t="str">
        <f>IF(I601="UGR","UGR",_xlfn.XLOOKUP(D601,Lookup!O:O,Lookup!N:N,0))</f>
        <v>Non FG</v>
      </c>
      <c r="M601">
        <f t="shared" si="20"/>
        <v>11</v>
      </c>
    </row>
    <row r="602" spans="1:13" hidden="1" x14ac:dyDescent="0.25">
      <c r="A602" s="78">
        <v>45993</v>
      </c>
      <c r="B602" s="79" t="s">
        <v>664</v>
      </c>
      <c r="C602" s="80" t="s">
        <v>1788</v>
      </c>
      <c r="D602" s="81" t="s">
        <v>710</v>
      </c>
      <c r="E602" s="26" t="s">
        <v>711</v>
      </c>
      <c r="F602" s="82">
        <v>10000</v>
      </c>
      <c r="G602" s="83" t="s">
        <v>622</v>
      </c>
      <c r="H602" s="84">
        <v>10000</v>
      </c>
      <c r="I602" s="80" t="s">
        <v>94</v>
      </c>
      <c r="J602" s="80"/>
      <c r="K602">
        <f t="shared" si="19"/>
        <v>1</v>
      </c>
      <c r="L602" t="str">
        <f>IF(I602="UGR","UGR",_xlfn.XLOOKUP(D602,Lookup!O:O,Lookup!N:N,0))</f>
        <v>Non FG</v>
      </c>
      <c r="M602">
        <f t="shared" si="20"/>
        <v>12</v>
      </c>
    </row>
    <row r="603" spans="1:13" hidden="1" x14ac:dyDescent="0.25">
      <c r="A603" s="78">
        <v>46001</v>
      </c>
      <c r="B603" s="79" t="s">
        <v>664</v>
      </c>
      <c r="C603" s="80" t="s">
        <v>1789</v>
      </c>
      <c r="D603" s="81" t="s">
        <v>710</v>
      </c>
      <c r="E603" s="26" t="s">
        <v>711</v>
      </c>
      <c r="F603" s="82">
        <v>10000</v>
      </c>
      <c r="G603" s="83" t="s">
        <v>622</v>
      </c>
      <c r="H603" s="84">
        <v>10000</v>
      </c>
      <c r="I603" s="80" t="s">
        <v>94</v>
      </c>
      <c r="J603" s="80"/>
      <c r="K603">
        <f t="shared" si="19"/>
        <v>1</v>
      </c>
      <c r="L603" t="str">
        <f>IF(I603="UGR","UGR",_xlfn.XLOOKUP(D603,Lookup!O:O,Lookup!N:N,0))</f>
        <v>Non FG</v>
      </c>
      <c r="M603">
        <f t="shared" si="20"/>
        <v>12</v>
      </c>
    </row>
    <row r="604" spans="1:13" hidden="1" x14ac:dyDescent="0.25">
      <c r="A604" s="78">
        <v>46003</v>
      </c>
      <c r="B604" s="79" t="s">
        <v>664</v>
      </c>
      <c r="C604" s="80" t="s">
        <v>1790</v>
      </c>
      <c r="D604" s="81" t="s">
        <v>710</v>
      </c>
      <c r="E604" s="26" t="s">
        <v>711</v>
      </c>
      <c r="F604" s="82">
        <v>10000</v>
      </c>
      <c r="G604" s="83" t="s">
        <v>622</v>
      </c>
      <c r="H604" s="84">
        <v>10000</v>
      </c>
      <c r="I604" s="80" t="s">
        <v>94</v>
      </c>
      <c r="J604" s="80"/>
      <c r="K604">
        <f t="shared" si="19"/>
        <v>1</v>
      </c>
      <c r="L604" t="str">
        <f>IF(I604="UGR","UGR",_xlfn.XLOOKUP(D604,Lookup!O:O,Lookup!N:N,0))</f>
        <v>Non FG</v>
      </c>
      <c r="M604">
        <f t="shared" si="20"/>
        <v>12</v>
      </c>
    </row>
    <row r="605" spans="1:13" hidden="1" x14ac:dyDescent="0.25">
      <c r="A605" s="78">
        <v>46003</v>
      </c>
      <c r="B605" s="79" t="s">
        <v>664</v>
      </c>
      <c r="C605" s="80" t="s">
        <v>1791</v>
      </c>
      <c r="D605" s="81" t="s">
        <v>710</v>
      </c>
      <c r="E605" s="26" t="s">
        <v>711</v>
      </c>
      <c r="F605" s="82">
        <v>10000</v>
      </c>
      <c r="G605" s="83" t="s">
        <v>622</v>
      </c>
      <c r="H605" s="84">
        <v>10000</v>
      </c>
      <c r="I605" s="80" t="s">
        <v>94</v>
      </c>
      <c r="J605" s="80"/>
      <c r="K605">
        <f t="shared" si="19"/>
        <v>1</v>
      </c>
      <c r="L605" t="str">
        <f>IF(I605="UGR","UGR",_xlfn.XLOOKUP(D605,Lookup!O:O,Lookup!N:N,0))</f>
        <v>Non FG</v>
      </c>
      <c r="M605">
        <f t="shared" si="20"/>
        <v>12</v>
      </c>
    </row>
    <row r="606" spans="1:13" hidden="1" x14ac:dyDescent="0.25">
      <c r="A606" s="78">
        <v>46007</v>
      </c>
      <c r="B606" s="79" t="s">
        <v>664</v>
      </c>
      <c r="C606" s="80" t="s">
        <v>1792</v>
      </c>
      <c r="D606" s="81" t="s">
        <v>710</v>
      </c>
      <c r="E606" s="26" t="s">
        <v>711</v>
      </c>
      <c r="F606" s="82">
        <v>10000</v>
      </c>
      <c r="G606" s="83" t="s">
        <v>622</v>
      </c>
      <c r="H606" s="84">
        <v>10000</v>
      </c>
      <c r="I606" s="80" t="s">
        <v>94</v>
      </c>
      <c r="J606" s="80"/>
      <c r="K606">
        <f t="shared" si="19"/>
        <v>1</v>
      </c>
      <c r="L606" t="str">
        <f>IF(I606="UGR","UGR",_xlfn.XLOOKUP(D606,Lookup!O:O,Lookup!N:N,0))</f>
        <v>Non FG</v>
      </c>
      <c r="M606">
        <f t="shared" si="20"/>
        <v>12</v>
      </c>
    </row>
    <row r="607" spans="1:13" hidden="1" x14ac:dyDescent="0.25">
      <c r="A607" s="78">
        <v>46009</v>
      </c>
      <c r="B607" s="79" t="s">
        <v>664</v>
      </c>
      <c r="C607" s="80" t="s">
        <v>1793</v>
      </c>
      <c r="D607" s="81" t="s">
        <v>710</v>
      </c>
      <c r="E607" s="26" t="s">
        <v>711</v>
      </c>
      <c r="F607" s="82">
        <v>4956</v>
      </c>
      <c r="G607" s="83" t="s">
        <v>622</v>
      </c>
      <c r="H607" s="84">
        <v>4956</v>
      </c>
      <c r="I607" s="80" t="s">
        <v>94</v>
      </c>
      <c r="J607" s="80"/>
      <c r="K607">
        <f t="shared" si="19"/>
        <v>1</v>
      </c>
      <c r="L607" t="str">
        <f>IF(I607="UGR","UGR",_xlfn.XLOOKUP(D607,Lookup!O:O,Lookup!N:N,0))</f>
        <v>Non FG</v>
      </c>
      <c r="M607">
        <f t="shared" si="20"/>
        <v>12</v>
      </c>
    </row>
    <row r="608" spans="1:13" hidden="1" x14ac:dyDescent="0.25">
      <c r="A608" s="78">
        <v>46027</v>
      </c>
      <c r="B608" s="79" t="s">
        <v>664</v>
      </c>
      <c r="C608" s="80" t="s">
        <v>1794</v>
      </c>
      <c r="D608" s="81" t="s">
        <v>1795</v>
      </c>
      <c r="E608" s="26" t="s">
        <v>725</v>
      </c>
      <c r="F608" s="82">
        <v>10000</v>
      </c>
      <c r="G608" s="83" t="s">
        <v>622</v>
      </c>
      <c r="H608" s="84">
        <v>10000</v>
      </c>
      <c r="I608" s="80" t="s">
        <v>94</v>
      </c>
      <c r="J608" s="80"/>
      <c r="K608">
        <f t="shared" si="19"/>
        <v>1</v>
      </c>
      <c r="L608" t="str">
        <f>IF(I608="UGR","UGR",_xlfn.XLOOKUP(D608,Lookup!O:O,Lookup!N:N,0))</f>
        <v>Non FG</v>
      </c>
      <c r="M608">
        <f t="shared" si="20"/>
        <v>1</v>
      </c>
    </row>
    <row r="609" spans="1:13" hidden="1" x14ac:dyDescent="0.25">
      <c r="A609" s="78">
        <v>46029</v>
      </c>
      <c r="B609" s="79" t="s">
        <v>664</v>
      </c>
      <c r="C609" s="80" t="s">
        <v>1796</v>
      </c>
      <c r="D609" s="81" t="s">
        <v>1795</v>
      </c>
      <c r="E609" s="26" t="s">
        <v>725</v>
      </c>
      <c r="F609" s="82">
        <v>10000</v>
      </c>
      <c r="G609" s="83" t="s">
        <v>622</v>
      </c>
      <c r="H609" s="84">
        <v>10000</v>
      </c>
      <c r="I609" s="80" t="s">
        <v>94</v>
      </c>
      <c r="J609" s="80"/>
      <c r="K609">
        <f t="shared" si="19"/>
        <v>1</v>
      </c>
      <c r="L609" t="str">
        <f>IF(I609="UGR","UGR",_xlfn.XLOOKUP(D609,Lookup!O:O,Lookup!N:N,0))</f>
        <v>Non FG</v>
      </c>
      <c r="M609">
        <f t="shared" si="20"/>
        <v>1</v>
      </c>
    </row>
    <row r="610" spans="1:13" hidden="1" x14ac:dyDescent="0.25">
      <c r="A610" s="78">
        <v>46035</v>
      </c>
      <c r="B610" s="79" t="s">
        <v>664</v>
      </c>
      <c r="C610" s="80" t="s">
        <v>1797</v>
      </c>
      <c r="D610" s="81" t="s">
        <v>1795</v>
      </c>
      <c r="E610" s="26" t="s">
        <v>725</v>
      </c>
      <c r="F610" s="82">
        <v>10000</v>
      </c>
      <c r="G610" s="83" t="s">
        <v>622</v>
      </c>
      <c r="H610" s="84">
        <v>10000</v>
      </c>
      <c r="I610" s="80" t="s">
        <v>94</v>
      </c>
      <c r="J610" s="80"/>
      <c r="K610">
        <f t="shared" si="19"/>
        <v>1</v>
      </c>
      <c r="L610" t="str">
        <f>IF(I610="UGR","UGR",_xlfn.XLOOKUP(D610,Lookup!O:O,Lookup!N:N,0))</f>
        <v>Non FG</v>
      </c>
      <c r="M610">
        <f t="shared" si="20"/>
        <v>1</v>
      </c>
    </row>
    <row r="611" spans="1:13" hidden="1" x14ac:dyDescent="0.25">
      <c r="A611" s="78">
        <v>46037</v>
      </c>
      <c r="B611" s="79" t="s">
        <v>664</v>
      </c>
      <c r="C611" s="80" t="s">
        <v>1798</v>
      </c>
      <c r="D611" s="81" t="s">
        <v>1795</v>
      </c>
      <c r="E611" s="26" t="s">
        <v>725</v>
      </c>
      <c r="F611" s="82">
        <v>10000</v>
      </c>
      <c r="G611" s="83" t="s">
        <v>622</v>
      </c>
      <c r="H611" s="84">
        <v>10000</v>
      </c>
      <c r="I611" s="80" t="s">
        <v>94</v>
      </c>
      <c r="J611" s="80"/>
      <c r="K611">
        <f t="shared" si="19"/>
        <v>1</v>
      </c>
      <c r="L611" t="str">
        <f>IF(I611="UGR","UGR",_xlfn.XLOOKUP(D611,Lookup!O:O,Lookup!N:N,0))</f>
        <v>Non FG</v>
      </c>
      <c r="M611">
        <f t="shared" si="20"/>
        <v>1</v>
      </c>
    </row>
    <row r="612" spans="1:13" hidden="1" x14ac:dyDescent="0.25">
      <c r="A612" s="78">
        <v>46042</v>
      </c>
      <c r="B612" s="79" t="s">
        <v>664</v>
      </c>
      <c r="C612" s="80" t="s">
        <v>1799</v>
      </c>
      <c r="D612" s="81" t="s">
        <v>1795</v>
      </c>
      <c r="E612" s="26" t="s">
        <v>725</v>
      </c>
      <c r="F612" s="82">
        <v>10000</v>
      </c>
      <c r="G612" s="83" t="s">
        <v>622</v>
      </c>
      <c r="H612" s="84">
        <v>10000</v>
      </c>
      <c r="I612" s="80" t="s">
        <v>94</v>
      </c>
      <c r="J612" s="80"/>
      <c r="K612">
        <f t="shared" si="19"/>
        <v>1</v>
      </c>
      <c r="L612" t="str">
        <f>IF(I612="UGR","UGR",_xlfn.XLOOKUP(D612,Lookup!O:O,Lookup!N:N,0))</f>
        <v>Non FG</v>
      </c>
      <c r="M612">
        <f t="shared" si="20"/>
        <v>1</v>
      </c>
    </row>
    <row r="613" spans="1:13" hidden="1" x14ac:dyDescent="0.25">
      <c r="A613" s="78">
        <v>46044</v>
      </c>
      <c r="B613" s="79" t="s">
        <v>664</v>
      </c>
      <c r="C613" s="80" t="s">
        <v>1800</v>
      </c>
      <c r="D613" s="81" t="s">
        <v>1795</v>
      </c>
      <c r="E613" s="26" t="s">
        <v>725</v>
      </c>
      <c r="F613" s="82">
        <v>10000</v>
      </c>
      <c r="G613" s="83" t="s">
        <v>622</v>
      </c>
      <c r="H613" s="84">
        <v>10000</v>
      </c>
      <c r="I613" s="80" t="s">
        <v>94</v>
      </c>
      <c r="J613" s="80"/>
      <c r="K613">
        <f t="shared" si="19"/>
        <v>1</v>
      </c>
      <c r="L613" t="str">
        <f>IF(I613="UGR","UGR",_xlfn.XLOOKUP(D613,Lookup!O:O,Lookup!N:N,0))</f>
        <v>Non FG</v>
      </c>
      <c r="M613">
        <f t="shared" si="20"/>
        <v>1</v>
      </c>
    </row>
    <row r="614" spans="1:13" hidden="1" x14ac:dyDescent="0.25">
      <c r="A614" s="78">
        <v>46049</v>
      </c>
      <c r="B614" s="79" t="s">
        <v>664</v>
      </c>
      <c r="C614" s="80" t="s">
        <v>1801</v>
      </c>
      <c r="D614" s="81" t="s">
        <v>1795</v>
      </c>
      <c r="E614" s="26" t="s">
        <v>725</v>
      </c>
      <c r="F614" s="82">
        <v>10000</v>
      </c>
      <c r="G614" s="83" t="s">
        <v>622</v>
      </c>
      <c r="H614" s="84">
        <v>10000</v>
      </c>
      <c r="I614" s="80" t="s">
        <v>94</v>
      </c>
      <c r="J614" s="80"/>
      <c r="K614">
        <f t="shared" si="19"/>
        <v>1</v>
      </c>
      <c r="L614" t="str">
        <f>IF(I614="UGR","UGR",_xlfn.XLOOKUP(D614,Lookup!O:O,Lookup!N:N,0))</f>
        <v>Non FG</v>
      </c>
      <c r="M614">
        <f t="shared" si="20"/>
        <v>1</v>
      </c>
    </row>
    <row r="615" spans="1:13" hidden="1" x14ac:dyDescent="0.25">
      <c r="A615" s="78">
        <v>46027</v>
      </c>
      <c r="B615" s="79" t="s">
        <v>664</v>
      </c>
      <c r="C615" s="80" t="s">
        <v>1802</v>
      </c>
      <c r="D615" s="81" t="s">
        <v>1803</v>
      </c>
      <c r="E615" s="26" t="s">
        <v>697</v>
      </c>
      <c r="F615" s="82">
        <v>10000</v>
      </c>
      <c r="G615" s="83" t="s">
        <v>622</v>
      </c>
      <c r="H615" s="84">
        <v>10000</v>
      </c>
      <c r="I615" s="80" t="s">
        <v>94</v>
      </c>
      <c r="J615" s="80"/>
      <c r="K615">
        <f t="shared" si="19"/>
        <v>1</v>
      </c>
      <c r="L615" t="str">
        <f>IF(I615="UGR","UGR",_xlfn.XLOOKUP(D615,Lookup!O:O,Lookup!N:N,0))</f>
        <v>Non FG</v>
      </c>
      <c r="M615">
        <f t="shared" si="20"/>
        <v>1</v>
      </c>
    </row>
    <row r="616" spans="1:13" hidden="1" x14ac:dyDescent="0.25">
      <c r="A616" s="78">
        <v>46029</v>
      </c>
      <c r="B616" s="79" t="s">
        <v>664</v>
      </c>
      <c r="C616" s="80" t="s">
        <v>1804</v>
      </c>
      <c r="D616" s="81" t="s">
        <v>1803</v>
      </c>
      <c r="E616" s="26" t="s">
        <v>697</v>
      </c>
      <c r="F616" s="82">
        <v>10000</v>
      </c>
      <c r="G616" s="83" t="s">
        <v>622</v>
      </c>
      <c r="H616" s="84">
        <v>10000</v>
      </c>
      <c r="I616" s="80" t="s">
        <v>94</v>
      </c>
      <c r="J616" s="80"/>
      <c r="K616">
        <f t="shared" si="19"/>
        <v>1</v>
      </c>
      <c r="L616" t="str">
        <f>IF(I616="UGR","UGR",_xlfn.XLOOKUP(D616,Lookup!O:O,Lookup!N:N,0))</f>
        <v>Non FG</v>
      </c>
      <c r="M616">
        <f t="shared" si="20"/>
        <v>1</v>
      </c>
    </row>
    <row r="617" spans="1:13" hidden="1" x14ac:dyDescent="0.25">
      <c r="A617" s="78">
        <v>46035</v>
      </c>
      <c r="B617" s="79" t="s">
        <v>664</v>
      </c>
      <c r="C617" s="80" t="s">
        <v>1805</v>
      </c>
      <c r="D617" s="81" t="s">
        <v>1803</v>
      </c>
      <c r="E617" s="26" t="s">
        <v>697</v>
      </c>
      <c r="F617" s="82">
        <v>10000</v>
      </c>
      <c r="G617" s="83" t="s">
        <v>622</v>
      </c>
      <c r="H617" s="84">
        <v>10000</v>
      </c>
      <c r="I617" s="80" t="s">
        <v>94</v>
      </c>
      <c r="J617" s="80"/>
      <c r="K617">
        <f t="shared" si="19"/>
        <v>1</v>
      </c>
      <c r="L617" t="str">
        <f>IF(I617="UGR","UGR",_xlfn.XLOOKUP(D617,Lookup!O:O,Lookup!N:N,0))</f>
        <v>Non FG</v>
      </c>
      <c r="M617">
        <f t="shared" si="20"/>
        <v>1</v>
      </c>
    </row>
    <row r="618" spans="1:13" hidden="1" x14ac:dyDescent="0.25">
      <c r="A618" s="78">
        <v>46037</v>
      </c>
      <c r="B618" s="79" t="s">
        <v>664</v>
      </c>
      <c r="C618" s="80" t="s">
        <v>1806</v>
      </c>
      <c r="D618" s="81" t="s">
        <v>1803</v>
      </c>
      <c r="E618" s="26" t="s">
        <v>697</v>
      </c>
      <c r="F618" s="82">
        <v>10000</v>
      </c>
      <c r="G618" s="83" t="s">
        <v>622</v>
      </c>
      <c r="H618" s="84">
        <v>10000</v>
      </c>
      <c r="I618" s="80" t="s">
        <v>94</v>
      </c>
      <c r="J618" s="80"/>
      <c r="K618">
        <f t="shared" si="19"/>
        <v>1</v>
      </c>
      <c r="L618" t="str">
        <f>IF(I618="UGR","UGR",_xlfn.XLOOKUP(D618,Lookup!O:O,Lookup!N:N,0))</f>
        <v>Non FG</v>
      </c>
      <c r="M618">
        <f t="shared" si="20"/>
        <v>1</v>
      </c>
    </row>
    <row r="619" spans="1:13" hidden="1" x14ac:dyDescent="0.25">
      <c r="A619" s="78">
        <v>46042</v>
      </c>
      <c r="B619" s="79" t="s">
        <v>664</v>
      </c>
      <c r="C619" s="80" t="s">
        <v>1807</v>
      </c>
      <c r="D619" s="81" t="s">
        <v>1803</v>
      </c>
      <c r="E619" s="26" t="s">
        <v>697</v>
      </c>
      <c r="F619" s="82">
        <v>10000</v>
      </c>
      <c r="G619" s="83" t="s">
        <v>622</v>
      </c>
      <c r="H619" s="84">
        <v>10000</v>
      </c>
      <c r="I619" s="80" t="s">
        <v>94</v>
      </c>
      <c r="J619" s="80"/>
      <c r="K619">
        <f t="shared" si="19"/>
        <v>1</v>
      </c>
      <c r="L619" t="str">
        <f>IF(I619="UGR","UGR",_xlfn.XLOOKUP(D619,Lookup!O:O,Lookup!N:N,0))</f>
        <v>Non FG</v>
      </c>
      <c r="M619">
        <f t="shared" si="20"/>
        <v>1</v>
      </c>
    </row>
    <row r="620" spans="1:13" hidden="1" x14ac:dyDescent="0.25">
      <c r="A620" s="78">
        <v>46044</v>
      </c>
      <c r="B620" s="79" t="s">
        <v>664</v>
      </c>
      <c r="C620" s="80" t="s">
        <v>1808</v>
      </c>
      <c r="D620" s="81" t="s">
        <v>1803</v>
      </c>
      <c r="E620" s="26" t="s">
        <v>697</v>
      </c>
      <c r="F620" s="82">
        <v>10000</v>
      </c>
      <c r="G620" s="83" t="s">
        <v>622</v>
      </c>
      <c r="H620" s="84">
        <v>10000</v>
      </c>
      <c r="I620" s="80" t="s">
        <v>94</v>
      </c>
      <c r="J620" s="80"/>
      <c r="K620">
        <f t="shared" si="19"/>
        <v>1</v>
      </c>
      <c r="L620" t="str">
        <f>IF(I620="UGR","UGR",_xlfn.XLOOKUP(D620,Lookup!O:O,Lookup!N:N,0))</f>
        <v>Non FG</v>
      </c>
      <c r="M620">
        <f t="shared" si="20"/>
        <v>1</v>
      </c>
    </row>
    <row r="621" spans="1:13" hidden="1" x14ac:dyDescent="0.25">
      <c r="A621" s="78">
        <v>46049</v>
      </c>
      <c r="B621" s="79" t="s">
        <v>664</v>
      </c>
      <c r="C621" s="80" t="s">
        <v>1809</v>
      </c>
      <c r="D621" s="81" t="s">
        <v>1803</v>
      </c>
      <c r="E621" s="26" t="s">
        <v>697</v>
      </c>
      <c r="F621" s="82">
        <v>10000</v>
      </c>
      <c r="G621" s="83" t="s">
        <v>622</v>
      </c>
      <c r="H621" s="84">
        <v>10000</v>
      </c>
      <c r="I621" s="80" t="s">
        <v>94</v>
      </c>
      <c r="J621" s="80"/>
      <c r="K621">
        <f t="shared" si="19"/>
        <v>1</v>
      </c>
      <c r="L621" t="str">
        <f>IF(I621="UGR","UGR",_xlfn.XLOOKUP(D621,Lookup!O:O,Lookup!N:N,0))</f>
        <v>Non FG</v>
      </c>
      <c r="M621">
        <f t="shared" si="20"/>
        <v>1</v>
      </c>
    </row>
    <row r="622" spans="1:13" hidden="1" x14ac:dyDescent="0.25">
      <c r="A622" s="78">
        <v>46027</v>
      </c>
      <c r="B622" s="79" t="s">
        <v>664</v>
      </c>
      <c r="C622" s="80" t="s">
        <v>1810</v>
      </c>
      <c r="D622" s="81" t="s">
        <v>1811</v>
      </c>
      <c r="E622" s="26" t="s">
        <v>666</v>
      </c>
      <c r="F622" s="82">
        <v>10000</v>
      </c>
      <c r="G622" s="83" t="s">
        <v>622</v>
      </c>
      <c r="H622" s="84">
        <v>10000</v>
      </c>
      <c r="I622" s="80" t="s">
        <v>94</v>
      </c>
      <c r="J622" s="80"/>
      <c r="K622">
        <f t="shared" si="19"/>
        <v>1</v>
      </c>
      <c r="L622" t="str">
        <f>IF(I622="UGR","UGR",_xlfn.XLOOKUP(D622,Lookup!O:O,Lookup!N:N,0))</f>
        <v>Non FG</v>
      </c>
      <c r="M622">
        <f t="shared" si="20"/>
        <v>1</v>
      </c>
    </row>
    <row r="623" spans="1:13" hidden="1" x14ac:dyDescent="0.25">
      <c r="A623" s="78">
        <v>46029</v>
      </c>
      <c r="B623" s="79" t="s">
        <v>664</v>
      </c>
      <c r="C623" s="80" t="s">
        <v>1812</v>
      </c>
      <c r="D623" s="81" t="s">
        <v>1811</v>
      </c>
      <c r="E623" s="26" t="s">
        <v>666</v>
      </c>
      <c r="F623" s="82">
        <v>10000</v>
      </c>
      <c r="G623" s="83" t="s">
        <v>622</v>
      </c>
      <c r="H623" s="84">
        <v>10000</v>
      </c>
      <c r="I623" s="80" t="s">
        <v>94</v>
      </c>
      <c r="J623" s="80"/>
      <c r="K623">
        <f t="shared" si="19"/>
        <v>1</v>
      </c>
      <c r="L623" t="str">
        <f>IF(I623="UGR","UGR",_xlfn.XLOOKUP(D623,Lookup!O:O,Lookup!N:N,0))</f>
        <v>Non FG</v>
      </c>
      <c r="M623">
        <f t="shared" si="20"/>
        <v>1</v>
      </c>
    </row>
    <row r="624" spans="1:13" hidden="1" x14ac:dyDescent="0.25">
      <c r="A624" s="78">
        <v>46035</v>
      </c>
      <c r="B624" s="79" t="s">
        <v>664</v>
      </c>
      <c r="C624" s="80" t="s">
        <v>1813</v>
      </c>
      <c r="D624" s="81" t="s">
        <v>1811</v>
      </c>
      <c r="E624" s="26" t="s">
        <v>666</v>
      </c>
      <c r="F624" s="82">
        <v>10000</v>
      </c>
      <c r="G624" s="83" t="s">
        <v>622</v>
      </c>
      <c r="H624" s="84">
        <v>10000</v>
      </c>
      <c r="I624" s="80" t="s">
        <v>94</v>
      </c>
      <c r="J624" s="80"/>
      <c r="K624">
        <f t="shared" si="19"/>
        <v>1</v>
      </c>
      <c r="L624" t="str">
        <f>IF(I624="UGR","UGR",_xlfn.XLOOKUP(D624,Lookup!O:O,Lookup!N:N,0))</f>
        <v>Non FG</v>
      </c>
      <c r="M624">
        <f t="shared" si="20"/>
        <v>1</v>
      </c>
    </row>
    <row r="625" spans="1:13" hidden="1" x14ac:dyDescent="0.25">
      <c r="A625" s="78">
        <v>46037</v>
      </c>
      <c r="B625" s="79" t="s">
        <v>664</v>
      </c>
      <c r="C625" s="80" t="s">
        <v>1814</v>
      </c>
      <c r="D625" s="81" t="s">
        <v>1811</v>
      </c>
      <c r="E625" s="26" t="s">
        <v>666</v>
      </c>
      <c r="F625" s="82">
        <v>10000</v>
      </c>
      <c r="G625" s="83" t="s">
        <v>622</v>
      </c>
      <c r="H625" s="84">
        <v>10000</v>
      </c>
      <c r="I625" s="80" t="s">
        <v>94</v>
      </c>
      <c r="J625" s="80"/>
      <c r="K625">
        <f t="shared" si="19"/>
        <v>1</v>
      </c>
      <c r="L625" t="str">
        <f>IF(I625="UGR","UGR",_xlfn.XLOOKUP(D625,Lookup!O:O,Lookup!N:N,0))</f>
        <v>Non FG</v>
      </c>
      <c r="M625">
        <f t="shared" si="20"/>
        <v>1</v>
      </c>
    </row>
    <row r="626" spans="1:13" hidden="1" x14ac:dyDescent="0.25">
      <c r="A626" s="78">
        <v>46042</v>
      </c>
      <c r="B626" s="79" t="s">
        <v>664</v>
      </c>
      <c r="C626" s="80" t="s">
        <v>1815</v>
      </c>
      <c r="D626" s="81" t="s">
        <v>1811</v>
      </c>
      <c r="E626" s="26" t="s">
        <v>666</v>
      </c>
      <c r="F626" s="82">
        <v>10000</v>
      </c>
      <c r="G626" s="83" t="s">
        <v>622</v>
      </c>
      <c r="H626" s="84">
        <v>10000</v>
      </c>
      <c r="I626" s="80" t="s">
        <v>94</v>
      </c>
      <c r="J626" s="80"/>
      <c r="K626">
        <f t="shared" si="19"/>
        <v>1</v>
      </c>
      <c r="L626" t="str">
        <f>IF(I626="UGR","UGR",_xlfn.XLOOKUP(D626,Lookup!O:O,Lookup!N:N,0))</f>
        <v>Non FG</v>
      </c>
      <c r="M626">
        <f t="shared" si="20"/>
        <v>1</v>
      </c>
    </row>
    <row r="627" spans="1:13" hidden="1" x14ac:dyDescent="0.25">
      <c r="A627" s="78">
        <v>46044</v>
      </c>
      <c r="B627" s="79" t="s">
        <v>664</v>
      </c>
      <c r="C627" s="80" t="s">
        <v>1816</v>
      </c>
      <c r="D627" s="81" t="s">
        <v>1811</v>
      </c>
      <c r="E627" s="26" t="s">
        <v>666</v>
      </c>
      <c r="F627" s="82">
        <v>10000</v>
      </c>
      <c r="G627" s="83" t="s">
        <v>622</v>
      </c>
      <c r="H627" s="84">
        <v>10000</v>
      </c>
      <c r="I627" s="80" t="s">
        <v>94</v>
      </c>
      <c r="J627" s="80"/>
      <c r="K627">
        <f t="shared" si="19"/>
        <v>1</v>
      </c>
      <c r="L627" t="str">
        <f>IF(I627="UGR","UGR",_xlfn.XLOOKUP(D627,Lookup!O:O,Lookup!N:N,0))</f>
        <v>Non FG</v>
      </c>
      <c r="M627">
        <f t="shared" si="20"/>
        <v>1</v>
      </c>
    </row>
    <row r="628" spans="1:13" hidden="1" x14ac:dyDescent="0.25">
      <c r="A628" s="78">
        <v>46049</v>
      </c>
      <c r="B628" s="79" t="s">
        <v>664</v>
      </c>
      <c r="C628" s="80" t="s">
        <v>1817</v>
      </c>
      <c r="D628" s="81" t="s">
        <v>1811</v>
      </c>
      <c r="E628" s="26" t="s">
        <v>666</v>
      </c>
      <c r="F628" s="82">
        <v>10000</v>
      </c>
      <c r="G628" s="83" t="s">
        <v>622</v>
      </c>
      <c r="H628" s="84">
        <v>10000</v>
      </c>
      <c r="I628" s="80" t="s">
        <v>94</v>
      </c>
      <c r="J628" s="80"/>
      <c r="K628">
        <f t="shared" si="19"/>
        <v>1</v>
      </c>
      <c r="L628" t="str">
        <f>IF(I628="UGR","UGR",_xlfn.XLOOKUP(D628,Lookup!O:O,Lookup!N:N,0))</f>
        <v>Non FG</v>
      </c>
      <c r="M628">
        <f t="shared" si="20"/>
        <v>1</v>
      </c>
    </row>
    <row r="629" spans="1:13" hidden="1" x14ac:dyDescent="0.25">
      <c r="A629" s="78">
        <v>46027</v>
      </c>
      <c r="B629" s="79" t="s">
        <v>664</v>
      </c>
      <c r="C629" s="80" t="s">
        <v>1818</v>
      </c>
      <c r="D629" s="81" t="s">
        <v>1819</v>
      </c>
      <c r="E629" s="26" t="s">
        <v>705</v>
      </c>
      <c r="F629" s="82">
        <v>10000</v>
      </c>
      <c r="G629" s="83" t="s">
        <v>622</v>
      </c>
      <c r="H629" s="84">
        <v>10000</v>
      </c>
      <c r="I629" s="80" t="s">
        <v>94</v>
      </c>
      <c r="J629" s="80"/>
      <c r="K629">
        <f t="shared" si="19"/>
        <v>1</v>
      </c>
      <c r="L629" t="str">
        <f>IF(I629="UGR","UGR",_xlfn.XLOOKUP(D629,Lookup!O:O,Lookup!N:N,0))</f>
        <v>Non FG</v>
      </c>
      <c r="M629">
        <f t="shared" si="20"/>
        <v>1</v>
      </c>
    </row>
    <row r="630" spans="1:13" hidden="1" x14ac:dyDescent="0.25">
      <c r="A630" s="78">
        <v>46029</v>
      </c>
      <c r="B630" s="79" t="s">
        <v>664</v>
      </c>
      <c r="C630" s="80" t="s">
        <v>1820</v>
      </c>
      <c r="D630" s="81" t="s">
        <v>1819</v>
      </c>
      <c r="E630" s="26" t="s">
        <v>705</v>
      </c>
      <c r="F630" s="82">
        <v>10000</v>
      </c>
      <c r="G630" s="83" t="s">
        <v>622</v>
      </c>
      <c r="H630" s="84">
        <v>10000</v>
      </c>
      <c r="I630" s="80" t="s">
        <v>94</v>
      </c>
      <c r="J630" s="80"/>
      <c r="K630">
        <f t="shared" si="19"/>
        <v>1</v>
      </c>
      <c r="L630" t="str">
        <f>IF(I630="UGR","UGR",_xlfn.XLOOKUP(D630,Lookup!O:O,Lookup!N:N,0))</f>
        <v>Non FG</v>
      </c>
      <c r="M630">
        <f t="shared" si="20"/>
        <v>1</v>
      </c>
    </row>
    <row r="631" spans="1:13" hidden="1" x14ac:dyDescent="0.25">
      <c r="A631" s="78">
        <v>46035</v>
      </c>
      <c r="B631" s="79" t="s">
        <v>664</v>
      </c>
      <c r="C631" s="80" t="s">
        <v>1821</v>
      </c>
      <c r="D631" s="81" t="s">
        <v>1819</v>
      </c>
      <c r="E631" s="26" t="s">
        <v>705</v>
      </c>
      <c r="F631" s="82">
        <v>10000</v>
      </c>
      <c r="G631" s="83" t="s">
        <v>622</v>
      </c>
      <c r="H631" s="84">
        <v>10000</v>
      </c>
      <c r="I631" s="80" t="s">
        <v>94</v>
      </c>
      <c r="J631" s="80"/>
      <c r="K631">
        <f t="shared" si="19"/>
        <v>1</v>
      </c>
      <c r="L631" t="str">
        <f>IF(I631="UGR","UGR",_xlfn.XLOOKUP(D631,Lookup!O:O,Lookup!N:N,0))</f>
        <v>Non FG</v>
      </c>
      <c r="M631">
        <f t="shared" si="20"/>
        <v>1</v>
      </c>
    </row>
    <row r="632" spans="1:13" hidden="1" x14ac:dyDescent="0.25">
      <c r="A632" s="78">
        <v>46037</v>
      </c>
      <c r="B632" s="79" t="s">
        <v>664</v>
      </c>
      <c r="C632" s="80" t="s">
        <v>1822</v>
      </c>
      <c r="D632" s="81" t="s">
        <v>1819</v>
      </c>
      <c r="E632" s="26" t="s">
        <v>705</v>
      </c>
      <c r="F632" s="82">
        <v>10000</v>
      </c>
      <c r="G632" s="83" t="s">
        <v>622</v>
      </c>
      <c r="H632" s="84">
        <v>10000</v>
      </c>
      <c r="I632" s="80" t="s">
        <v>94</v>
      </c>
      <c r="J632" s="80"/>
      <c r="K632">
        <f t="shared" si="19"/>
        <v>1</v>
      </c>
      <c r="L632" t="str">
        <f>IF(I632="UGR","UGR",_xlfn.XLOOKUP(D632,Lookup!O:O,Lookup!N:N,0))</f>
        <v>Non FG</v>
      </c>
      <c r="M632">
        <f t="shared" si="20"/>
        <v>1</v>
      </c>
    </row>
    <row r="633" spans="1:13" hidden="1" x14ac:dyDescent="0.25">
      <c r="A633" s="78">
        <v>46042</v>
      </c>
      <c r="B633" s="79" t="s">
        <v>664</v>
      </c>
      <c r="C633" s="80" t="s">
        <v>1823</v>
      </c>
      <c r="D633" s="81" t="s">
        <v>1819</v>
      </c>
      <c r="E633" s="26" t="s">
        <v>705</v>
      </c>
      <c r="F633" s="82">
        <v>10000</v>
      </c>
      <c r="G633" s="83" t="s">
        <v>622</v>
      </c>
      <c r="H633" s="84">
        <v>10000</v>
      </c>
      <c r="I633" s="80" t="s">
        <v>94</v>
      </c>
      <c r="J633" s="80"/>
      <c r="K633">
        <f t="shared" si="19"/>
        <v>1</v>
      </c>
      <c r="L633" t="str">
        <f>IF(I633="UGR","UGR",_xlfn.XLOOKUP(D633,Lookup!O:O,Lookup!N:N,0))</f>
        <v>Non FG</v>
      </c>
      <c r="M633">
        <f t="shared" si="20"/>
        <v>1</v>
      </c>
    </row>
    <row r="634" spans="1:13" hidden="1" x14ac:dyDescent="0.25">
      <c r="A634" s="78">
        <v>46044</v>
      </c>
      <c r="B634" s="79" t="s">
        <v>664</v>
      </c>
      <c r="C634" s="80" t="s">
        <v>1824</v>
      </c>
      <c r="D634" s="81" t="s">
        <v>1819</v>
      </c>
      <c r="E634" s="26" t="s">
        <v>705</v>
      </c>
      <c r="F634" s="82">
        <v>10000</v>
      </c>
      <c r="G634" s="83" t="s">
        <v>622</v>
      </c>
      <c r="H634" s="84">
        <v>10000</v>
      </c>
      <c r="I634" s="80" t="s">
        <v>94</v>
      </c>
      <c r="J634" s="80"/>
      <c r="K634">
        <f t="shared" si="19"/>
        <v>1</v>
      </c>
      <c r="L634" t="str">
        <f>IF(I634="UGR","UGR",_xlfn.XLOOKUP(D634,Lookup!O:O,Lookup!N:N,0))</f>
        <v>Non FG</v>
      </c>
      <c r="M634">
        <f t="shared" si="20"/>
        <v>1</v>
      </c>
    </row>
    <row r="635" spans="1:13" hidden="1" x14ac:dyDescent="0.25">
      <c r="A635" s="78">
        <v>46049</v>
      </c>
      <c r="B635" s="79" t="s">
        <v>664</v>
      </c>
      <c r="C635" s="80" t="s">
        <v>1825</v>
      </c>
      <c r="D635" s="81" t="s">
        <v>1819</v>
      </c>
      <c r="E635" s="26" t="s">
        <v>705</v>
      </c>
      <c r="F635" s="82">
        <v>10000</v>
      </c>
      <c r="G635" s="83" t="s">
        <v>622</v>
      </c>
      <c r="H635" s="84">
        <v>10000</v>
      </c>
      <c r="I635" s="80" t="s">
        <v>94</v>
      </c>
      <c r="J635" s="80"/>
      <c r="K635">
        <f t="shared" si="19"/>
        <v>1</v>
      </c>
      <c r="L635" t="str">
        <f>IF(I635="UGR","UGR",_xlfn.XLOOKUP(D635,Lookup!O:O,Lookup!N:N,0))</f>
        <v>Non FG</v>
      </c>
      <c r="M635">
        <f t="shared" si="20"/>
        <v>1</v>
      </c>
    </row>
    <row r="636" spans="1:13" hidden="1" x14ac:dyDescent="0.25">
      <c r="A636" s="78">
        <v>46028</v>
      </c>
      <c r="B636" s="79" t="s">
        <v>664</v>
      </c>
      <c r="C636" s="80" t="s">
        <v>1826</v>
      </c>
      <c r="D636" s="81" t="s">
        <v>1827</v>
      </c>
      <c r="E636" s="26" t="s">
        <v>668</v>
      </c>
      <c r="F636" s="82">
        <v>10000</v>
      </c>
      <c r="G636" s="83" t="s">
        <v>622</v>
      </c>
      <c r="H636" s="84">
        <v>10000</v>
      </c>
      <c r="I636" s="80" t="s">
        <v>94</v>
      </c>
      <c r="J636" s="80"/>
      <c r="K636">
        <f t="shared" si="19"/>
        <v>1</v>
      </c>
      <c r="L636" t="str">
        <f>IF(I636="UGR","UGR",_xlfn.XLOOKUP(D636,Lookup!O:O,Lookup!N:N,0))</f>
        <v>Non FG</v>
      </c>
      <c r="M636">
        <f t="shared" si="20"/>
        <v>1</v>
      </c>
    </row>
    <row r="637" spans="1:13" hidden="1" x14ac:dyDescent="0.25">
      <c r="A637" s="78">
        <v>46034</v>
      </c>
      <c r="B637" s="79" t="s">
        <v>664</v>
      </c>
      <c r="C637" s="80" t="s">
        <v>1828</v>
      </c>
      <c r="D637" s="81" t="s">
        <v>1827</v>
      </c>
      <c r="E637" s="26" t="s">
        <v>668</v>
      </c>
      <c r="F637" s="82">
        <v>10000</v>
      </c>
      <c r="G637" s="83" t="s">
        <v>622</v>
      </c>
      <c r="H637" s="84">
        <v>10000</v>
      </c>
      <c r="I637" s="80" t="s">
        <v>94</v>
      </c>
      <c r="J637" s="80"/>
      <c r="K637">
        <f t="shared" si="19"/>
        <v>1</v>
      </c>
      <c r="L637" t="str">
        <f>IF(I637="UGR","UGR",_xlfn.XLOOKUP(D637,Lookup!O:O,Lookup!N:N,0))</f>
        <v>Non FG</v>
      </c>
      <c r="M637">
        <f t="shared" si="20"/>
        <v>1</v>
      </c>
    </row>
    <row r="638" spans="1:13" hidden="1" x14ac:dyDescent="0.25">
      <c r="A638" s="78">
        <v>46036</v>
      </c>
      <c r="B638" s="79" t="s">
        <v>664</v>
      </c>
      <c r="C638" s="80" t="s">
        <v>1829</v>
      </c>
      <c r="D638" s="81" t="s">
        <v>1827</v>
      </c>
      <c r="E638" s="26" t="s">
        <v>668</v>
      </c>
      <c r="F638" s="82">
        <v>10000</v>
      </c>
      <c r="G638" s="83" t="s">
        <v>622</v>
      </c>
      <c r="H638" s="84">
        <v>10000</v>
      </c>
      <c r="I638" s="80" t="s">
        <v>94</v>
      </c>
      <c r="J638" s="80"/>
      <c r="K638">
        <f t="shared" si="19"/>
        <v>1</v>
      </c>
      <c r="L638" t="str">
        <f>IF(I638="UGR","UGR",_xlfn.XLOOKUP(D638,Lookup!O:O,Lookup!N:N,0))</f>
        <v>Non FG</v>
      </c>
      <c r="M638">
        <f t="shared" si="20"/>
        <v>1</v>
      </c>
    </row>
    <row r="639" spans="1:13" hidden="1" x14ac:dyDescent="0.25">
      <c r="A639" s="78">
        <v>46041</v>
      </c>
      <c r="B639" s="79" t="s">
        <v>664</v>
      </c>
      <c r="C639" s="80" t="s">
        <v>1830</v>
      </c>
      <c r="D639" s="81" t="s">
        <v>1827</v>
      </c>
      <c r="E639" s="26" t="s">
        <v>668</v>
      </c>
      <c r="F639" s="82">
        <v>10000</v>
      </c>
      <c r="G639" s="83" t="s">
        <v>622</v>
      </c>
      <c r="H639" s="84">
        <v>10000</v>
      </c>
      <c r="I639" s="80" t="s">
        <v>94</v>
      </c>
      <c r="J639" s="80"/>
      <c r="K639">
        <f t="shared" si="19"/>
        <v>1</v>
      </c>
      <c r="L639" t="str">
        <f>IF(I639="UGR","UGR",_xlfn.XLOOKUP(D639,Lookup!O:O,Lookup!N:N,0))</f>
        <v>Non FG</v>
      </c>
      <c r="M639">
        <f t="shared" si="20"/>
        <v>1</v>
      </c>
    </row>
    <row r="640" spans="1:13" hidden="1" x14ac:dyDescent="0.25">
      <c r="A640" s="78">
        <v>46043</v>
      </c>
      <c r="B640" s="79" t="s">
        <v>664</v>
      </c>
      <c r="C640" s="80" t="s">
        <v>1831</v>
      </c>
      <c r="D640" s="81" t="s">
        <v>1827</v>
      </c>
      <c r="E640" s="26" t="s">
        <v>668</v>
      </c>
      <c r="F640" s="82">
        <v>10000</v>
      </c>
      <c r="G640" s="83" t="s">
        <v>622</v>
      </c>
      <c r="H640" s="84">
        <v>10000</v>
      </c>
      <c r="I640" s="80" t="s">
        <v>94</v>
      </c>
      <c r="J640" s="80"/>
      <c r="K640">
        <f t="shared" si="19"/>
        <v>1</v>
      </c>
      <c r="L640" t="str">
        <f>IF(I640="UGR","UGR",_xlfn.XLOOKUP(D640,Lookup!O:O,Lookup!N:N,0))</f>
        <v>Non FG</v>
      </c>
      <c r="M640">
        <f t="shared" si="20"/>
        <v>1</v>
      </c>
    </row>
    <row r="641" spans="1:13" hidden="1" x14ac:dyDescent="0.25">
      <c r="A641" s="78">
        <v>46048</v>
      </c>
      <c r="B641" s="79" t="s">
        <v>664</v>
      </c>
      <c r="C641" s="80" t="s">
        <v>1832</v>
      </c>
      <c r="D641" s="81" t="s">
        <v>1827</v>
      </c>
      <c r="E641" s="26" t="s">
        <v>668</v>
      </c>
      <c r="F641" s="82">
        <v>10000</v>
      </c>
      <c r="G641" s="83" t="s">
        <v>622</v>
      </c>
      <c r="H641" s="84">
        <v>10000</v>
      </c>
      <c r="I641" s="80" t="s">
        <v>94</v>
      </c>
      <c r="J641" s="80"/>
      <c r="K641">
        <f t="shared" si="19"/>
        <v>1</v>
      </c>
      <c r="L641" t="str">
        <f>IF(I641="UGR","UGR",_xlfn.XLOOKUP(D641,Lookup!O:O,Lookup!N:N,0))</f>
        <v>Non FG</v>
      </c>
      <c r="M641">
        <f t="shared" si="20"/>
        <v>1</v>
      </c>
    </row>
    <row r="642" spans="1:13" hidden="1" x14ac:dyDescent="0.25">
      <c r="A642" s="78">
        <v>46051</v>
      </c>
      <c r="B642" s="79" t="s">
        <v>664</v>
      </c>
      <c r="C642" s="80" t="s">
        <v>1833</v>
      </c>
      <c r="D642" s="81" t="s">
        <v>1827</v>
      </c>
      <c r="E642" s="26" t="s">
        <v>668</v>
      </c>
      <c r="F642" s="82">
        <v>10000</v>
      </c>
      <c r="G642" s="83" t="s">
        <v>622</v>
      </c>
      <c r="H642" s="84">
        <v>10000</v>
      </c>
      <c r="I642" s="80" t="s">
        <v>94</v>
      </c>
      <c r="J642" s="80"/>
      <c r="K642">
        <f t="shared" si="19"/>
        <v>1</v>
      </c>
      <c r="L642" t="str">
        <f>IF(I642="UGR","UGR",_xlfn.XLOOKUP(D642,Lookup!O:O,Lookup!N:N,0))</f>
        <v>Non FG</v>
      </c>
      <c r="M642">
        <f t="shared" si="20"/>
        <v>1</v>
      </c>
    </row>
    <row r="643" spans="1:13" hidden="1" x14ac:dyDescent="0.25">
      <c r="A643" s="78">
        <v>46029</v>
      </c>
      <c r="B643" s="79" t="s">
        <v>664</v>
      </c>
      <c r="C643" s="80" t="s">
        <v>1834</v>
      </c>
      <c r="D643" s="81" t="s">
        <v>1835</v>
      </c>
      <c r="E643" s="26" t="s">
        <v>727</v>
      </c>
      <c r="F643" s="82">
        <v>10000</v>
      </c>
      <c r="G643" s="83" t="s">
        <v>622</v>
      </c>
      <c r="H643" s="84">
        <v>10000</v>
      </c>
      <c r="I643" s="80" t="s">
        <v>94</v>
      </c>
      <c r="J643" s="80"/>
      <c r="K643">
        <f t="shared" ref="K643:K706" si="21">IF(AND(B643=B642,C643=C642),0,1)</f>
        <v>1</v>
      </c>
      <c r="L643" t="str">
        <f>IF(I643="UGR","UGR",_xlfn.XLOOKUP(D643,Lookup!O:O,Lookup!N:N,0))</f>
        <v>Non FG</v>
      </c>
      <c r="M643">
        <f t="shared" ref="M643:M706" si="22">MONTH(A643)</f>
        <v>1</v>
      </c>
    </row>
    <row r="644" spans="1:13" hidden="1" x14ac:dyDescent="0.25">
      <c r="A644" s="78">
        <v>46034</v>
      </c>
      <c r="B644" s="79" t="s">
        <v>664</v>
      </c>
      <c r="C644" s="80" t="s">
        <v>1836</v>
      </c>
      <c r="D644" s="81" t="s">
        <v>1835</v>
      </c>
      <c r="E644" s="26" t="s">
        <v>727</v>
      </c>
      <c r="F644" s="82">
        <v>10000</v>
      </c>
      <c r="G644" s="83" t="s">
        <v>622</v>
      </c>
      <c r="H644" s="84">
        <v>10000</v>
      </c>
      <c r="I644" s="80" t="s">
        <v>94</v>
      </c>
      <c r="J644" s="80"/>
      <c r="K644">
        <f t="shared" si="21"/>
        <v>1</v>
      </c>
      <c r="L644" t="str">
        <f>IF(I644="UGR","UGR",_xlfn.XLOOKUP(D644,Lookup!O:O,Lookup!N:N,0))</f>
        <v>Non FG</v>
      </c>
      <c r="M644">
        <f t="shared" si="22"/>
        <v>1</v>
      </c>
    </row>
    <row r="645" spans="1:13" hidden="1" x14ac:dyDescent="0.25">
      <c r="A645" s="78">
        <v>46036</v>
      </c>
      <c r="B645" s="79" t="s">
        <v>664</v>
      </c>
      <c r="C645" s="80" t="s">
        <v>1837</v>
      </c>
      <c r="D645" s="81" t="s">
        <v>1835</v>
      </c>
      <c r="E645" s="26" t="s">
        <v>727</v>
      </c>
      <c r="F645" s="82">
        <v>10000</v>
      </c>
      <c r="G645" s="83" t="s">
        <v>622</v>
      </c>
      <c r="H645" s="84">
        <v>10000</v>
      </c>
      <c r="I645" s="80" t="s">
        <v>94</v>
      </c>
      <c r="J645" s="80"/>
      <c r="K645">
        <f t="shared" si="21"/>
        <v>1</v>
      </c>
      <c r="L645" t="str">
        <f>IF(I645="UGR","UGR",_xlfn.XLOOKUP(D645,Lookup!O:O,Lookup!N:N,0))</f>
        <v>Non FG</v>
      </c>
      <c r="M645">
        <f t="shared" si="22"/>
        <v>1</v>
      </c>
    </row>
    <row r="646" spans="1:13" hidden="1" x14ac:dyDescent="0.25">
      <c r="A646" s="78">
        <v>46041</v>
      </c>
      <c r="B646" s="79" t="s">
        <v>664</v>
      </c>
      <c r="C646" s="80" t="s">
        <v>1838</v>
      </c>
      <c r="D646" s="81" t="s">
        <v>1835</v>
      </c>
      <c r="E646" s="26" t="s">
        <v>727</v>
      </c>
      <c r="F646" s="82">
        <v>10000</v>
      </c>
      <c r="G646" s="83" t="s">
        <v>622</v>
      </c>
      <c r="H646" s="84">
        <v>10000</v>
      </c>
      <c r="I646" s="80" t="s">
        <v>94</v>
      </c>
      <c r="J646" s="80"/>
      <c r="K646">
        <f t="shared" si="21"/>
        <v>1</v>
      </c>
      <c r="L646" t="str">
        <f>IF(I646="UGR","UGR",_xlfn.XLOOKUP(D646,Lookup!O:O,Lookup!N:N,0))</f>
        <v>Non FG</v>
      </c>
      <c r="M646">
        <f t="shared" si="22"/>
        <v>1</v>
      </c>
    </row>
    <row r="647" spans="1:13" hidden="1" x14ac:dyDescent="0.25">
      <c r="A647" s="78">
        <v>46043</v>
      </c>
      <c r="B647" s="79" t="s">
        <v>664</v>
      </c>
      <c r="C647" s="80" t="s">
        <v>1839</v>
      </c>
      <c r="D647" s="81" t="s">
        <v>1835</v>
      </c>
      <c r="E647" s="26" t="s">
        <v>727</v>
      </c>
      <c r="F647" s="82">
        <v>10000</v>
      </c>
      <c r="G647" s="83" t="s">
        <v>622</v>
      </c>
      <c r="H647" s="84">
        <v>10000</v>
      </c>
      <c r="I647" s="80" t="s">
        <v>94</v>
      </c>
      <c r="J647" s="80"/>
      <c r="K647">
        <f t="shared" si="21"/>
        <v>1</v>
      </c>
      <c r="L647" t="str">
        <f>IF(I647="UGR","UGR",_xlfn.XLOOKUP(D647,Lookup!O:O,Lookup!N:N,0))</f>
        <v>Non FG</v>
      </c>
      <c r="M647">
        <f t="shared" si="22"/>
        <v>1</v>
      </c>
    </row>
    <row r="648" spans="1:13" hidden="1" x14ac:dyDescent="0.25">
      <c r="A648" s="78">
        <v>46048</v>
      </c>
      <c r="B648" s="79" t="s">
        <v>664</v>
      </c>
      <c r="C648" s="80" t="s">
        <v>1840</v>
      </c>
      <c r="D648" s="81" t="s">
        <v>1835</v>
      </c>
      <c r="E648" s="26" t="s">
        <v>727</v>
      </c>
      <c r="F648" s="82">
        <v>10000</v>
      </c>
      <c r="G648" s="83" t="s">
        <v>622</v>
      </c>
      <c r="H648" s="84">
        <v>10000</v>
      </c>
      <c r="I648" s="80" t="s">
        <v>94</v>
      </c>
      <c r="J648" s="80"/>
      <c r="K648">
        <f t="shared" si="21"/>
        <v>1</v>
      </c>
      <c r="L648" t="str">
        <f>IF(I648="UGR","UGR",_xlfn.XLOOKUP(D648,Lookup!O:O,Lookup!N:N,0))</f>
        <v>Non FG</v>
      </c>
      <c r="M648">
        <f t="shared" si="22"/>
        <v>1</v>
      </c>
    </row>
    <row r="649" spans="1:13" hidden="1" x14ac:dyDescent="0.25">
      <c r="A649" s="78">
        <v>46051</v>
      </c>
      <c r="B649" s="79" t="s">
        <v>664</v>
      </c>
      <c r="C649" s="80" t="s">
        <v>1841</v>
      </c>
      <c r="D649" s="81" t="s">
        <v>1835</v>
      </c>
      <c r="E649" s="26" t="s">
        <v>727</v>
      </c>
      <c r="F649" s="82">
        <v>10000</v>
      </c>
      <c r="G649" s="83" t="s">
        <v>622</v>
      </c>
      <c r="H649" s="84">
        <v>10000</v>
      </c>
      <c r="I649" s="80" t="s">
        <v>94</v>
      </c>
      <c r="J649" s="80"/>
      <c r="K649">
        <f t="shared" si="21"/>
        <v>1</v>
      </c>
      <c r="L649" t="str">
        <f>IF(I649="UGR","UGR",_xlfn.XLOOKUP(D649,Lookup!O:O,Lookup!N:N,0))</f>
        <v>Non FG</v>
      </c>
      <c r="M649">
        <f t="shared" si="22"/>
        <v>1</v>
      </c>
    </row>
    <row r="650" spans="1:13" hidden="1" x14ac:dyDescent="0.25">
      <c r="A650" s="78">
        <v>46029</v>
      </c>
      <c r="B650" s="79" t="s">
        <v>664</v>
      </c>
      <c r="C650" s="80" t="s">
        <v>1842</v>
      </c>
      <c r="D650" s="81" t="s">
        <v>1843</v>
      </c>
      <c r="E650" s="26" t="s">
        <v>743</v>
      </c>
      <c r="F650" s="82">
        <v>10000</v>
      </c>
      <c r="G650" s="83" t="s">
        <v>622</v>
      </c>
      <c r="H650" s="84">
        <v>10000</v>
      </c>
      <c r="I650" s="80" t="s">
        <v>94</v>
      </c>
      <c r="J650" s="80"/>
      <c r="K650">
        <f t="shared" si="21"/>
        <v>1</v>
      </c>
      <c r="L650" t="str">
        <f>IF(I650="UGR","UGR",_xlfn.XLOOKUP(D650,Lookup!O:O,Lookup!N:N,0))</f>
        <v>Non FG</v>
      </c>
      <c r="M650">
        <f t="shared" si="22"/>
        <v>1</v>
      </c>
    </row>
    <row r="651" spans="1:13" hidden="1" x14ac:dyDescent="0.25">
      <c r="A651" s="78">
        <v>46034</v>
      </c>
      <c r="B651" s="79" t="s">
        <v>664</v>
      </c>
      <c r="C651" s="80" t="s">
        <v>1844</v>
      </c>
      <c r="D651" s="81" t="s">
        <v>1843</v>
      </c>
      <c r="E651" s="26" t="s">
        <v>743</v>
      </c>
      <c r="F651" s="82">
        <v>10000</v>
      </c>
      <c r="G651" s="83" t="s">
        <v>622</v>
      </c>
      <c r="H651" s="84">
        <v>10000</v>
      </c>
      <c r="I651" s="80" t="s">
        <v>94</v>
      </c>
      <c r="J651" s="80"/>
      <c r="K651">
        <f t="shared" si="21"/>
        <v>1</v>
      </c>
      <c r="L651" t="str">
        <f>IF(I651="UGR","UGR",_xlfn.XLOOKUP(D651,Lookup!O:O,Lookup!N:N,0))</f>
        <v>Non FG</v>
      </c>
      <c r="M651">
        <f t="shared" si="22"/>
        <v>1</v>
      </c>
    </row>
    <row r="652" spans="1:13" hidden="1" x14ac:dyDescent="0.25">
      <c r="A652" s="78">
        <v>46036</v>
      </c>
      <c r="B652" s="79" t="s">
        <v>664</v>
      </c>
      <c r="C652" s="80" t="s">
        <v>1845</v>
      </c>
      <c r="D652" s="81" t="s">
        <v>1843</v>
      </c>
      <c r="E652" s="26" t="s">
        <v>743</v>
      </c>
      <c r="F652" s="82">
        <v>10000</v>
      </c>
      <c r="G652" s="83" t="s">
        <v>622</v>
      </c>
      <c r="H652" s="84">
        <v>10000</v>
      </c>
      <c r="I652" s="80" t="s">
        <v>94</v>
      </c>
      <c r="J652" s="80"/>
      <c r="K652">
        <f t="shared" si="21"/>
        <v>1</v>
      </c>
      <c r="L652" t="str">
        <f>IF(I652="UGR","UGR",_xlfn.XLOOKUP(D652,Lookup!O:O,Lookup!N:N,0))</f>
        <v>Non FG</v>
      </c>
      <c r="M652">
        <f t="shared" si="22"/>
        <v>1</v>
      </c>
    </row>
    <row r="653" spans="1:13" hidden="1" x14ac:dyDescent="0.25">
      <c r="A653" s="78">
        <v>46041</v>
      </c>
      <c r="B653" s="79" t="s">
        <v>664</v>
      </c>
      <c r="C653" s="80" t="s">
        <v>1846</v>
      </c>
      <c r="D653" s="81" t="s">
        <v>1843</v>
      </c>
      <c r="E653" s="26" t="s">
        <v>743</v>
      </c>
      <c r="F653" s="82">
        <v>10000</v>
      </c>
      <c r="G653" s="83" t="s">
        <v>622</v>
      </c>
      <c r="H653" s="84">
        <v>10000</v>
      </c>
      <c r="I653" s="80" t="s">
        <v>94</v>
      </c>
      <c r="J653" s="80"/>
      <c r="K653">
        <f t="shared" si="21"/>
        <v>1</v>
      </c>
      <c r="L653" t="str">
        <f>IF(I653="UGR","UGR",_xlfn.XLOOKUP(D653,Lookup!O:O,Lookup!N:N,0))</f>
        <v>Non FG</v>
      </c>
      <c r="M653">
        <f t="shared" si="22"/>
        <v>1</v>
      </c>
    </row>
    <row r="654" spans="1:13" hidden="1" x14ac:dyDescent="0.25">
      <c r="A654" s="78">
        <v>46043</v>
      </c>
      <c r="B654" s="79" t="s">
        <v>664</v>
      </c>
      <c r="C654" s="80" t="s">
        <v>1847</v>
      </c>
      <c r="D654" s="81" t="s">
        <v>1843</v>
      </c>
      <c r="E654" s="26" t="s">
        <v>743</v>
      </c>
      <c r="F654" s="82">
        <v>10000</v>
      </c>
      <c r="G654" s="83" t="s">
        <v>622</v>
      </c>
      <c r="H654" s="84">
        <v>10000</v>
      </c>
      <c r="I654" s="80" t="s">
        <v>94</v>
      </c>
      <c r="J654" s="80"/>
      <c r="K654">
        <f t="shared" si="21"/>
        <v>1</v>
      </c>
      <c r="L654" t="str">
        <f>IF(I654="UGR","UGR",_xlfn.XLOOKUP(D654,Lookup!O:O,Lookup!N:N,0))</f>
        <v>Non FG</v>
      </c>
      <c r="M654">
        <f t="shared" si="22"/>
        <v>1</v>
      </c>
    </row>
    <row r="655" spans="1:13" hidden="1" x14ac:dyDescent="0.25">
      <c r="A655" s="78">
        <v>46048</v>
      </c>
      <c r="B655" s="79" t="s">
        <v>664</v>
      </c>
      <c r="C655" s="80" t="s">
        <v>1848</v>
      </c>
      <c r="D655" s="81" t="s">
        <v>1843</v>
      </c>
      <c r="E655" s="26" t="s">
        <v>743</v>
      </c>
      <c r="F655" s="82">
        <v>10000</v>
      </c>
      <c r="G655" s="83" t="s">
        <v>622</v>
      </c>
      <c r="H655" s="84">
        <v>10000</v>
      </c>
      <c r="I655" s="80" t="s">
        <v>94</v>
      </c>
      <c r="J655" s="80"/>
      <c r="K655">
        <f t="shared" si="21"/>
        <v>1</v>
      </c>
      <c r="L655" t="str">
        <f>IF(I655="UGR","UGR",_xlfn.XLOOKUP(D655,Lookup!O:O,Lookup!N:N,0))</f>
        <v>Non FG</v>
      </c>
      <c r="M655">
        <f t="shared" si="22"/>
        <v>1</v>
      </c>
    </row>
    <row r="656" spans="1:13" hidden="1" x14ac:dyDescent="0.25">
      <c r="A656" s="78">
        <v>46051</v>
      </c>
      <c r="B656" s="79" t="s">
        <v>664</v>
      </c>
      <c r="C656" s="80" t="s">
        <v>1849</v>
      </c>
      <c r="D656" s="81" t="s">
        <v>1843</v>
      </c>
      <c r="E656" s="26" t="s">
        <v>743</v>
      </c>
      <c r="F656" s="82">
        <v>10000</v>
      </c>
      <c r="G656" s="83" t="s">
        <v>622</v>
      </c>
      <c r="H656" s="84">
        <v>10000</v>
      </c>
      <c r="I656" s="80" t="s">
        <v>94</v>
      </c>
      <c r="J656" s="80"/>
      <c r="K656">
        <f t="shared" si="21"/>
        <v>1</v>
      </c>
      <c r="L656" t="str">
        <f>IF(I656="UGR","UGR",_xlfn.XLOOKUP(D656,Lookup!O:O,Lookup!N:N,0))</f>
        <v>Non FG</v>
      </c>
      <c r="M656">
        <f t="shared" si="22"/>
        <v>1</v>
      </c>
    </row>
    <row r="657" spans="1:13" hidden="1" x14ac:dyDescent="0.25">
      <c r="A657" s="78">
        <v>46029</v>
      </c>
      <c r="B657" s="79" t="s">
        <v>664</v>
      </c>
      <c r="C657" s="80" t="s">
        <v>1850</v>
      </c>
      <c r="D657" s="81" t="s">
        <v>1851</v>
      </c>
      <c r="E657" s="26" t="s">
        <v>670</v>
      </c>
      <c r="F657" s="82">
        <v>10000</v>
      </c>
      <c r="G657" s="83" t="s">
        <v>622</v>
      </c>
      <c r="H657" s="84">
        <v>10000</v>
      </c>
      <c r="I657" s="80" t="s">
        <v>94</v>
      </c>
      <c r="J657" s="80"/>
      <c r="K657">
        <f t="shared" si="21"/>
        <v>1</v>
      </c>
      <c r="L657" t="str">
        <f>IF(I657="UGR","UGR",_xlfn.XLOOKUP(D657,Lookup!O:O,Lookup!N:N,0))</f>
        <v>Non FG</v>
      </c>
      <c r="M657">
        <f t="shared" si="22"/>
        <v>1</v>
      </c>
    </row>
    <row r="658" spans="1:13" hidden="1" x14ac:dyDescent="0.25">
      <c r="A658" s="78">
        <v>46034</v>
      </c>
      <c r="B658" s="79" t="s">
        <v>664</v>
      </c>
      <c r="C658" s="80" t="s">
        <v>1852</v>
      </c>
      <c r="D658" s="81" t="s">
        <v>1851</v>
      </c>
      <c r="E658" s="26" t="s">
        <v>670</v>
      </c>
      <c r="F658" s="82">
        <v>10000</v>
      </c>
      <c r="G658" s="83" t="s">
        <v>622</v>
      </c>
      <c r="H658" s="84">
        <v>10000</v>
      </c>
      <c r="I658" s="80" t="s">
        <v>94</v>
      </c>
      <c r="J658" s="80"/>
      <c r="K658">
        <f t="shared" si="21"/>
        <v>1</v>
      </c>
      <c r="L658" t="str">
        <f>IF(I658="UGR","UGR",_xlfn.XLOOKUP(D658,Lookup!O:O,Lookup!N:N,0))</f>
        <v>Non FG</v>
      </c>
      <c r="M658">
        <f t="shared" si="22"/>
        <v>1</v>
      </c>
    </row>
    <row r="659" spans="1:13" hidden="1" x14ac:dyDescent="0.25">
      <c r="A659" s="78">
        <v>46036</v>
      </c>
      <c r="B659" s="79" t="s">
        <v>664</v>
      </c>
      <c r="C659" s="80" t="s">
        <v>1853</v>
      </c>
      <c r="D659" s="81" t="s">
        <v>1851</v>
      </c>
      <c r="E659" s="26" t="s">
        <v>670</v>
      </c>
      <c r="F659" s="82">
        <v>10000</v>
      </c>
      <c r="G659" s="83" t="s">
        <v>622</v>
      </c>
      <c r="H659" s="84">
        <v>10000</v>
      </c>
      <c r="I659" s="80" t="s">
        <v>94</v>
      </c>
      <c r="J659" s="80"/>
      <c r="K659">
        <f t="shared" si="21"/>
        <v>1</v>
      </c>
      <c r="L659" t="str">
        <f>IF(I659="UGR","UGR",_xlfn.XLOOKUP(D659,Lookup!O:O,Lookup!N:N,0))</f>
        <v>Non FG</v>
      </c>
      <c r="M659">
        <f t="shared" si="22"/>
        <v>1</v>
      </c>
    </row>
    <row r="660" spans="1:13" hidden="1" x14ac:dyDescent="0.25">
      <c r="A660" s="78">
        <v>46041</v>
      </c>
      <c r="B660" s="79" t="s">
        <v>664</v>
      </c>
      <c r="C660" s="80" t="s">
        <v>1854</v>
      </c>
      <c r="D660" s="81" t="s">
        <v>1851</v>
      </c>
      <c r="E660" s="26" t="s">
        <v>670</v>
      </c>
      <c r="F660" s="82">
        <v>10000</v>
      </c>
      <c r="G660" s="83" t="s">
        <v>622</v>
      </c>
      <c r="H660" s="84">
        <v>10000</v>
      </c>
      <c r="I660" s="80" t="s">
        <v>94</v>
      </c>
      <c r="J660" s="80"/>
      <c r="K660">
        <f t="shared" si="21"/>
        <v>1</v>
      </c>
      <c r="L660" t="str">
        <f>IF(I660="UGR","UGR",_xlfn.XLOOKUP(D660,Lookup!O:O,Lookup!N:N,0))</f>
        <v>Non FG</v>
      </c>
      <c r="M660">
        <f t="shared" si="22"/>
        <v>1</v>
      </c>
    </row>
    <row r="661" spans="1:13" hidden="1" x14ac:dyDescent="0.25">
      <c r="A661" s="78">
        <v>46043</v>
      </c>
      <c r="B661" s="79" t="s">
        <v>664</v>
      </c>
      <c r="C661" s="80" t="s">
        <v>1855</v>
      </c>
      <c r="D661" s="81" t="s">
        <v>1851</v>
      </c>
      <c r="E661" s="26" t="s">
        <v>670</v>
      </c>
      <c r="F661" s="82">
        <v>10000</v>
      </c>
      <c r="G661" s="83" t="s">
        <v>622</v>
      </c>
      <c r="H661" s="84">
        <v>10000</v>
      </c>
      <c r="I661" s="80" t="s">
        <v>94</v>
      </c>
      <c r="J661" s="80"/>
      <c r="K661">
        <f t="shared" si="21"/>
        <v>1</v>
      </c>
      <c r="L661" t="str">
        <f>IF(I661="UGR","UGR",_xlfn.XLOOKUP(D661,Lookup!O:O,Lookup!N:N,0))</f>
        <v>Non FG</v>
      </c>
      <c r="M661">
        <f t="shared" si="22"/>
        <v>1</v>
      </c>
    </row>
    <row r="662" spans="1:13" hidden="1" x14ac:dyDescent="0.25">
      <c r="A662" s="78">
        <v>46048</v>
      </c>
      <c r="B662" s="79" t="s">
        <v>664</v>
      </c>
      <c r="C662" s="80" t="s">
        <v>1856</v>
      </c>
      <c r="D662" s="81" t="s">
        <v>1851</v>
      </c>
      <c r="E662" s="26" t="s">
        <v>670</v>
      </c>
      <c r="F662" s="82">
        <v>10000</v>
      </c>
      <c r="G662" s="83" t="s">
        <v>622</v>
      </c>
      <c r="H662" s="84">
        <v>10000</v>
      </c>
      <c r="I662" s="80" t="s">
        <v>94</v>
      </c>
      <c r="J662" s="80"/>
      <c r="K662">
        <f t="shared" si="21"/>
        <v>1</v>
      </c>
      <c r="L662" t="str">
        <f>IF(I662="UGR","UGR",_xlfn.XLOOKUP(D662,Lookup!O:O,Lookup!N:N,0))</f>
        <v>Non FG</v>
      </c>
      <c r="M662">
        <f t="shared" si="22"/>
        <v>1</v>
      </c>
    </row>
    <row r="663" spans="1:13" hidden="1" x14ac:dyDescent="0.25">
      <c r="A663" s="78">
        <v>46051</v>
      </c>
      <c r="B663" s="79" t="s">
        <v>664</v>
      </c>
      <c r="C663" s="80" t="s">
        <v>1857</v>
      </c>
      <c r="D663" s="81" t="s">
        <v>1851</v>
      </c>
      <c r="E663" s="26" t="s">
        <v>670</v>
      </c>
      <c r="F663" s="82">
        <v>10000</v>
      </c>
      <c r="G663" s="83" t="s">
        <v>622</v>
      </c>
      <c r="H663" s="84">
        <v>10000</v>
      </c>
      <c r="I663" s="80" t="s">
        <v>94</v>
      </c>
      <c r="J663" s="80"/>
      <c r="K663">
        <f t="shared" si="21"/>
        <v>1</v>
      </c>
      <c r="L663" t="str">
        <f>IF(I663="UGR","UGR",_xlfn.XLOOKUP(D663,Lookup!O:O,Lookup!N:N,0))</f>
        <v>Non FG</v>
      </c>
      <c r="M663">
        <f t="shared" si="22"/>
        <v>1</v>
      </c>
    </row>
    <row r="664" spans="1:13" hidden="1" x14ac:dyDescent="0.25">
      <c r="A664" s="78">
        <v>46029</v>
      </c>
      <c r="B664" s="79" t="s">
        <v>664</v>
      </c>
      <c r="C664" s="80" t="s">
        <v>1858</v>
      </c>
      <c r="D664" s="81" t="s">
        <v>1859</v>
      </c>
      <c r="E664" s="26" t="s">
        <v>729</v>
      </c>
      <c r="F664" s="82">
        <v>10000</v>
      </c>
      <c r="G664" s="83" t="s">
        <v>622</v>
      </c>
      <c r="H664" s="84">
        <v>10000</v>
      </c>
      <c r="I664" s="80" t="s">
        <v>94</v>
      </c>
      <c r="J664" s="80"/>
      <c r="K664">
        <f t="shared" si="21"/>
        <v>1</v>
      </c>
      <c r="L664" t="str">
        <f>IF(I664="UGR","UGR",_xlfn.XLOOKUP(D664,Lookup!O:O,Lookup!N:N,0))</f>
        <v>Non FG</v>
      </c>
      <c r="M664">
        <f t="shared" si="22"/>
        <v>1</v>
      </c>
    </row>
    <row r="665" spans="1:13" hidden="1" x14ac:dyDescent="0.25">
      <c r="A665" s="78">
        <v>46034</v>
      </c>
      <c r="B665" s="79" t="s">
        <v>664</v>
      </c>
      <c r="C665" s="80" t="s">
        <v>1860</v>
      </c>
      <c r="D665" s="81" t="s">
        <v>1859</v>
      </c>
      <c r="E665" s="26" t="s">
        <v>729</v>
      </c>
      <c r="F665" s="82">
        <v>10000</v>
      </c>
      <c r="G665" s="83" t="s">
        <v>622</v>
      </c>
      <c r="H665" s="84">
        <v>10000</v>
      </c>
      <c r="I665" s="80" t="s">
        <v>94</v>
      </c>
      <c r="J665" s="80"/>
      <c r="K665">
        <f t="shared" si="21"/>
        <v>1</v>
      </c>
      <c r="L665" t="str">
        <f>IF(I665="UGR","UGR",_xlfn.XLOOKUP(D665,Lookup!O:O,Lookup!N:N,0))</f>
        <v>Non FG</v>
      </c>
      <c r="M665">
        <f t="shared" si="22"/>
        <v>1</v>
      </c>
    </row>
    <row r="666" spans="1:13" hidden="1" x14ac:dyDescent="0.25">
      <c r="A666" s="78">
        <v>46036</v>
      </c>
      <c r="B666" s="79" t="s">
        <v>664</v>
      </c>
      <c r="C666" s="80" t="s">
        <v>1861</v>
      </c>
      <c r="D666" s="81" t="s">
        <v>1859</v>
      </c>
      <c r="E666" s="26" t="s">
        <v>729</v>
      </c>
      <c r="F666" s="82">
        <v>10000</v>
      </c>
      <c r="G666" s="83" t="s">
        <v>622</v>
      </c>
      <c r="H666" s="84">
        <v>10000</v>
      </c>
      <c r="I666" s="80" t="s">
        <v>94</v>
      </c>
      <c r="J666" s="80"/>
      <c r="K666">
        <f t="shared" si="21"/>
        <v>1</v>
      </c>
      <c r="L666" t="str">
        <f>IF(I666="UGR","UGR",_xlfn.XLOOKUP(D666,Lookup!O:O,Lookup!N:N,0))</f>
        <v>Non FG</v>
      </c>
      <c r="M666">
        <f t="shared" si="22"/>
        <v>1</v>
      </c>
    </row>
    <row r="667" spans="1:13" hidden="1" x14ac:dyDescent="0.25">
      <c r="A667" s="78">
        <v>46041</v>
      </c>
      <c r="B667" s="79" t="s">
        <v>664</v>
      </c>
      <c r="C667" s="80" t="s">
        <v>1862</v>
      </c>
      <c r="D667" s="81" t="s">
        <v>1859</v>
      </c>
      <c r="E667" s="26" t="s">
        <v>729</v>
      </c>
      <c r="F667" s="82">
        <v>10000</v>
      </c>
      <c r="G667" s="83" t="s">
        <v>622</v>
      </c>
      <c r="H667" s="84">
        <v>10000</v>
      </c>
      <c r="I667" s="80" t="s">
        <v>94</v>
      </c>
      <c r="J667" s="80"/>
      <c r="K667">
        <f t="shared" si="21"/>
        <v>1</v>
      </c>
      <c r="L667" t="str">
        <f>IF(I667="UGR","UGR",_xlfn.XLOOKUP(D667,Lookup!O:O,Lookup!N:N,0))</f>
        <v>Non FG</v>
      </c>
      <c r="M667">
        <f t="shared" si="22"/>
        <v>1</v>
      </c>
    </row>
    <row r="668" spans="1:13" hidden="1" x14ac:dyDescent="0.25">
      <c r="A668" s="78">
        <v>46043</v>
      </c>
      <c r="B668" s="79" t="s">
        <v>664</v>
      </c>
      <c r="C668" s="80" t="s">
        <v>1863</v>
      </c>
      <c r="D668" s="81" t="s">
        <v>1859</v>
      </c>
      <c r="E668" s="26" t="s">
        <v>729</v>
      </c>
      <c r="F668" s="82">
        <v>10000</v>
      </c>
      <c r="G668" s="83" t="s">
        <v>622</v>
      </c>
      <c r="H668" s="84">
        <v>10000</v>
      </c>
      <c r="I668" s="80" t="s">
        <v>94</v>
      </c>
      <c r="J668" s="80"/>
      <c r="K668">
        <f t="shared" si="21"/>
        <v>1</v>
      </c>
      <c r="L668" t="str">
        <f>IF(I668="UGR","UGR",_xlfn.XLOOKUP(D668,Lookup!O:O,Lookup!N:N,0))</f>
        <v>Non FG</v>
      </c>
      <c r="M668">
        <f t="shared" si="22"/>
        <v>1</v>
      </c>
    </row>
    <row r="669" spans="1:13" hidden="1" x14ac:dyDescent="0.25">
      <c r="A669" s="78">
        <v>46048</v>
      </c>
      <c r="B669" s="79" t="s">
        <v>664</v>
      </c>
      <c r="C669" s="80" t="s">
        <v>1864</v>
      </c>
      <c r="D669" s="81" t="s">
        <v>1859</v>
      </c>
      <c r="E669" s="26" t="s">
        <v>729</v>
      </c>
      <c r="F669" s="82">
        <v>10000</v>
      </c>
      <c r="G669" s="83" t="s">
        <v>622</v>
      </c>
      <c r="H669" s="84">
        <v>10000</v>
      </c>
      <c r="I669" s="80" t="s">
        <v>94</v>
      </c>
      <c r="J669" s="80"/>
      <c r="K669">
        <f t="shared" si="21"/>
        <v>1</v>
      </c>
      <c r="L669" t="str">
        <f>IF(I669="UGR","UGR",_xlfn.XLOOKUP(D669,Lookup!O:O,Lookup!N:N,0))</f>
        <v>Non FG</v>
      </c>
      <c r="M669">
        <f t="shared" si="22"/>
        <v>1</v>
      </c>
    </row>
    <row r="670" spans="1:13" hidden="1" x14ac:dyDescent="0.25">
      <c r="A670" s="78">
        <v>46051</v>
      </c>
      <c r="B670" s="79" t="s">
        <v>664</v>
      </c>
      <c r="C670" s="80" t="s">
        <v>1865</v>
      </c>
      <c r="D670" s="81" t="s">
        <v>1859</v>
      </c>
      <c r="E670" s="26" t="s">
        <v>729</v>
      </c>
      <c r="F670" s="82">
        <v>10000</v>
      </c>
      <c r="G670" s="83" t="s">
        <v>622</v>
      </c>
      <c r="H670" s="84">
        <v>10000</v>
      </c>
      <c r="I670" s="80" t="s">
        <v>94</v>
      </c>
      <c r="J670" s="80"/>
      <c r="K670">
        <f t="shared" si="21"/>
        <v>1</v>
      </c>
      <c r="L670" t="str">
        <f>IF(I670="UGR","UGR",_xlfn.XLOOKUP(D670,Lookup!O:O,Lookup!N:N,0))</f>
        <v>Non FG</v>
      </c>
      <c r="M670">
        <f t="shared" si="22"/>
        <v>1</v>
      </c>
    </row>
    <row r="671" spans="1:13" hidden="1" x14ac:dyDescent="0.25">
      <c r="A671" s="78">
        <v>46027</v>
      </c>
      <c r="B671" s="79" t="s">
        <v>664</v>
      </c>
      <c r="C671" s="80" t="s">
        <v>1866</v>
      </c>
      <c r="D671" s="81" t="s">
        <v>1867</v>
      </c>
      <c r="E671" s="26" t="s">
        <v>756</v>
      </c>
      <c r="F671" s="82">
        <v>10000</v>
      </c>
      <c r="G671" s="83" t="s">
        <v>622</v>
      </c>
      <c r="H671" s="84">
        <v>10000</v>
      </c>
      <c r="I671" s="80" t="s">
        <v>94</v>
      </c>
      <c r="J671" s="80"/>
      <c r="K671">
        <f t="shared" si="21"/>
        <v>1</v>
      </c>
      <c r="L671" t="str">
        <f>IF(I671="UGR","UGR",_xlfn.XLOOKUP(D671,Lookup!O:O,Lookup!N:N,0))</f>
        <v>Non FG</v>
      </c>
      <c r="M671">
        <f t="shared" si="22"/>
        <v>1</v>
      </c>
    </row>
    <row r="672" spans="1:13" hidden="1" x14ac:dyDescent="0.25">
      <c r="A672" s="78">
        <v>46030</v>
      </c>
      <c r="B672" s="79" t="s">
        <v>664</v>
      </c>
      <c r="C672" s="80" t="s">
        <v>1868</v>
      </c>
      <c r="D672" s="81" t="s">
        <v>1867</v>
      </c>
      <c r="E672" s="26" t="s">
        <v>756</v>
      </c>
      <c r="F672" s="82">
        <v>10000</v>
      </c>
      <c r="G672" s="83" t="s">
        <v>622</v>
      </c>
      <c r="H672" s="84">
        <v>10000</v>
      </c>
      <c r="I672" s="80" t="s">
        <v>94</v>
      </c>
      <c r="J672" s="80"/>
      <c r="K672">
        <f t="shared" si="21"/>
        <v>1</v>
      </c>
      <c r="L672" t="str">
        <f>IF(I672="UGR","UGR",_xlfn.XLOOKUP(D672,Lookup!O:O,Lookup!N:N,0))</f>
        <v>Non FG</v>
      </c>
      <c r="M672">
        <f t="shared" si="22"/>
        <v>1</v>
      </c>
    </row>
    <row r="673" spans="1:13" hidden="1" x14ac:dyDescent="0.25">
      <c r="A673" s="78">
        <v>46035</v>
      </c>
      <c r="B673" s="79" t="s">
        <v>664</v>
      </c>
      <c r="C673" s="80" t="s">
        <v>1869</v>
      </c>
      <c r="D673" s="81" t="s">
        <v>1867</v>
      </c>
      <c r="E673" s="26" t="s">
        <v>756</v>
      </c>
      <c r="F673" s="82">
        <v>10000</v>
      </c>
      <c r="G673" s="83" t="s">
        <v>622</v>
      </c>
      <c r="H673" s="84">
        <v>10000</v>
      </c>
      <c r="I673" s="80" t="s">
        <v>94</v>
      </c>
      <c r="J673" s="80"/>
      <c r="K673">
        <f t="shared" si="21"/>
        <v>1</v>
      </c>
      <c r="L673" t="str">
        <f>IF(I673="UGR","UGR",_xlfn.XLOOKUP(D673,Lookup!O:O,Lookup!N:N,0))</f>
        <v>Non FG</v>
      </c>
      <c r="M673">
        <f t="shared" si="22"/>
        <v>1</v>
      </c>
    </row>
    <row r="674" spans="1:13" hidden="1" x14ac:dyDescent="0.25">
      <c r="A674" s="78">
        <v>46037</v>
      </c>
      <c r="B674" s="79" t="s">
        <v>664</v>
      </c>
      <c r="C674" s="80" t="s">
        <v>1870</v>
      </c>
      <c r="D674" s="81" t="s">
        <v>1867</v>
      </c>
      <c r="E674" s="26" t="s">
        <v>756</v>
      </c>
      <c r="F674" s="82">
        <v>10000</v>
      </c>
      <c r="G674" s="83" t="s">
        <v>622</v>
      </c>
      <c r="H674" s="84">
        <v>10000</v>
      </c>
      <c r="I674" s="80" t="s">
        <v>94</v>
      </c>
      <c r="J674" s="80"/>
      <c r="K674">
        <f t="shared" si="21"/>
        <v>1</v>
      </c>
      <c r="L674" t="str">
        <f>IF(I674="UGR","UGR",_xlfn.XLOOKUP(D674,Lookup!O:O,Lookup!N:N,0))</f>
        <v>Non FG</v>
      </c>
      <c r="M674">
        <f t="shared" si="22"/>
        <v>1</v>
      </c>
    </row>
    <row r="675" spans="1:13" hidden="1" x14ac:dyDescent="0.25">
      <c r="A675" s="78">
        <v>46042</v>
      </c>
      <c r="B675" s="79" t="s">
        <v>664</v>
      </c>
      <c r="C675" s="80" t="s">
        <v>1871</v>
      </c>
      <c r="D675" s="81" t="s">
        <v>1867</v>
      </c>
      <c r="E675" s="26" t="s">
        <v>756</v>
      </c>
      <c r="F675" s="82">
        <v>10000</v>
      </c>
      <c r="G675" s="83" t="s">
        <v>622</v>
      </c>
      <c r="H675" s="84">
        <v>10000</v>
      </c>
      <c r="I675" s="80" t="s">
        <v>94</v>
      </c>
      <c r="J675" s="80"/>
      <c r="K675">
        <f t="shared" si="21"/>
        <v>1</v>
      </c>
      <c r="L675" t="str">
        <f>IF(I675="UGR","UGR",_xlfn.XLOOKUP(D675,Lookup!O:O,Lookup!N:N,0))</f>
        <v>Non FG</v>
      </c>
      <c r="M675">
        <f t="shared" si="22"/>
        <v>1</v>
      </c>
    </row>
    <row r="676" spans="1:13" hidden="1" x14ac:dyDescent="0.25">
      <c r="A676" s="78">
        <v>46044</v>
      </c>
      <c r="B676" s="79" t="s">
        <v>664</v>
      </c>
      <c r="C676" s="80" t="s">
        <v>1872</v>
      </c>
      <c r="D676" s="81" t="s">
        <v>1867</v>
      </c>
      <c r="E676" s="26" t="s">
        <v>756</v>
      </c>
      <c r="F676" s="82">
        <v>10000</v>
      </c>
      <c r="G676" s="83" t="s">
        <v>622</v>
      </c>
      <c r="H676" s="84">
        <v>10000</v>
      </c>
      <c r="I676" s="80" t="s">
        <v>94</v>
      </c>
      <c r="J676" s="80"/>
      <c r="K676">
        <f t="shared" si="21"/>
        <v>1</v>
      </c>
      <c r="L676" t="str">
        <f>IF(I676="UGR","UGR",_xlfn.XLOOKUP(D676,Lookup!O:O,Lookup!N:N,0))</f>
        <v>Non FG</v>
      </c>
      <c r="M676">
        <f t="shared" si="22"/>
        <v>1</v>
      </c>
    </row>
    <row r="677" spans="1:13" hidden="1" x14ac:dyDescent="0.25">
      <c r="A677" s="78">
        <v>46049</v>
      </c>
      <c r="B677" s="79" t="s">
        <v>664</v>
      </c>
      <c r="C677" s="80" t="s">
        <v>1873</v>
      </c>
      <c r="D677" s="81" t="s">
        <v>1867</v>
      </c>
      <c r="E677" s="26" t="s">
        <v>756</v>
      </c>
      <c r="F677" s="82">
        <v>10000</v>
      </c>
      <c r="G677" s="83" t="s">
        <v>622</v>
      </c>
      <c r="H677" s="84">
        <v>10000</v>
      </c>
      <c r="I677" s="80" t="s">
        <v>94</v>
      </c>
      <c r="J677" s="80"/>
      <c r="K677">
        <f t="shared" si="21"/>
        <v>1</v>
      </c>
      <c r="L677" t="str">
        <f>IF(I677="UGR","UGR",_xlfn.XLOOKUP(D677,Lookup!O:O,Lookup!N:N,0))</f>
        <v>Non FG</v>
      </c>
      <c r="M677">
        <f t="shared" si="22"/>
        <v>1</v>
      </c>
    </row>
    <row r="678" spans="1:13" hidden="1" x14ac:dyDescent="0.25">
      <c r="A678" s="78">
        <v>46027</v>
      </c>
      <c r="B678" s="79" t="s">
        <v>664</v>
      </c>
      <c r="C678" s="80" t="s">
        <v>1874</v>
      </c>
      <c r="D678" s="81" t="s">
        <v>1875</v>
      </c>
      <c r="E678" s="26" t="s">
        <v>731</v>
      </c>
      <c r="F678" s="82">
        <v>10000</v>
      </c>
      <c r="G678" s="83" t="s">
        <v>622</v>
      </c>
      <c r="H678" s="84">
        <v>10000</v>
      </c>
      <c r="I678" s="80" t="s">
        <v>94</v>
      </c>
      <c r="J678" s="80"/>
      <c r="K678">
        <f t="shared" si="21"/>
        <v>1</v>
      </c>
      <c r="L678" t="str">
        <f>IF(I678="UGR","UGR",_xlfn.XLOOKUP(D678,Lookup!O:O,Lookup!N:N,0))</f>
        <v>Non FG</v>
      </c>
      <c r="M678">
        <f t="shared" si="22"/>
        <v>1</v>
      </c>
    </row>
    <row r="679" spans="1:13" hidden="1" x14ac:dyDescent="0.25">
      <c r="A679" s="78">
        <v>46030</v>
      </c>
      <c r="B679" s="79" t="s">
        <v>664</v>
      </c>
      <c r="C679" s="80" t="s">
        <v>1876</v>
      </c>
      <c r="D679" s="81" t="s">
        <v>1875</v>
      </c>
      <c r="E679" s="26" t="s">
        <v>731</v>
      </c>
      <c r="F679" s="82">
        <v>10000</v>
      </c>
      <c r="G679" s="83" t="s">
        <v>622</v>
      </c>
      <c r="H679" s="84">
        <v>10000</v>
      </c>
      <c r="I679" s="80" t="s">
        <v>94</v>
      </c>
      <c r="J679" s="80"/>
      <c r="K679">
        <f t="shared" si="21"/>
        <v>1</v>
      </c>
      <c r="L679" t="str">
        <f>IF(I679="UGR","UGR",_xlfn.XLOOKUP(D679,Lookup!O:O,Lookup!N:N,0))</f>
        <v>Non FG</v>
      </c>
      <c r="M679">
        <f t="shared" si="22"/>
        <v>1</v>
      </c>
    </row>
    <row r="680" spans="1:13" hidden="1" x14ac:dyDescent="0.25">
      <c r="A680" s="78">
        <v>46035</v>
      </c>
      <c r="B680" s="79" t="s">
        <v>664</v>
      </c>
      <c r="C680" s="80" t="s">
        <v>1877</v>
      </c>
      <c r="D680" s="81" t="s">
        <v>1875</v>
      </c>
      <c r="E680" s="26" t="s">
        <v>731</v>
      </c>
      <c r="F680" s="82">
        <v>10000</v>
      </c>
      <c r="G680" s="83" t="s">
        <v>622</v>
      </c>
      <c r="H680" s="84">
        <v>10000</v>
      </c>
      <c r="I680" s="80" t="s">
        <v>94</v>
      </c>
      <c r="J680" s="80"/>
      <c r="K680">
        <f t="shared" si="21"/>
        <v>1</v>
      </c>
      <c r="L680" t="str">
        <f>IF(I680="UGR","UGR",_xlfn.XLOOKUP(D680,Lookup!O:O,Lookup!N:N,0))</f>
        <v>Non FG</v>
      </c>
      <c r="M680">
        <f t="shared" si="22"/>
        <v>1</v>
      </c>
    </row>
    <row r="681" spans="1:13" hidden="1" x14ac:dyDescent="0.25">
      <c r="A681" s="78">
        <v>46037</v>
      </c>
      <c r="B681" s="79" t="s">
        <v>664</v>
      </c>
      <c r="C681" s="80" t="s">
        <v>1878</v>
      </c>
      <c r="D681" s="81" t="s">
        <v>1875</v>
      </c>
      <c r="E681" s="26" t="s">
        <v>731</v>
      </c>
      <c r="F681" s="82">
        <v>10000</v>
      </c>
      <c r="G681" s="83" t="s">
        <v>622</v>
      </c>
      <c r="H681" s="84">
        <v>10000</v>
      </c>
      <c r="I681" s="80" t="s">
        <v>94</v>
      </c>
      <c r="J681" s="80"/>
      <c r="K681">
        <f t="shared" si="21"/>
        <v>1</v>
      </c>
      <c r="L681" t="str">
        <f>IF(I681="UGR","UGR",_xlfn.XLOOKUP(D681,Lookup!O:O,Lookup!N:N,0))</f>
        <v>Non FG</v>
      </c>
      <c r="M681">
        <f t="shared" si="22"/>
        <v>1</v>
      </c>
    </row>
    <row r="682" spans="1:13" hidden="1" x14ac:dyDescent="0.25">
      <c r="A682" s="78">
        <v>46042</v>
      </c>
      <c r="B682" s="79" t="s">
        <v>664</v>
      </c>
      <c r="C682" s="80" t="s">
        <v>1879</v>
      </c>
      <c r="D682" s="81" t="s">
        <v>1875</v>
      </c>
      <c r="E682" s="26" t="s">
        <v>731</v>
      </c>
      <c r="F682" s="82">
        <v>10000</v>
      </c>
      <c r="G682" s="83" t="s">
        <v>622</v>
      </c>
      <c r="H682" s="84">
        <v>10000</v>
      </c>
      <c r="I682" s="80" t="s">
        <v>94</v>
      </c>
      <c r="J682" s="80"/>
      <c r="K682">
        <f t="shared" si="21"/>
        <v>1</v>
      </c>
      <c r="L682" t="str">
        <f>IF(I682="UGR","UGR",_xlfn.XLOOKUP(D682,Lookup!O:O,Lookup!N:N,0))</f>
        <v>Non FG</v>
      </c>
      <c r="M682">
        <f t="shared" si="22"/>
        <v>1</v>
      </c>
    </row>
    <row r="683" spans="1:13" hidden="1" x14ac:dyDescent="0.25">
      <c r="A683" s="78">
        <v>46044</v>
      </c>
      <c r="B683" s="79" t="s">
        <v>664</v>
      </c>
      <c r="C683" s="80" t="s">
        <v>1880</v>
      </c>
      <c r="D683" s="81" t="s">
        <v>1875</v>
      </c>
      <c r="E683" s="26" t="s">
        <v>731</v>
      </c>
      <c r="F683" s="82">
        <v>10000</v>
      </c>
      <c r="G683" s="83" t="s">
        <v>622</v>
      </c>
      <c r="H683" s="84">
        <v>10000</v>
      </c>
      <c r="I683" s="80" t="s">
        <v>94</v>
      </c>
      <c r="J683" s="80"/>
      <c r="K683">
        <f t="shared" si="21"/>
        <v>1</v>
      </c>
      <c r="L683" t="str">
        <f>IF(I683="UGR","UGR",_xlfn.XLOOKUP(D683,Lookup!O:O,Lookup!N:N,0))</f>
        <v>Non FG</v>
      </c>
      <c r="M683">
        <f t="shared" si="22"/>
        <v>1</v>
      </c>
    </row>
    <row r="684" spans="1:13" hidden="1" x14ac:dyDescent="0.25">
      <c r="A684" s="78">
        <v>46049</v>
      </c>
      <c r="B684" s="79" t="s">
        <v>664</v>
      </c>
      <c r="C684" s="80" t="s">
        <v>1881</v>
      </c>
      <c r="D684" s="81" t="s">
        <v>1875</v>
      </c>
      <c r="E684" s="26" t="s">
        <v>731</v>
      </c>
      <c r="F684" s="82">
        <v>10000</v>
      </c>
      <c r="G684" s="83" t="s">
        <v>622</v>
      </c>
      <c r="H684" s="84">
        <v>10000</v>
      </c>
      <c r="I684" s="80" t="s">
        <v>94</v>
      </c>
      <c r="J684" s="80"/>
      <c r="K684">
        <f t="shared" si="21"/>
        <v>1</v>
      </c>
      <c r="L684" t="str">
        <f>IF(I684="UGR","UGR",_xlfn.XLOOKUP(D684,Lookup!O:O,Lookup!N:N,0))</f>
        <v>Non FG</v>
      </c>
      <c r="M684">
        <f t="shared" si="22"/>
        <v>1</v>
      </c>
    </row>
    <row r="685" spans="1:13" hidden="1" x14ac:dyDescent="0.25">
      <c r="A685" s="78">
        <v>46027</v>
      </c>
      <c r="B685" s="79" t="s">
        <v>664</v>
      </c>
      <c r="C685" s="80" t="s">
        <v>1882</v>
      </c>
      <c r="D685" s="81" t="s">
        <v>1883</v>
      </c>
      <c r="E685" s="26" t="s">
        <v>699</v>
      </c>
      <c r="F685" s="82">
        <v>10000</v>
      </c>
      <c r="G685" s="83" t="s">
        <v>622</v>
      </c>
      <c r="H685" s="84">
        <v>10000</v>
      </c>
      <c r="I685" s="80" t="s">
        <v>94</v>
      </c>
      <c r="J685" s="80"/>
      <c r="K685">
        <f t="shared" si="21"/>
        <v>1</v>
      </c>
      <c r="L685" t="str">
        <f>IF(I685="UGR","UGR",_xlfn.XLOOKUP(D685,Lookup!O:O,Lookup!N:N,0))</f>
        <v>Non FG</v>
      </c>
      <c r="M685">
        <f t="shared" si="22"/>
        <v>1</v>
      </c>
    </row>
    <row r="686" spans="1:13" hidden="1" x14ac:dyDescent="0.25">
      <c r="A686" s="78">
        <v>46030</v>
      </c>
      <c r="B686" s="79" t="s">
        <v>664</v>
      </c>
      <c r="C686" s="80" t="s">
        <v>1884</v>
      </c>
      <c r="D686" s="81" t="s">
        <v>1883</v>
      </c>
      <c r="E686" s="26" t="s">
        <v>699</v>
      </c>
      <c r="F686" s="82">
        <v>10000</v>
      </c>
      <c r="G686" s="83" t="s">
        <v>622</v>
      </c>
      <c r="H686" s="84">
        <v>10000</v>
      </c>
      <c r="I686" s="80" t="s">
        <v>94</v>
      </c>
      <c r="J686" s="80"/>
      <c r="K686">
        <f t="shared" si="21"/>
        <v>1</v>
      </c>
      <c r="L686" t="str">
        <f>IF(I686="UGR","UGR",_xlfn.XLOOKUP(D686,Lookup!O:O,Lookup!N:N,0))</f>
        <v>Non FG</v>
      </c>
      <c r="M686">
        <f t="shared" si="22"/>
        <v>1</v>
      </c>
    </row>
    <row r="687" spans="1:13" hidden="1" x14ac:dyDescent="0.25">
      <c r="A687" s="78">
        <v>46035</v>
      </c>
      <c r="B687" s="79" t="s">
        <v>664</v>
      </c>
      <c r="C687" s="80" t="s">
        <v>1885</v>
      </c>
      <c r="D687" s="81" t="s">
        <v>1883</v>
      </c>
      <c r="E687" s="26" t="s">
        <v>699</v>
      </c>
      <c r="F687" s="82">
        <v>10000</v>
      </c>
      <c r="G687" s="83" t="s">
        <v>622</v>
      </c>
      <c r="H687" s="84">
        <v>10000</v>
      </c>
      <c r="I687" s="80" t="s">
        <v>94</v>
      </c>
      <c r="J687" s="80"/>
      <c r="K687">
        <f t="shared" si="21"/>
        <v>1</v>
      </c>
      <c r="L687" t="str">
        <f>IF(I687="UGR","UGR",_xlfn.XLOOKUP(D687,Lookup!O:O,Lookup!N:N,0))</f>
        <v>Non FG</v>
      </c>
      <c r="M687">
        <f t="shared" si="22"/>
        <v>1</v>
      </c>
    </row>
    <row r="688" spans="1:13" hidden="1" x14ac:dyDescent="0.25">
      <c r="A688" s="78">
        <v>46037</v>
      </c>
      <c r="B688" s="79" t="s">
        <v>664</v>
      </c>
      <c r="C688" s="80" t="s">
        <v>1886</v>
      </c>
      <c r="D688" s="81" t="s">
        <v>1883</v>
      </c>
      <c r="E688" s="26" t="s">
        <v>699</v>
      </c>
      <c r="F688" s="82">
        <v>10000</v>
      </c>
      <c r="G688" s="83" t="s">
        <v>622</v>
      </c>
      <c r="H688" s="84">
        <v>10000</v>
      </c>
      <c r="I688" s="80" t="s">
        <v>94</v>
      </c>
      <c r="J688" s="80"/>
      <c r="K688">
        <f t="shared" si="21"/>
        <v>1</v>
      </c>
      <c r="L688" t="str">
        <f>IF(I688="UGR","UGR",_xlfn.XLOOKUP(D688,Lookup!O:O,Lookup!N:N,0))</f>
        <v>Non FG</v>
      </c>
      <c r="M688">
        <f t="shared" si="22"/>
        <v>1</v>
      </c>
    </row>
    <row r="689" spans="1:13" hidden="1" x14ac:dyDescent="0.25">
      <c r="A689" s="78">
        <v>46042</v>
      </c>
      <c r="B689" s="79" t="s">
        <v>664</v>
      </c>
      <c r="C689" s="80" t="s">
        <v>1887</v>
      </c>
      <c r="D689" s="81" t="s">
        <v>1883</v>
      </c>
      <c r="E689" s="26" t="s">
        <v>699</v>
      </c>
      <c r="F689" s="82">
        <v>10000</v>
      </c>
      <c r="G689" s="83" t="s">
        <v>622</v>
      </c>
      <c r="H689" s="84">
        <v>10000</v>
      </c>
      <c r="I689" s="80" t="s">
        <v>94</v>
      </c>
      <c r="J689" s="80"/>
      <c r="K689">
        <f t="shared" si="21"/>
        <v>1</v>
      </c>
      <c r="L689" t="str">
        <f>IF(I689="UGR","UGR",_xlfn.XLOOKUP(D689,Lookup!O:O,Lookup!N:N,0))</f>
        <v>Non FG</v>
      </c>
      <c r="M689">
        <f t="shared" si="22"/>
        <v>1</v>
      </c>
    </row>
    <row r="690" spans="1:13" hidden="1" x14ac:dyDescent="0.25">
      <c r="A690" s="78">
        <v>46044</v>
      </c>
      <c r="B690" s="79" t="s">
        <v>664</v>
      </c>
      <c r="C690" s="80" t="s">
        <v>1888</v>
      </c>
      <c r="D690" s="81" t="s">
        <v>1883</v>
      </c>
      <c r="E690" s="26" t="s">
        <v>699</v>
      </c>
      <c r="F690" s="82">
        <v>10000</v>
      </c>
      <c r="G690" s="83" t="s">
        <v>622</v>
      </c>
      <c r="H690" s="84">
        <v>10000</v>
      </c>
      <c r="I690" s="80" t="s">
        <v>94</v>
      </c>
      <c r="J690" s="80"/>
      <c r="K690">
        <f t="shared" si="21"/>
        <v>1</v>
      </c>
      <c r="L690" t="str">
        <f>IF(I690="UGR","UGR",_xlfn.XLOOKUP(D690,Lookup!O:O,Lookup!N:N,0))</f>
        <v>Non FG</v>
      </c>
      <c r="M690">
        <f t="shared" si="22"/>
        <v>1</v>
      </c>
    </row>
    <row r="691" spans="1:13" hidden="1" x14ac:dyDescent="0.25">
      <c r="A691" s="78">
        <v>46050</v>
      </c>
      <c r="B691" s="79" t="s">
        <v>664</v>
      </c>
      <c r="C691" s="80" t="s">
        <v>1889</v>
      </c>
      <c r="D691" s="81" t="s">
        <v>1883</v>
      </c>
      <c r="E691" s="26" t="s">
        <v>699</v>
      </c>
      <c r="F691" s="82">
        <v>10000</v>
      </c>
      <c r="G691" s="83" t="s">
        <v>622</v>
      </c>
      <c r="H691" s="84">
        <v>10000</v>
      </c>
      <c r="I691" s="80" t="s">
        <v>94</v>
      </c>
      <c r="J691" s="80"/>
      <c r="K691">
        <f t="shared" si="21"/>
        <v>1</v>
      </c>
      <c r="L691" t="str">
        <f>IF(I691="UGR","UGR",_xlfn.XLOOKUP(D691,Lookup!O:O,Lookup!N:N,0))</f>
        <v>Non FG</v>
      </c>
      <c r="M691">
        <f t="shared" si="22"/>
        <v>1</v>
      </c>
    </row>
    <row r="692" spans="1:13" hidden="1" x14ac:dyDescent="0.25">
      <c r="A692" s="78">
        <v>46027</v>
      </c>
      <c r="B692" s="79" t="s">
        <v>664</v>
      </c>
      <c r="C692" s="80" t="s">
        <v>1890</v>
      </c>
      <c r="D692" s="81" t="s">
        <v>1891</v>
      </c>
      <c r="E692" s="26" t="s">
        <v>672</v>
      </c>
      <c r="F692" s="82">
        <v>10000</v>
      </c>
      <c r="G692" s="83" t="s">
        <v>622</v>
      </c>
      <c r="H692" s="84">
        <v>10000</v>
      </c>
      <c r="I692" s="80" t="s">
        <v>94</v>
      </c>
      <c r="J692" s="80"/>
      <c r="K692">
        <f t="shared" si="21"/>
        <v>1</v>
      </c>
      <c r="L692" t="str">
        <f>IF(I692="UGR","UGR",_xlfn.XLOOKUP(D692,Lookup!O:O,Lookup!N:N,0))</f>
        <v>Non FG</v>
      </c>
      <c r="M692">
        <f t="shared" si="22"/>
        <v>1</v>
      </c>
    </row>
    <row r="693" spans="1:13" hidden="1" x14ac:dyDescent="0.25">
      <c r="A693" s="78">
        <v>46030</v>
      </c>
      <c r="B693" s="79" t="s">
        <v>664</v>
      </c>
      <c r="C693" s="80" t="s">
        <v>1892</v>
      </c>
      <c r="D693" s="81" t="s">
        <v>1891</v>
      </c>
      <c r="E693" s="26" t="s">
        <v>672</v>
      </c>
      <c r="F693" s="82">
        <v>10000</v>
      </c>
      <c r="G693" s="83" t="s">
        <v>622</v>
      </c>
      <c r="H693" s="84">
        <v>10000</v>
      </c>
      <c r="I693" s="80" t="s">
        <v>94</v>
      </c>
      <c r="J693" s="80"/>
      <c r="K693">
        <f t="shared" si="21"/>
        <v>1</v>
      </c>
      <c r="L693" t="str">
        <f>IF(I693="UGR","UGR",_xlfn.XLOOKUP(D693,Lookup!O:O,Lookup!N:N,0))</f>
        <v>Non FG</v>
      </c>
      <c r="M693">
        <f t="shared" si="22"/>
        <v>1</v>
      </c>
    </row>
    <row r="694" spans="1:13" hidden="1" x14ac:dyDescent="0.25">
      <c r="A694" s="78">
        <v>46035</v>
      </c>
      <c r="B694" s="79" t="s">
        <v>664</v>
      </c>
      <c r="C694" s="80" t="s">
        <v>1893</v>
      </c>
      <c r="D694" s="81" t="s">
        <v>1891</v>
      </c>
      <c r="E694" s="26" t="s">
        <v>672</v>
      </c>
      <c r="F694" s="82">
        <v>10000</v>
      </c>
      <c r="G694" s="83" t="s">
        <v>622</v>
      </c>
      <c r="H694" s="84">
        <v>10000</v>
      </c>
      <c r="I694" s="80" t="s">
        <v>94</v>
      </c>
      <c r="J694" s="80"/>
      <c r="K694">
        <f t="shared" si="21"/>
        <v>1</v>
      </c>
      <c r="L694" t="str">
        <f>IF(I694="UGR","UGR",_xlfn.XLOOKUP(D694,Lookup!O:O,Lookup!N:N,0))</f>
        <v>Non FG</v>
      </c>
      <c r="M694">
        <f t="shared" si="22"/>
        <v>1</v>
      </c>
    </row>
    <row r="695" spans="1:13" hidden="1" x14ac:dyDescent="0.25">
      <c r="A695" s="78">
        <v>46037</v>
      </c>
      <c r="B695" s="79" t="s">
        <v>664</v>
      </c>
      <c r="C695" s="80" t="s">
        <v>1894</v>
      </c>
      <c r="D695" s="81" t="s">
        <v>1891</v>
      </c>
      <c r="E695" s="26" t="s">
        <v>672</v>
      </c>
      <c r="F695" s="82">
        <v>10000</v>
      </c>
      <c r="G695" s="83" t="s">
        <v>622</v>
      </c>
      <c r="H695" s="84">
        <v>10000</v>
      </c>
      <c r="I695" s="80" t="s">
        <v>94</v>
      </c>
      <c r="J695" s="80"/>
      <c r="K695">
        <f t="shared" si="21"/>
        <v>1</v>
      </c>
      <c r="L695" t="str">
        <f>IF(I695="UGR","UGR",_xlfn.XLOOKUP(D695,Lookup!O:O,Lookup!N:N,0))</f>
        <v>Non FG</v>
      </c>
      <c r="M695">
        <f t="shared" si="22"/>
        <v>1</v>
      </c>
    </row>
    <row r="696" spans="1:13" hidden="1" x14ac:dyDescent="0.25">
      <c r="A696" s="78">
        <v>46042</v>
      </c>
      <c r="B696" s="79" t="s">
        <v>664</v>
      </c>
      <c r="C696" s="80" t="s">
        <v>1895</v>
      </c>
      <c r="D696" s="81" t="s">
        <v>1891</v>
      </c>
      <c r="E696" s="26" t="s">
        <v>672</v>
      </c>
      <c r="F696" s="82">
        <v>10000</v>
      </c>
      <c r="G696" s="83" t="s">
        <v>622</v>
      </c>
      <c r="H696" s="84">
        <v>10000</v>
      </c>
      <c r="I696" s="80" t="s">
        <v>94</v>
      </c>
      <c r="J696" s="80"/>
      <c r="K696">
        <f t="shared" si="21"/>
        <v>1</v>
      </c>
      <c r="L696" t="str">
        <f>IF(I696="UGR","UGR",_xlfn.XLOOKUP(D696,Lookup!O:O,Lookup!N:N,0))</f>
        <v>Non FG</v>
      </c>
      <c r="M696">
        <f t="shared" si="22"/>
        <v>1</v>
      </c>
    </row>
    <row r="697" spans="1:13" hidden="1" x14ac:dyDescent="0.25">
      <c r="A697" s="78">
        <v>46044</v>
      </c>
      <c r="B697" s="79" t="s">
        <v>664</v>
      </c>
      <c r="C697" s="80" t="s">
        <v>1896</v>
      </c>
      <c r="D697" s="81" t="s">
        <v>1891</v>
      </c>
      <c r="E697" s="26" t="s">
        <v>672</v>
      </c>
      <c r="F697" s="82">
        <v>10000</v>
      </c>
      <c r="G697" s="83" t="s">
        <v>622</v>
      </c>
      <c r="H697" s="84">
        <v>10000</v>
      </c>
      <c r="I697" s="80" t="s">
        <v>94</v>
      </c>
      <c r="J697" s="80"/>
      <c r="K697">
        <f t="shared" si="21"/>
        <v>1</v>
      </c>
      <c r="L697" t="str">
        <f>IF(I697="UGR","UGR",_xlfn.XLOOKUP(D697,Lookup!O:O,Lookup!N:N,0))</f>
        <v>Non FG</v>
      </c>
      <c r="M697">
        <f t="shared" si="22"/>
        <v>1</v>
      </c>
    </row>
    <row r="698" spans="1:13" hidden="1" x14ac:dyDescent="0.25">
      <c r="A698" s="78">
        <v>46050</v>
      </c>
      <c r="B698" s="79" t="s">
        <v>664</v>
      </c>
      <c r="C698" s="80" t="s">
        <v>1897</v>
      </c>
      <c r="D698" s="81" t="s">
        <v>1891</v>
      </c>
      <c r="E698" s="26" t="s">
        <v>672</v>
      </c>
      <c r="F698" s="82">
        <v>10000</v>
      </c>
      <c r="G698" s="83" t="s">
        <v>622</v>
      </c>
      <c r="H698" s="84">
        <v>10000</v>
      </c>
      <c r="I698" s="80" t="s">
        <v>94</v>
      </c>
      <c r="J698" s="80"/>
      <c r="K698">
        <f t="shared" si="21"/>
        <v>1</v>
      </c>
      <c r="L698" t="str">
        <f>IF(I698="UGR","UGR",_xlfn.XLOOKUP(D698,Lookup!O:O,Lookup!N:N,0))</f>
        <v>Non FG</v>
      </c>
      <c r="M698">
        <f t="shared" si="22"/>
        <v>1</v>
      </c>
    </row>
    <row r="699" spans="1:13" hidden="1" x14ac:dyDescent="0.25">
      <c r="A699" s="78">
        <v>46027</v>
      </c>
      <c r="B699" s="79" t="s">
        <v>664</v>
      </c>
      <c r="C699" s="80" t="s">
        <v>1898</v>
      </c>
      <c r="D699" s="81" t="s">
        <v>1899</v>
      </c>
      <c r="E699" s="26" t="s">
        <v>707</v>
      </c>
      <c r="F699" s="82">
        <v>10000</v>
      </c>
      <c r="G699" s="83" t="s">
        <v>622</v>
      </c>
      <c r="H699" s="84">
        <v>10000</v>
      </c>
      <c r="I699" s="80" t="s">
        <v>94</v>
      </c>
      <c r="J699" s="80"/>
      <c r="K699">
        <f t="shared" si="21"/>
        <v>1</v>
      </c>
      <c r="L699" t="str">
        <f>IF(I699="UGR","UGR",_xlfn.XLOOKUP(D699,Lookup!O:O,Lookup!N:N,0))</f>
        <v>Non FG</v>
      </c>
      <c r="M699">
        <f t="shared" si="22"/>
        <v>1</v>
      </c>
    </row>
    <row r="700" spans="1:13" hidden="1" x14ac:dyDescent="0.25">
      <c r="A700" s="78">
        <v>46030</v>
      </c>
      <c r="B700" s="79" t="s">
        <v>664</v>
      </c>
      <c r="C700" s="80" t="s">
        <v>1900</v>
      </c>
      <c r="D700" s="81" t="s">
        <v>1899</v>
      </c>
      <c r="E700" s="26" t="s">
        <v>707</v>
      </c>
      <c r="F700" s="82">
        <v>10000</v>
      </c>
      <c r="G700" s="83" t="s">
        <v>622</v>
      </c>
      <c r="H700" s="84">
        <v>10000</v>
      </c>
      <c r="I700" s="80" t="s">
        <v>94</v>
      </c>
      <c r="J700" s="80"/>
      <c r="K700">
        <f t="shared" si="21"/>
        <v>1</v>
      </c>
      <c r="L700" t="str">
        <f>IF(I700="UGR","UGR",_xlfn.XLOOKUP(D700,Lookup!O:O,Lookup!N:N,0))</f>
        <v>Non FG</v>
      </c>
      <c r="M700">
        <f t="shared" si="22"/>
        <v>1</v>
      </c>
    </row>
    <row r="701" spans="1:13" hidden="1" x14ac:dyDescent="0.25">
      <c r="A701" s="78">
        <v>46035</v>
      </c>
      <c r="B701" s="79" t="s">
        <v>664</v>
      </c>
      <c r="C701" s="80" t="s">
        <v>1901</v>
      </c>
      <c r="D701" s="81" t="s">
        <v>1899</v>
      </c>
      <c r="E701" s="26" t="s">
        <v>707</v>
      </c>
      <c r="F701" s="82">
        <v>10000</v>
      </c>
      <c r="G701" s="83" t="s">
        <v>622</v>
      </c>
      <c r="H701" s="84">
        <v>10000</v>
      </c>
      <c r="I701" s="80" t="s">
        <v>94</v>
      </c>
      <c r="J701" s="80"/>
      <c r="K701">
        <f t="shared" si="21"/>
        <v>1</v>
      </c>
      <c r="L701" t="str">
        <f>IF(I701="UGR","UGR",_xlfn.XLOOKUP(D701,Lookup!O:O,Lookup!N:N,0))</f>
        <v>Non FG</v>
      </c>
      <c r="M701">
        <f t="shared" si="22"/>
        <v>1</v>
      </c>
    </row>
    <row r="702" spans="1:13" hidden="1" x14ac:dyDescent="0.25">
      <c r="A702" s="78">
        <v>46037</v>
      </c>
      <c r="B702" s="79" t="s">
        <v>664</v>
      </c>
      <c r="C702" s="80" t="s">
        <v>1902</v>
      </c>
      <c r="D702" s="81" t="s">
        <v>1899</v>
      </c>
      <c r="E702" s="26" t="s">
        <v>707</v>
      </c>
      <c r="F702" s="82">
        <v>10000</v>
      </c>
      <c r="G702" s="83" t="s">
        <v>622</v>
      </c>
      <c r="H702" s="84">
        <v>10000</v>
      </c>
      <c r="I702" s="80" t="s">
        <v>94</v>
      </c>
      <c r="J702" s="80"/>
      <c r="K702">
        <f t="shared" si="21"/>
        <v>1</v>
      </c>
      <c r="L702" t="str">
        <f>IF(I702="UGR","UGR",_xlfn.XLOOKUP(D702,Lookup!O:O,Lookup!N:N,0))</f>
        <v>Non FG</v>
      </c>
      <c r="M702">
        <f t="shared" si="22"/>
        <v>1</v>
      </c>
    </row>
    <row r="703" spans="1:13" hidden="1" x14ac:dyDescent="0.25">
      <c r="A703" s="78">
        <v>46042</v>
      </c>
      <c r="B703" s="79" t="s">
        <v>664</v>
      </c>
      <c r="C703" s="80" t="s">
        <v>1903</v>
      </c>
      <c r="D703" s="81" t="s">
        <v>1899</v>
      </c>
      <c r="E703" s="26" t="s">
        <v>707</v>
      </c>
      <c r="F703" s="82">
        <v>10000</v>
      </c>
      <c r="G703" s="83" t="s">
        <v>622</v>
      </c>
      <c r="H703" s="84">
        <v>10000</v>
      </c>
      <c r="I703" s="80" t="s">
        <v>94</v>
      </c>
      <c r="J703" s="80"/>
      <c r="K703">
        <f t="shared" si="21"/>
        <v>1</v>
      </c>
      <c r="L703" t="str">
        <f>IF(I703="UGR","UGR",_xlfn.XLOOKUP(D703,Lookup!O:O,Lookup!N:N,0))</f>
        <v>Non FG</v>
      </c>
      <c r="M703">
        <f t="shared" si="22"/>
        <v>1</v>
      </c>
    </row>
    <row r="704" spans="1:13" hidden="1" x14ac:dyDescent="0.25">
      <c r="A704" s="78">
        <v>46044</v>
      </c>
      <c r="B704" s="79" t="s">
        <v>664</v>
      </c>
      <c r="C704" s="80" t="s">
        <v>1904</v>
      </c>
      <c r="D704" s="81" t="s">
        <v>1899</v>
      </c>
      <c r="E704" s="26" t="s">
        <v>707</v>
      </c>
      <c r="F704" s="82">
        <v>10000</v>
      </c>
      <c r="G704" s="83" t="s">
        <v>622</v>
      </c>
      <c r="H704" s="84">
        <v>10000</v>
      </c>
      <c r="I704" s="80" t="s">
        <v>94</v>
      </c>
      <c r="J704" s="80"/>
      <c r="K704">
        <f t="shared" si="21"/>
        <v>1</v>
      </c>
      <c r="L704" t="str">
        <f>IF(I704="UGR","UGR",_xlfn.XLOOKUP(D704,Lookup!O:O,Lookup!N:N,0))</f>
        <v>Non FG</v>
      </c>
      <c r="M704">
        <f t="shared" si="22"/>
        <v>1</v>
      </c>
    </row>
    <row r="705" spans="1:13" hidden="1" x14ac:dyDescent="0.25">
      <c r="A705" s="78">
        <v>46050</v>
      </c>
      <c r="B705" s="79" t="s">
        <v>664</v>
      </c>
      <c r="C705" s="80" t="s">
        <v>1905</v>
      </c>
      <c r="D705" s="81" t="s">
        <v>1899</v>
      </c>
      <c r="E705" s="26" t="s">
        <v>707</v>
      </c>
      <c r="F705" s="82">
        <v>10000</v>
      </c>
      <c r="G705" s="83" t="s">
        <v>622</v>
      </c>
      <c r="H705" s="84">
        <v>10000</v>
      </c>
      <c r="I705" s="80" t="s">
        <v>94</v>
      </c>
      <c r="J705" s="80"/>
      <c r="K705">
        <f t="shared" si="21"/>
        <v>1</v>
      </c>
      <c r="L705" t="str">
        <f>IF(I705="UGR","UGR",_xlfn.XLOOKUP(D705,Lookup!O:O,Lookup!N:N,0))</f>
        <v>Non FG</v>
      </c>
      <c r="M705">
        <f t="shared" si="22"/>
        <v>1</v>
      </c>
    </row>
    <row r="706" spans="1:13" hidden="1" x14ac:dyDescent="0.25">
      <c r="A706" s="78">
        <v>46027</v>
      </c>
      <c r="B706" s="79" t="s">
        <v>664</v>
      </c>
      <c r="C706" s="80" t="s">
        <v>1906</v>
      </c>
      <c r="D706" s="81" t="s">
        <v>1907</v>
      </c>
      <c r="E706" s="26" t="s">
        <v>733</v>
      </c>
      <c r="F706" s="82">
        <v>10000</v>
      </c>
      <c r="G706" s="83" t="s">
        <v>622</v>
      </c>
      <c r="H706" s="84">
        <v>10000</v>
      </c>
      <c r="I706" s="80" t="s">
        <v>94</v>
      </c>
      <c r="J706" s="80"/>
      <c r="K706">
        <f t="shared" si="21"/>
        <v>1</v>
      </c>
      <c r="L706" t="str">
        <f>IF(I706="UGR","UGR",_xlfn.XLOOKUP(D706,Lookup!O:O,Lookup!N:N,0))</f>
        <v>Non FG</v>
      </c>
      <c r="M706">
        <f t="shared" si="22"/>
        <v>1</v>
      </c>
    </row>
    <row r="707" spans="1:13" hidden="1" x14ac:dyDescent="0.25">
      <c r="A707" s="78">
        <v>46030</v>
      </c>
      <c r="B707" s="79" t="s">
        <v>664</v>
      </c>
      <c r="C707" s="80" t="s">
        <v>1908</v>
      </c>
      <c r="D707" s="81" t="s">
        <v>1907</v>
      </c>
      <c r="E707" s="26" t="s">
        <v>733</v>
      </c>
      <c r="F707" s="82">
        <v>10000</v>
      </c>
      <c r="G707" s="83" t="s">
        <v>622</v>
      </c>
      <c r="H707" s="84">
        <v>10000</v>
      </c>
      <c r="I707" s="80" t="s">
        <v>94</v>
      </c>
      <c r="J707" s="80"/>
      <c r="K707">
        <f t="shared" ref="K707:K770" si="23">IF(AND(B707=B706,C707=C706),0,1)</f>
        <v>1</v>
      </c>
      <c r="L707" t="str">
        <f>IF(I707="UGR","UGR",_xlfn.XLOOKUP(D707,Lookup!O:O,Lookup!N:N,0))</f>
        <v>Non FG</v>
      </c>
      <c r="M707">
        <f t="shared" ref="M707:M770" si="24">MONTH(A707)</f>
        <v>1</v>
      </c>
    </row>
    <row r="708" spans="1:13" hidden="1" x14ac:dyDescent="0.25">
      <c r="A708" s="78">
        <v>46035</v>
      </c>
      <c r="B708" s="79" t="s">
        <v>664</v>
      </c>
      <c r="C708" s="80" t="s">
        <v>1909</v>
      </c>
      <c r="D708" s="81" t="s">
        <v>1907</v>
      </c>
      <c r="E708" s="26" t="s">
        <v>733</v>
      </c>
      <c r="F708" s="82">
        <v>10000</v>
      </c>
      <c r="G708" s="83" t="s">
        <v>622</v>
      </c>
      <c r="H708" s="84">
        <v>10000</v>
      </c>
      <c r="I708" s="80" t="s">
        <v>94</v>
      </c>
      <c r="J708" s="80"/>
      <c r="K708">
        <f t="shared" si="23"/>
        <v>1</v>
      </c>
      <c r="L708" t="str">
        <f>IF(I708="UGR","UGR",_xlfn.XLOOKUP(D708,Lookup!O:O,Lookup!N:N,0))</f>
        <v>Non FG</v>
      </c>
      <c r="M708">
        <f t="shared" si="24"/>
        <v>1</v>
      </c>
    </row>
    <row r="709" spans="1:13" hidden="1" x14ac:dyDescent="0.25">
      <c r="A709" s="78">
        <v>46037</v>
      </c>
      <c r="B709" s="79" t="s">
        <v>664</v>
      </c>
      <c r="C709" s="80" t="s">
        <v>1910</v>
      </c>
      <c r="D709" s="81" t="s">
        <v>1907</v>
      </c>
      <c r="E709" s="26" t="s">
        <v>733</v>
      </c>
      <c r="F709" s="82">
        <v>10000</v>
      </c>
      <c r="G709" s="83" t="s">
        <v>622</v>
      </c>
      <c r="H709" s="84">
        <v>10000</v>
      </c>
      <c r="I709" s="80" t="s">
        <v>94</v>
      </c>
      <c r="J709" s="80"/>
      <c r="K709">
        <f t="shared" si="23"/>
        <v>1</v>
      </c>
      <c r="L709" t="str">
        <f>IF(I709="UGR","UGR",_xlfn.XLOOKUP(D709,Lookup!O:O,Lookup!N:N,0))</f>
        <v>Non FG</v>
      </c>
      <c r="M709">
        <f t="shared" si="24"/>
        <v>1</v>
      </c>
    </row>
    <row r="710" spans="1:13" hidden="1" x14ac:dyDescent="0.25">
      <c r="A710" s="78">
        <v>46042</v>
      </c>
      <c r="B710" s="79" t="s">
        <v>664</v>
      </c>
      <c r="C710" s="80" t="s">
        <v>1911</v>
      </c>
      <c r="D710" s="81" t="s">
        <v>1907</v>
      </c>
      <c r="E710" s="26" t="s">
        <v>733</v>
      </c>
      <c r="F710" s="82">
        <v>10000</v>
      </c>
      <c r="G710" s="83" t="s">
        <v>622</v>
      </c>
      <c r="H710" s="84">
        <v>10000</v>
      </c>
      <c r="I710" s="80" t="s">
        <v>94</v>
      </c>
      <c r="J710" s="80"/>
      <c r="K710">
        <f t="shared" si="23"/>
        <v>1</v>
      </c>
      <c r="L710" t="str">
        <f>IF(I710="UGR","UGR",_xlfn.XLOOKUP(D710,Lookup!O:O,Lookup!N:N,0))</f>
        <v>Non FG</v>
      </c>
      <c r="M710">
        <f t="shared" si="24"/>
        <v>1</v>
      </c>
    </row>
    <row r="711" spans="1:13" hidden="1" x14ac:dyDescent="0.25">
      <c r="A711" s="78">
        <v>46044</v>
      </c>
      <c r="B711" s="79" t="s">
        <v>664</v>
      </c>
      <c r="C711" s="80" t="s">
        <v>1912</v>
      </c>
      <c r="D711" s="81" t="s">
        <v>1907</v>
      </c>
      <c r="E711" s="26" t="s">
        <v>733</v>
      </c>
      <c r="F711" s="82">
        <v>10000</v>
      </c>
      <c r="G711" s="83" t="s">
        <v>622</v>
      </c>
      <c r="H711" s="84">
        <v>10000</v>
      </c>
      <c r="I711" s="80" t="s">
        <v>94</v>
      </c>
      <c r="J711" s="80"/>
      <c r="K711">
        <f t="shared" si="23"/>
        <v>1</v>
      </c>
      <c r="L711" t="str">
        <f>IF(I711="UGR","UGR",_xlfn.XLOOKUP(D711,Lookup!O:O,Lookup!N:N,0))</f>
        <v>Non FG</v>
      </c>
      <c r="M711">
        <f t="shared" si="24"/>
        <v>1</v>
      </c>
    </row>
    <row r="712" spans="1:13" hidden="1" x14ac:dyDescent="0.25">
      <c r="A712" s="78">
        <v>46050</v>
      </c>
      <c r="B712" s="79" t="s">
        <v>664</v>
      </c>
      <c r="C712" s="80" t="s">
        <v>1913</v>
      </c>
      <c r="D712" s="81" t="s">
        <v>1907</v>
      </c>
      <c r="E712" s="26" t="s">
        <v>733</v>
      </c>
      <c r="F712" s="82">
        <v>10000</v>
      </c>
      <c r="G712" s="83" t="s">
        <v>622</v>
      </c>
      <c r="H712" s="84">
        <v>10000</v>
      </c>
      <c r="I712" s="80" t="s">
        <v>94</v>
      </c>
      <c r="J712" s="80"/>
      <c r="K712">
        <f t="shared" si="23"/>
        <v>1</v>
      </c>
      <c r="L712" t="str">
        <f>IF(I712="UGR","UGR",_xlfn.XLOOKUP(D712,Lookup!O:O,Lookup!N:N,0))</f>
        <v>Non FG</v>
      </c>
      <c r="M712">
        <f t="shared" si="24"/>
        <v>1</v>
      </c>
    </row>
    <row r="713" spans="1:13" hidden="1" x14ac:dyDescent="0.25">
      <c r="A713" s="78">
        <v>46027</v>
      </c>
      <c r="B713" s="79" t="s">
        <v>664</v>
      </c>
      <c r="C713" s="80" t="s">
        <v>1914</v>
      </c>
      <c r="D713" s="81" t="s">
        <v>1915</v>
      </c>
      <c r="E713" s="26" t="s">
        <v>701</v>
      </c>
      <c r="F713" s="82">
        <v>10000</v>
      </c>
      <c r="G713" s="83" t="s">
        <v>622</v>
      </c>
      <c r="H713" s="84">
        <v>10000</v>
      </c>
      <c r="I713" s="80" t="s">
        <v>94</v>
      </c>
      <c r="J713" s="80"/>
      <c r="K713">
        <f t="shared" si="23"/>
        <v>1</v>
      </c>
      <c r="L713" t="str">
        <f>IF(I713="UGR","UGR",_xlfn.XLOOKUP(D713,Lookup!O:O,Lookup!N:N,0))</f>
        <v>Non FG</v>
      </c>
      <c r="M713">
        <f t="shared" si="24"/>
        <v>1</v>
      </c>
    </row>
    <row r="714" spans="1:13" hidden="1" x14ac:dyDescent="0.25">
      <c r="A714" s="78">
        <v>46034</v>
      </c>
      <c r="B714" s="79" t="s">
        <v>664</v>
      </c>
      <c r="C714" s="80" t="s">
        <v>1916</v>
      </c>
      <c r="D714" s="81" t="s">
        <v>1915</v>
      </c>
      <c r="E714" s="26" t="s">
        <v>701</v>
      </c>
      <c r="F714" s="82">
        <v>10000</v>
      </c>
      <c r="G714" s="83" t="s">
        <v>622</v>
      </c>
      <c r="H714" s="84">
        <v>10000</v>
      </c>
      <c r="I714" s="80" t="s">
        <v>94</v>
      </c>
      <c r="J714" s="80"/>
      <c r="K714">
        <f t="shared" si="23"/>
        <v>1</v>
      </c>
      <c r="L714" t="str">
        <f>IF(I714="UGR","UGR",_xlfn.XLOOKUP(D714,Lookup!O:O,Lookup!N:N,0))</f>
        <v>Non FG</v>
      </c>
      <c r="M714">
        <f t="shared" si="24"/>
        <v>1</v>
      </c>
    </row>
    <row r="715" spans="1:13" hidden="1" x14ac:dyDescent="0.25">
      <c r="A715" s="78">
        <v>46036</v>
      </c>
      <c r="B715" s="79" t="s">
        <v>664</v>
      </c>
      <c r="C715" s="80" t="s">
        <v>1917</v>
      </c>
      <c r="D715" s="81" t="s">
        <v>1915</v>
      </c>
      <c r="E715" s="26" t="s">
        <v>701</v>
      </c>
      <c r="F715" s="82">
        <v>10000</v>
      </c>
      <c r="G715" s="83" t="s">
        <v>622</v>
      </c>
      <c r="H715" s="84">
        <v>10000</v>
      </c>
      <c r="I715" s="80" t="s">
        <v>94</v>
      </c>
      <c r="J715" s="80"/>
      <c r="K715">
        <f t="shared" si="23"/>
        <v>1</v>
      </c>
      <c r="L715" t="str">
        <f>IF(I715="UGR","UGR",_xlfn.XLOOKUP(D715,Lookup!O:O,Lookup!N:N,0))</f>
        <v>Non FG</v>
      </c>
      <c r="M715">
        <f t="shared" si="24"/>
        <v>1</v>
      </c>
    </row>
    <row r="716" spans="1:13" hidden="1" x14ac:dyDescent="0.25">
      <c r="A716" s="78">
        <v>46041</v>
      </c>
      <c r="B716" s="79" t="s">
        <v>664</v>
      </c>
      <c r="C716" s="80" t="s">
        <v>1918</v>
      </c>
      <c r="D716" s="81" t="s">
        <v>1915</v>
      </c>
      <c r="E716" s="26" t="s">
        <v>701</v>
      </c>
      <c r="F716" s="82">
        <v>10000</v>
      </c>
      <c r="G716" s="83" t="s">
        <v>622</v>
      </c>
      <c r="H716" s="84">
        <v>10000</v>
      </c>
      <c r="I716" s="80" t="s">
        <v>94</v>
      </c>
      <c r="J716" s="80"/>
      <c r="K716">
        <f t="shared" si="23"/>
        <v>1</v>
      </c>
      <c r="L716" t="str">
        <f>IF(I716="UGR","UGR",_xlfn.XLOOKUP(D716,Lookup!O:O,Lookup!N:N,0))</f>
        <v>Non FG</v>
      </c>
      <c r="M716">
        <f t="shared" si="24"/>
        <v>1</v>
      </c>
    </row>
    <row r="717" spans="1:13" hidden="1" x14ac:dyDescent="0.25">
      <c r="A717" s="78">
        <v>46043</v>
      </c>
      <c r="B717" s="79" t="s">
        <v>664</v>
      </c>
      <c r="C717" s="80" t="s">
        <v>1919</v>
      </c>
      <c r="D717" s="81" t="s">
        <v>1915</v>
      </c>
      <c r="E717" s="26" t="s">
        <v>701</v>
      </c>
      <c r="F717" s="82">
        <v>10000</v>
      </c>
      <c r="G717" s="83" t="s">
        <v>622</v>
      </c>
      <c r="H717" s="84">
        <v>10000</v>
      </c>
      <c r="I717" s="80" t="s">
        <v>94</v>
      </c>
      <c r="J717" s="80"/>
      <c r="K717">
        <f t="shared" si="23"/>
        <v>1</v>
      </c>
      <c r="L717" t="str">
        <f>IF(I717="UGR","UGR",_xlfn.XLOOKUP(D717,Lookup!O:O,Lookup!N:N,0))</f>
        <v>Non FG</v>
      </c>
      <c r="M717">
        <f t="shared" si="24"/>
        <v>1</v>
      </c>
    </row>
    <row r="718" spans="1:13" hidden="1" x14ac:dyDescent="0.25">
      <c r="A718" s="78">
        <v>46048</v>
      </c>
      <c r="B718" s="79" t="s">
        <v>664</v>
      </c>
      <c r="C718" s="80" t="s">
        <v>1920</v>
      </c>
      <c r="D718" s="81" t="s">
        <v>1915</v>
      </c>
      <c r="E718" s="26" t="s">
        <v>701</v>
      </c>
      <c r="F718" s="82">
        <v>10000</v>
      </c>
      <c r="G718" s="83" t="s">
        <v>622</v>
      </c>
      <c r="H718" s="84">
        <v>10000</v>
      </c>
      <c r="I718" s="80" t="s">
        <v>94</v>
      </c>
      <c r="J718" s="80"/>
      <c r="K718">
        <f t="shared" si="23"/>
        <v>1</v>
      </c>
      <c r="L718" t="str">
        <f>IF(I718="UGR","UGR",_xlfn.XLOOKUP(D718,Lookup!O:O,Lookup!N:N,0))</f>
        <v>Non FG</v>
      </c>
      <c r="M718">
        <f t="shared" si="24"/>
        <v>1</v>
      </c>
    </row>
    <row r="719" spans="1:13" hidden="1" x14ac:dyDescent="0.25">
      <c r="A719" s="78">
        <v>46050</v>
      </c>
      <c r="B719" s="79" t="s">
        <v>664</v>
      </c>
      <c r="C719" s="80" t="s">
        <v>1921</v>
      </c>
      <c r="D719" s="81" t="s">
        <v>1915</v>
      </c>
      <c r="E719" s="26" t="s">
        <v>701</v>
      </c>
      <c r="F719" s="82">
        <v>10000</v>
      </c>
      <c r="G719" s="83" t="s">
        <v>622</v>
      </c>
      <c r="H719" s="84">
        <v>10000</v>
      </c>
      <c r="I719" s="80" t="s">
        <v>94</v>
      </c>
      <c r="J719" s="80"/>
      <c r="K719">
        <f t="shared" si="23"/>
        <v>1</v>
      </c>
      <c r="L719" t="str">
        <f>IF(I719="UGR","UGR",_xlfn.XLOOKUP(D719,Lookup!O:O,Lookup!N:N,0))</f>
        <v>Non FG</v>
      </c>
      <c r="M719">
        <f t="shared" si="24"/>
        <v>1</v>
      </c>
    </row>
    <row r="720" spans="1:13" hidden="1" x14ac:dyDescent="0.25">
      <c r="A720" s="78">
        <v>46027</v>
      </c>
      <c r="B720" s="79" t="s">
        <v>664</v>
      </c>
      <c r="C720" s="80" t="s">
        <v>1922</v>
      </c>
      <c r="D720" s="81" t="s">
        <v>1923</v>
      </c>
      <c r="E720" s="26" t="s">
        <v>674</v>
      </c>
      <c r="F720" s="82">
        <v>10000</v>
      </c>
      <c r="G720" s="83" t="s">
        <v>622</v>
      </c>
      <c r="H720" s="84">
        <v>10000</v>
      </c>
      <c r="I720" s="80" t="s">
        <v>94</v>
      </c>
      <c r="J720" s="80"/>
      <c r="K720">
        <f t="shared" si="23"/>
        <v>1</v>
      </c>
      <c r="L720" t="str">
        <f>IF(I720="UGR","UGR",_xlfn.XLOOKUP(D720,Lookup!O:O,Lookup!N:N,0))</f>
        <v>Non FG</v>
      </c>
      <c r="M720">
        <f t="shared" si="24"/>
        <v>1</v>
      </c>
    </row>
    <row r="721" spans="1:13" hidden="1" x14ac:dyDescent="0.25">
      <c r="A721" s="78">
        <v>46034</v>
      </c>
      <c r="B721" s="79" t="s">
        <v>664</v>
      </c>
      <c r="C721" s="80" t="s">
        <v>1924</v>
      </c>
      <c r="D721" s="81" t="s">
        <v>1923</v>
      </c>
      <c r="E721" s="26" t="s">
        <v>674</v>
      </c>
      <c r="F721" s="82">
        <v>10000</v>
      </c>
      <c r="G721" s="83" t="s">
        <v>622</v>
      </c>
      <c r="H721" s="84">
        <v>10000</v>
      </c>
      <c r="I721" s="80" t="s">
        <v>94</v>
      </c>
      <c r="J721" s="80"/>
      <c r="K721">
        <f t="shared" si="23"/>
        <v>1</v>
      </c>
      <c r="L721" t="str">
        <f>IF(I721="UGR","UGR",_xlfn.XLOOKUP(D721,Lookup!O:O,Lookup!N:N,0))</f>
        <v>Non FG</v>
      </c>
      <c r="M721">
        <f t="shared" si="24"/>
        <v>1</v>
      </c>
    </row>
    <row r="722" spans="1:13" hidden="1" x14ac:dyDescent="0.25">
      <c r="A722" s="78">
        <v>46036</v>
      </c>
      <c r="B722" s="79" t="s">
        <v>664</v>
      </c>
      <c r="C722" s="80" t="s">
        <v>1925</v>
      </c>
      <c r="D722" s="81" t="s">
        <v>1923</v>
      </c>
      <c r="E722" s="26" t="s">
        <v>674</v>
      </c>
      <c r="F722" s="82">
        <v>10000</v>
      </c>
      <c r="G722" s="83" t="s">
        <v>622</v>
      </c>
      <c r="H722" s="84">
        <v>10000</v>
      </c>
      <c r="I722" s="80" t="s">
        <v>94</v>
      </c>
      <c r="J722" s="80"/>
      <c r="K722">
        <f t="shared" si="23"/>
        <v>1</v>
      </c>
      <c r="L722" t="str">
        <f>IF(I722="UGR","UGR",_xlfn.XLOOKUP(D722,Lookup!O:O,Lookup!N:N,0))</f>
        <v>Non FG</v>
      </c>
      <c r="M722">
        <f t="shared" si="24"/>
        <v>1</v>
      </c>
    </row>
    <row r="723" spans="1:13" hidden="1" x14ac:dyDescent="0.25">
      <c r="A723" s="78">
        <v>46041</v>
      </c>
      <c r="B723" s="79" t="s">
        <v>664</v>
      </c>
      <c r="C723" s="80" t="s">
        <v>1926</v>
      </c>
      <c r="D723" s="81" t="s">
        <v>1923</v>
      </c>
      <c r="E723" s="26" t="s">
        <v>674</v>
      </c>
      <c r="F723" s="82">
        <v>10000</v>
      </c>
      <c r="G723" s="83" t="s">
        <v>622</v>
      </c>
      <c r="H723" s="84">
        <v>10000</v>
      </c>
      <c r="I723" s="80" t="s">
        <v>94</v>
      </c>
      <c r="J723" s="80"/>
      <c r="K723">
        <f t="shared" si="23"/>
        <v>1</v>
      </c>
      <c r="L723" t="str">
        <f>IF(I723="UGR","UGR",_xlfn.XLOOKUP(D723,Lookup!O:O,Lookup!N:N,0))</f>
        <v>Non FG</v>
      </c>
      <c r="M723">
        <f t="shared" si="24"/>
        <v>1</v>
      </c>
    </row>
    <row r="724" spans="1:13" hidden="1" x14ac:dyDescent="0.25">
      <c r="A724" s="78">
        <v>46043</v>
      </c>
      <c r="B724" s="79" t="s">
        <v>664</v>
      </c>
      <c r="C724" s="80" t="s">
        <v>1927</v>
      </c>
      <c r="D724" s="81" t="s">
        <v>1923</v>
      </c>
      <c r="E724" s="26" t="s">
        <v>674</v>
      </c>
      <c r="F724" s="82">
        <v>10000</v>
      </c>
      <c r="G724" s="83" t="s">
        <v>622</v>
      </c>
      <c r="H724" s="84">
        <v>10000</v>
      </c>
      <c r="I724" s="80" t="s">
        <v>94</v>
      </c>
      <c r="J724" s="80"/>
      <c r="K724">
        <f t="shared" si="23"/>
        <v>1</v>
      </c>
      <c r="L724" t="str">
        <f>IF(I724="UGR","UGR",_xlfn.XLOOKUP(D724,Lookup!O:O,Lookup!N:N,0))</f>
        <v>Non FG</v>
      </c>
      <c r="M724">
        <f t="shared" si="24"/>
        <v>1</v>
      </c>
    </row>
    <row r="725" spans="1:13" hidden="1" x14ac:dyDescent="0.25">
      <c r="A725" s="78">
        <v>46048</v>
      </c>
      <c r="B725" s="79" t="s">
        <v>664</v>
      </c>
      <c r="C725" s="80" t="s">
        <v>1928</v>
      </c>
      <c r="D725" s="81" t="s">
        <v>1923</v>
      </c>
      <c r="E725" s="26" t="s">
        <v>674</v>
      </c>
      <c r="F725" s="82">
        <v>10000</v>
      </c>
      <c r="G725" s="83" t="s">
        <v>622</v>
      </c>
      <c r="H725" s="84">
        <v>10000</v>
      </c>
      <c r="I725" s="80" t="s">
        <v>94</v>
      </c>
      <c r="J725" s="80"/>
      <c r="K725">
        <f t="shared" si="23"/>
        <v>1</v>
      </c>
      <c r="L725" t="str">
        <f>IF(I725="UGR","UGR",_xlfn.XLOOKUP(D725,Lookup!O:O,Lookup!N:N,0))</f>
        <v>Non FG</v>
      </c>
      <c r="M725">
        <f t="shared" si="24"/>
        <v>1</v>
      </c>
    </row>
    <row r="726" spans="1:13" hidden="1" x14ac:dyDescent="0.25">
      <c r="A726" s="78">
        <v>46050</v>
      </c>
      <c r="B726" s="79" t="s">
        <v>664</v>
      </c>
      <c r="C726" s="80" t="s">
        <v>1929</v>
      </c>
      <c r="D726" s="81" t="s">
        <v>1923</v>
      </c>
      <c r="E726" s="26" t="s">
        <v>674</v>
      </c>
      <c r="F726" s="82">
        <v>10000</v>
      </c>
      <c r="G726" s="83" t="s">
        <v>622</v>
      </c>
      <c r="H726" s="84">
        <v>10000</v>
      </c>
      <c r="I726" s="80" t="s">
        <v>94</v>
      </c>
      <c r="J726" s="80"/>
      <c r="K726">
        <f t="shared" si="23"/>
        <v>1</v>
      </c>
      <c r="L726" t="str">
        <f>IF(I726="UGR","UGR",_xlfn.XLOOKUP(D726,Lookup!O:O,Lookup!N:N,0))</f>
        <v>Non FG</v>
      </c>
      <c r="M726">
        <f t="shared" si="24"/>
        <v>1</v>
      </c>
    </row>
    <row r="727" spans="1:13" hidden="1" x14ac:dyDescent="0.25">
      <c r="A727" s="78">
        <v>46028</v>
      </c>
      <c r="B727" s="79" t="s">
        <v>664</v>
      </c>
      <c r="C727" s="80" t="s">
        <v>1930</v>
      </c>
      <c r="D727" s="81" t="s">
        <v>1931</v>
      </c>
      <c r="E727" s="26" t="s">
        <v>735</v>
      </c>
      <c r="F727" s="82">
        <v>10000</v>
      </c>
      <c r="G727" s="83" t="s">
        <v>622</v>
      </c>
      <c r="H727" s="84">
        <v>10000</v>
      </c>
      <c r="I727" s="80" t="s">
        <v>94</v>
      </c>
      <c r="J727" s="80"/>
      <c r="K727">
        <f t="shared" si="23"/>
        <v>1</v>
      </c>
      <c r="L727" t="str">
        <f>IF(I727="UGR","UGR",_xlfn.XLOOKUP(D727,Lookup!O:O,Lookup!N:N,0))</f>
        <v>Non FG</v>
      </c>
      <c r="M727">
        <f t="shared" si="24"/>
        <v>1</v>
      </c>
    </row>
    <row r="728" spans="1:13" hidden="1" x14ac:dyDescent="0.25">
      <c r="A728" s="78">
        <v>46034</v>
      </c>
      <c r="B728" s="79" t="s">
        <v>664</v>
      </c>
      <c r="C728" s="80" t="s">
        <v>1932</v>
      </c>
      <c r="D728" s="81" t="s">
        <v>1931</v>
      </c>
      <c r="E728" s="26" t="s">
        <v>735</v>
      </c>
      <c r="F728" s="82">
        <v>10000</v>
      </c>
      <c r="G728" s="83" t="s">
        <v>622</v>
      </c>
      <c r="H728" s="84">
        <v>10000</v>
      </c>
      <c r="I728" s="80" t="s">
        <v>94</v>
      </c>
      <c r="J728" s="80"/>
      <c r="K728">
        <f t="shared" si="23"/>
        <v>1</v>
      </c>
      <c r="L728" t="str">
        <f>IF(I728="UGR","UGR",_xlfn.XLOOKUP(D728,Lookup!O:O,Lookup!N:N,0))</f>
        <v>Non FG</v>
      </c>
      <c r="M728">
        <f t="shared" si="24"/>
        <v>1</v>
      </c>
    </row>
    <row r="729" spans="1:13" hidden="1" x14ac:dyDescent="0.25">
      <c r="A729" s="78">
        <v>46036</v>
      </c>
      <c r="B729" s="79" t="s">
        <v>664</v>
      </c>
      <c r="C729" s="80" t="s">
        <v>1933</v>
      </c>
      <c r="D729" s="81" t="s">
        <v>1931</v>
      </c>
      <c r="E729" s="26" t="s">
        <v>735</v>
      </c>
      <c r="F729" s="82">
        <v>10000</v>
      </c>
      <c r="G729" s="83" t="s">
        <v>622</v>
      </c>
      <c r="H729" s="84">
        <v>10000</v>
      </c>
      <c r="I729" s="80" t="s">
        <v>94</v>
      </c>
      <c r="J729" s="80"/>
      <c r="K729">
        <f t="shared" si="23"/>
        <v>1</v>
      </c>
      <c r="L729" t="str">
        <f>IF(I729="UGR","UGR",_xlfn.XLOOKUP(D729,Lookup!O:O,Lookup!N:N,0))</f>
        <v>Non FG</v>
      </c>
      <c r="M729">
        <f t="shared" si="24"/>
        <v>1</v>
      </c>
    </row>
    <row r="730" spans="1:13" hidden="1" x14ac:dyDescent="0.25">
      <c r="A730" s="78">
        <v>46041</v>
      </c>
      <c r="B730" s="79" t="s">
        <v>664</v>
      </c>
      <c r="C730" s="80" t="s">
        <v>1934</v>
      </c>
      <c r="D730" s="81" t="s">
        <v>1931</v>
      </c>
      <c r="E730" s="26" t="s">
        <v>735</v>
      </c>
      <c r="F730" s="82">
        <v>10000</v>
      </c>
      <c r="G730" s="83" t="s">
        <v>622</v>
      </c>
      <c r="H730" s="84">
        <v>10000</v>
      </c>
      <c r="I730" s="80" t="s">
        <v>94</v>
      </c>
      <c r="J730" s="80"/>
      <c r="K730">
        <f t="shared" si="23"/>
        <v>1</v>
      </c>
      <c r="L730" t="str">
        <f>IF(I730="UGR","UGR",_xlfn.XLOOKUP(D730,Lookup!O:O,Lookup!N:N,0))</f>
        <v>Non FG</v>
      </c>
      <c r="M730">
        <f t="shared" si="24"/>
        <v>1</v>
      </c>
    </row>
    <row r="731" spans="1:13" hidden="1" x14ac:dyDescent="0.25">
      <c r="A731" s="78">
        <v>46043</v>
      </c>
      <c r="B731" s="79" t="s">
        <v>664</v>
      </c>
      <c r="C731" s="80" t="s">
        <v>1935</v>
      </c>
      <c r="D731" s="81" t="s">
        <v>1931</v>
      </c>
      <c r="E731" s="26" t="s">
        <v>735</v>
      </c>
      <c r="F731" s="82">
        <v>10000</v>
      </c>
      <c r="G731" s="83" t="s">
        <v>622</v>
      </c>
      <c r="H731" s="84">
        <v>10000</v>
      </c>
      <c r="I731" s="80" t="s">
        <v>94</v>
      </c>
      <c r="J731" s="80"/>
      <c r="K731">
        <f t="shared" si="23"/>
        <v>1</v>
      </c>
      <c r="L731" t="str">
        <f>IF(I731="UGR","UGR",_xlfn.XLOOKUP(D731,Lookup!O:O,Lookup!N:N,0))</f>
        <v>Non FG</v>
      </c>
      <c r="M731">
        <f t="shared" si="24"/>
        <v>1</v>
      </c>
    </row>
    <row r="732" spans="1:13" hidden="1" x14ac:dyDescent="0.25">
      <c r="A732" s="78">
        <v>46048</v>
      </c>
      <c r="B732" s="79" t="s">
        <v>664</v>
      </c>
      <c r="C732" s="80" t="s">
        <v>1936</v>
      </c>
      <c r="D732" s="81" t="s">
        <v>1931</v>
      </c>
      <c r="E732" s="26" t="s">
        <v>735</v>
      </c>
      <c r="F732" s="82">
        <v>10000</v>
      </c>
      <c r="G732" s="83" t="s">
        <v>622</v>
      </c>
      <c r="H732" s="84">
        <v>10000</v>
      </c>
      <c r="I732" s="80" t="s">
        <v>94</v>
      </c>
      <c r="J732" s="80"/>
      <c r="K732">
        <f t="shared" si="23"/>
        <v>1</v>
      </c>
      <c r="L732" t="str">
        <f>IF(I732="UGR","UGR",_xlfn.XLOOKUP(D732,Lookup!O:O,Lookup!N:N,0))</f>
        <v>Non FG</v>
      </c>
      <c r="M732">
        <f t="shared" si="24"/>
        <v>1</v>
      </c>
    </row>
    <row r="733" spans="1:13" hidden="1" x14ac:dyDescent="0.25">
      <c r="A733" s="78">
        <v>46050</v>
      </c>
      <c r="B733" s="79" t="s">
        <v>664</v>
      </c>
      <c r="C733" s="80" t="s">
        <v>1937</v>
      </c>
      <c r="D733" s="81" t="s">
        <v>1931</v>
      </c>
      <c r="E733" s="26" t="s">
        <v>735</v>
      </c>
      <c r="F733" s="82">
        <v>10000</v>
      </c>
      <c r="G733" s="83" t="s">
        <v>622</v>
      </c>
      <c r="H733" s="84">
        <v>10000</v>
      </c>
      <c r="I733" s="80" t="s">
        <v>94</v>
      </c>
      <c r="J733" s="80"/>
      <c r="K733">
        <f t="shared" si="23"/>
        <v>1</v>
      </c>
      <c r="L733" t="str">
        <f>IF(I733="UGR","UGR",_xlfn.XLOOKUP(D733,Lookup!O:O,Lookup!N:N,0))</f>
        <v>Non FG</v>
      </c>
      <c r="M733">
        <f t="shared" si="24"/>
        <v>1</v>
      </c>
    </row>
    <row r="734" spans="1:13" hidden="1" x14ac:dyDescent="0.25">
      <c r="A734" s="78">
        <v>46028</v>
      </c>
      <c r="B734" s="79" t="s">
        <v>664</v>
      </c>
      <c r="C734" s="80" t="s">
        <v>1938</v>
      </c>
      <c r="D734" s="81" t="s">
        <v>1939</v>
      </c>
      <c r="E734" s="26" t="s">
        <v>676</v>
      </c>
      <c r="F734" s="82">
        <v>10000</v>
      </c>
      <c r="G734" s="83" t="s">
        <v>622</v>
      </c>
      <c r="H734" s="84">
        <v>10000</v>
      </c>
      <c r="I734" s="80" t="s">
        <v>94</v>
      </c>
      <c r="J734" s="80"/>
      <c r="K734">
        <f t="shared" si="23"/>
        <v>1</v>
      </c>
      <c r="L734" t="str">
        <f>IF(I734="UGR","UGR",_xlfn.XLOOKUP(D734,Lookup!O:O,Lookup!N:N,0))</f>
        <v>Non FG</v>
      </c>
      <c r="M734">
        <f t="shared" si="24"/>
        <v>1</v>
      </c>
    </row>
    <row r="735" spans="1:13" hidden="1" x14ac:dyDescent="0.25">
      <c r="A735" s="78">
        <v>46034</v>
      </c>
      <c r="B735" s="79" t="s">
        <v>664</v>
      </c>
      <c r="C735" s="80" t="s">
        <v>1940</v>
      </c>
      <c r="D735" s="81" t="s">
        <v>1939</v>
      </c>
      <c r="E735" s="26" t="s">
        <v>676</v>
      </c>
      <c r="F735" s="82">
        <v>10000</v>
      </c>
      <c r="G735" s="83" t="s">
        <v>622</v>
      </c>
      <c r="H735" s="84">
        <v>10000</v>
      </c>
      <c r="I735" s="80" t="s">
        <v>94</v>
      </c>
      <c r="J735" s="80"/>
      <c r="K735">
        <f t="shared" si="23"/>
        <v>1</v>
      </c>
      <c r="L735" t="str">
        <f>IF(I735="UGR","UGR",_xlfn.XLOOKUP(D735,Lookup!O:O,Lookup!N:N,0))</f>
        <v>Non FG</v>
      </c>
      <c r="M735">
        <f t="shared" si="24"/>
        <v>1</v>
      </c>
    </row>
    <row r="736" spans="1:13" hidden="1" x14ac:dyDescent="0.25">
      <c r="A736" s="78">
        <v>46036</v>
      </c>
      <c r="B736" s="79" t="s">
        <v>664</v>
      </c>
      <c r="C736" s="80" t="s">
        <v>1941</v>
      </c>
      <c r="D736" s="81" t="s">
        <v>1939</v>
      </c>
      <c r="E736" s="26" t="s">
        <v>676</v>
      </c>
      <c r="F736" s="82">
        <v>10000</v>
      </c>
      <c r="G736" s="83" t="s">
        <v>622</v>
      </c>
      <c r="H736" s="84">
        <v>10000</v>
      </c>
      <c r="I736" s="80" t="s">
        <v>94</v>
      </c>
      <c r="J736" s="80"/>
      <c r="K736">
        <f t="shared" si="23"/>
        <v>1</v>
      </c>
      <c r="L736" t="str">
        <f>IF(I736="UGR","UGR",_xlfn.XLOOKUP(D736,Lookup!O:O,Lookup!N:N,0))</f>
        <v>Non FG</v>
      </c>
      <c r="M736">
        <f t="shared" si="24"/>
        <v>1</v>
      </c>
    </row>
    <row r="737" spans="1:13" hidden="1" x14ac:dyDescent="0.25">
      <c r="A737" s="78">
        <v>46041</v>
      </c>
      <c r="B737" s="79" t="s">
        <v>664</v>
      </c>
      <c r="C737" s="80" t="s">
        <v>1942</v>
      </c>
      <c r="D737" s="81" t="s">
        <v>1939</v>
      </c>
      <c r="E737" s="26" t="s">
        <v>676</v>
      </c>
      <c r="F737" s="82">
        <v>10000</v>
      </c>
      <c r="G737" s="83" t="s">
        <v>622</v>
      </c>
      <c r="H737" s="84">
        <v>10000</v>
      </c>
      <c r="I737" s="80" t="s">
        <v>94</v>
      </c>
      <c r="J737" s="80"/>
      <c r="K737">
        <f t="shared" si="23"/>
        <v>1</v>
      </c>
      <c r="L737" t="str">
        <f>IF(I737="UGR","UGR",_xlfn.XLOOKUP(D737,Lookup!O:O,Lookup!N:N,0))</f>
        <v>Non FG</v>
      </c>
      <c r="M737">
        <f t="shared" si="24"/>
        <v>1</v>
      </c>
    </row>
    <row r="738" spans="1:13" hidden="1" x14ac:dyDescent="0.25">
      <c r="A738" s="78">
        <v>46043</v>
      </c>
      <c r="B738" s="79" t="s">
        <v>664</v>
      </c>
      <c r="C738" s="80" t="s">
        <v>1943</v>
      </c>
      <c r="D738" s="81" t="s">
        <v>1939</v>
      </c>
      <c r="E738" s="26" t="s">
        <v>676</v>
      </c>
      <c r="F738" s="82">
        <v>10000</v>
      </c>
      <c r="G738" s="83" t="s">
        <v>622</v>
      </c>
      <c r="H738" s="84">
        <v>10000</v>
      </c>
      <c r="I738" s="80" t="s">
        <v>94</v>
      </c>
      <c r="J738" s="80"/>
      <c r="K738">
        <f t="shared" si="23"/>
        <v>1</v>
      </c>
      <c r="L738" t="str">
        <f>IF(I738="UGR","UGR",_xlfn.XLOOKUP(D738,Lookup!O:O,Lookup!N:N,0))</f>
        <v>Non FG</v>
      </c>
      <c r="M738">
        <f t="shared" si="24"/>
        <v>1</v>
      </c>
    </row>
    <row r="739" spans="1:13" hidden="1" x14ac:dyDescent="0.25">
      <c r="A739" s="78">
        <v>46048</v>
      </c>
      <c r="B739" s="79" t="s">
        <v>664</v>
      </c>
      <c r="C739" s="80" t="s">
        <v>1944</v>
      </c>
      <c r="D739" s="81" t="s">
        <v>1939</v>
      </c>
      <c r="E739" s="26" t="s">
        <v>676</v>
      </c>
      <c r="F739" s="82">
        <v>10000</v>
      </c>
      <c r="G739" s="83" t="s">
        <v>622</v>
      </c>
      <c r="H739" s="84">
        <v>10000</v>
      </c>
      <c r="I739" s="80" t="s">
        <v>94</v>
      </c>
      <c r="J739" s="80"/>
      <c r="K739">
        <f t="shared" si="23"/>
        <v>1</v>
      </c>
      <c r="L739" t="str">
        <f>IF(I739="UGR","UGR",_xlfn.XLOOKUP(D739,Lookup!O:O,Lookup!N:N,0))</f>
        <v>Non FG</v>
      </c>
      <c r="M739">
        <f t="shared" si="24"/>
        <v>1</v>
      </c>
    </row>
    <row r="740" spans="1:13" hidden="1" x14ac:dyDescent="0.25">
      <c r="A740" s="78">
        <v>46050</v>
      </c>
      <c r="B740" s="79" t="s">
        <v>664</v>
      </c>
      <c r="C740" s="80" t="s">
        <v>1945</v>
      </c>
      <c r="D740" s="81" t="s">
        <v>1939</v>
      </c>
      <c r="E740" s="26" t="s">
        <v>676</v>
      </c>
      <c r="F740" s="82">
        <v>10000</v>
      </c>
      <c r="G740" s="83" t="s">
        <v>622</v>
      </c>
      <c r="H740" s="84">
        <v>10000</v>
      </c>
      <c r="I740" s="80" t="s">
        <v>94</v>
      </c>
      <c r="J740" s="80"/>
      <c r="K740">
        <f t="shared" si="23"/>
        <v>1</v>
      </c>
      <c r="L740" t="str">
        <f>IF(I740="UGR","UGR",_xlfn.XLOOKUP(D740,Lookup!O:O,Lookup!N:N,0))</f>
        <v>Non FG</v>
      </c>
      <c r="M740">
        <f t="shared" si="24"/>
        <v>1</v>
      </c>
    </row>
    <row r="741" spans="1:13" hidden="1" x14ac:dyDescent="0.25">
      <c r="A741" s="78">
        <v>46028</v>
      </c>
      <c r="B741" s="79" t="s">
        <v>664</v>
      </c>
      <c r="C741" s="80" t="s">
        <v>1946</v>
      </c>
      <c r="D741" s="81" t="s">
        <v>1947</v>
      </c>
      <c r="E741" s="26" t="s">
        <v>709</v>
      </c>
      <c r="F741" s="82">
        <v>10000</v>
      </c>
      <c r="G741" s="83" t="s">
        <v>622</v>
      </c>
      <c r="H741" s="84">
        <v>10000</v>
      </c>
      <c r="I741" s="80" t="s">
        <v>94</v>
      </c>
      <c r="J741" s="80"/>
      <c r="K741">
        <f t="shared" si="23"/>
        <v>1</v>
      </c>
      <c r="L741" t="str">
        <f>IF(I741="UGR","UGR",_xlfn.XLOOKUP(D741,Lookup!O:O,Lookup!N:N,0))</f>
        <v>Non FG</v>
      </c>
      <c r="M741">
        <f t="shared" si="24"/>
        <v>1</v>
      </c>
    </row>
    <row r="742" spans="1:13" hidden="1" x14ac:dyDescent="0.25">
      <c r="A742" s="78">
        <v>46034</v>
      </c>
      <c r="B742" s="79" t="s">
        <v>664</v>
      </c>
      <c r="C742" s="80" t="s">
        <v>1948</v>
      </c>
      <c r="D742" s="81" t="s">
        <v>1947</v>
      </c>
      <c r="E742" s="26" t="s">
        <v>709</v>
      </c>
      <c r="F742" s="82">
        <v>10000</v>
      </c>
      <c r="G742" s="83" t="s">
        <v>622</v>
      </c>
      <c r="H742" s="84">
        <v>10000</v>
      </c>
      <c r="I742" s="80" t="s">
        <v>94</v>
      </c>
      <c r="J742" s="80"/>
      <c r="K742">
        <f t="shared" si="23"/>
        <v>1</v>
      </c>
      <c r="L742" t="str">
        <f>IF(I742="UGR","UGR",_xlfn.XLOOKUP(D742,Lookup!O:O,Lookup!N:N,0))</f>
        <v>Non FG</v>
      </c>
      <c r="M742">
        <f t="shared" si="24"/>
        <v>1</v>
      </c>
    </row>
    <row r="743" spans="1:13" hidden="1" x14ac:dyDescent="0.25">
      <c r="A743" s="78">
        <v>46036</v>
      </c>
      <c r="B743" s="79" t="s">
        <v>664</v>
      </c>
      <c r="C743" s="80" t="s">
        <v>1949</v>
      </c>
      <c r="D743" s="81" t="s">
        <v>1947</v>
      </c>
      <c r="E743" s="26" t="s">
        <v>709</v>
      </c>
      <c r="F743" s="82">
        <v>10000</v>
      </c>
      <c r="G743" s="83" t="s">
        <v>622</v>
      </c>
      <c r="H743" s="84">
        <v>10000</v>
      </c>
      <c r="I743" s="80" t="s">
        <v>94</v>
      </c>
      <c r="J743" s="80"/>
      <c r="K743">
        <f t="shared" si="23"/>
        <v>1</v>
      </c>
      <c r="L743" t="str">
        <f>IF(I743="UGR","UGR",_xlfn.XLOOKUP(D743,Lookup!O:O,Lookup!N:N,0))</f>
        <v>Non FG</v>
      </c>
      <c r="M743">
        <f t="shared" si="24"/>
        <v>1</v>
      </c>
    </row>
    <row r="744" spans="1:13" hidden="1" x14ac:dyDescent="0.25">
      <c r="A744" s="78">
        <v>46041</v>
      </c>
      <c r="B744" s="79" t="s">
        <v>664</v>
      </c>
      <c r="C744" s="80" t="s">
        <v>1950</v>
      </c>
      <c r="D744" s="81" t="s">
        <v>1947</v>
      </c>
      <c r="E744" s="26" t="s">
        <v>709</v>
      </c>
      <c r="F744" s="82">
        <v>10000</v>
      </c>
      <c r="G744" s="83" t="s">
        <v>622</v>
      </c>
      <c r="H744" s="84">
        <v>10000</v>
      </c>
      <c r="I744" s="80" t="s">
        <v>94</v>
      </c>
      <c r="J744" s="80"/>
      <c r="K744">
        <f t="shared" si="23"/>
        <v>1</v>
      </c>
      <c r="L744" t="str">
        <f>IF(I744="UGR","UGR",_xlfn.XLOOKUP(D744,Lookup!O:O,Lookup!N:N,0))</f>
        <v>Non FG</v>
      </c>
      <c r="M744">
        <f t="shared" si="24"/>
        <v>1</v>
      </c>
    </row>
    <row r="745" spans="1:13" hidden="1" x14ac:dyDescent="0.25">
      <c r="A745" s="78">
        <v>46043</v>
      </c>
      <c r="B745" s="79" t="s">
        <v>664</v>
      </c>
      <c r="C745" s="80" t="s">
        <v>1951</v>
      </c>
      <c r="D745" s="81" t="s">
        <v>1947</v>
      </c>
      <c r="E745" s="26" t="s">
        <v>709</v>
      </c>
      <c r="F745" s="82">
        <v>10000</v>
      </c>
      <c r="G745" s="83" t="s">
        <v>622</v>
      </c>
      <c r="H745" s="84">
        <v>10000</v>
      </c>
      <c r="I745" s="80" t="s">
        <v>94</v>
      </c>
      <c r="J745" s="80"/>
      <c r="K745">
        <f t="shared" si="23"/>
        <v>1</v>
      </c>
      <c r="L745" t="str">
        <f>IF(I745="UGR","UGR",_xlfn.XLOOKUP(D745,Lookup!O:O,Lookup!N:N,0))</f>
        <v>Non FG</v>
      </c>
      <c r="M745">
        <f t="shared" si="24"/>
        <v>1</v>
      </c>
    </row>
    <row r="746" spans="1:13" hidden="1" x14ac:dyDescent="0.25">
      <c r="A746" s="78">
        <v>46048</v>
      </c>
      <c r="B746" s="79" t="s">
        <v>664</v>
      </c>
      <c r="C746" s="80" t="s">
        <v>1952</v>
      </c>
      <c r="D746" s="81" t="s">
        <v>1947</v>
      </c>
      <c r="E746" s="26" t="s">
        <v>709</v>
      </c>
      <c r="F746" s="82">
        <v>10000</v>
      </c>
      <c r="G746" s="83" t="s">
        <v>622</v>
      </c>
      <c r="H746" s="84">
        <v>10000</v>
      </c>
      <c r="I746" s="80" t="s">
        <v>94</v>
      </c>
      <c r="J746" s="80"/>
      <c r="K746">
        <f t="shared" si="23"/>
        <v>1</v>
      </c>
      <c r="L746" t="str">
        <f>IF(I746="UGR","UGR",_xlfn.XLOOKUP(D746,Lookup!O:O,Lookup!N:N,0))</f>
        <v>Non FG</v>
      </c>
      <c r="M746">
        <f t="shared" si="24"/>
        <v>1</v>
      </c>
    </row>
    <row r="747" spans="1:13" hidden="1" x14ac:dyDescent="0.25">
      <c r="A747" s="78">
        <v>46051</v>
      </c>
      <c r="B747" s="79" t="s">
        <v>664</v>
      </c>
      <c r="C747" s="80" t="s">
        <v>1953</v>
      </c>
      <c r="D747" s="81" t="s">
        <v>1947</v>
      </c>
      <c r="E747" s="26" t="s">
        <v>709</v>
      </c>
      <c r="F747" s="82">
        <v>10000</v>
      </c>
      <c r="G747" s="83" t="s">
        <v>622</v>
      </c>
      <c r="H747" s="84">
        <v>10000</v>
      </c>
      <c r="I747" s="80" t="s">
        <v>94</v>
      </c>
      <c r="J747" s="80"/>
      <c r="K747">
        <f t="shared" si="23"/>
        <v>1</v>
      </c>
      <c r="L747" t="str">
        <f>IF(I747="UGR","UGR",_xlfn.XLOOKUP(D747,Lookup!O:O,Lookup!N:N,0))</f>
        <v>Non FG</v>
      </c>
      <c r="M747">
        <f t="shared" si="24"/>
        <v>1</v>
      </c>
    </row>
    <row r="748" spans="1:13" hidden="1" x14ac:dyDescent="0.25">
      <c r="A748" s="78">
        <v>46028</v>
      </c>
      <c r="B748" s="79" t="s">
        <v>664</v>
      </c>
      <c r="C748" s="80" t="s">
        <v>1954</v>
      </c>
      <c r="D748" s="81" t="s">
        <v>1955</v>
      </c>
      <c r="E748" s="26" t="s">
        <v>737</v>
      </c>
      <c r="F748" s="82">
        <v>10000</v>
      </c>
      <c r="G748" s="83" t="s">
        <v>622</v>
      </c>
      <c r="H748" s="84">
        <v>10000</v>
      </c>
      <c r="I748" s="80" t="s">
        <v>94</v>
      </c>
      <c r="J748" s="80"/>
      <c r="K748">
        <f t="shared" si="23"/>
        <v>1</v>
      </c>
      <c r="L748" t="str">
        <f>IF(I748="UGR","UGR",_xlfn.XLOOKUP(D748,Lookup!O:O,Lookup!N:N,0))</f>
        <v>Non FG</v>
      </c>
      <c r="M748">
        <f t="shared" si="24"/>
        <v>1</v>
      </c>
    </row>
    <row r="749" spans="1:13" hidden="1" x14ac:dyDescent="0.25">
      <c r="A749" s="78">
        <v>46034</v>
      </c>
      <c r="B749" s="79" t="s">
        <v>664</v>
      </c>
      <c r="C749" s="80" t="s">
        <v>1956</v>
      </c>
      <c r="D749" s="81" t="s">
        <v>1955</v>
      </c>
      <c r="E749" s="26" t="s">
        <v>737</v>
      </c>
      <c r="F749" s="82">
        <v>10000</v>
      </c>
      <c r="G749" s="83" t="s">
        <v>622</v>
      </c>
      <c r="H749" s="84">
        <v>10000</v>
      </c>
      <c r="I749" s="80" t="s">
        <v>94</v>
      </c>
      <c r="J749" s="80"/>
      <c r="K749">
        <f t="shared" si="23"/>
        <v>1</v>
      </c>
      <c r="L749" t="str">
        <f>IF(I749="UGR","UGR",_xlfn.XLOOKUP(D749,Lookup!O:O,Lookup!N:N,0))</f>
        <v>Non FG</v>
      </c>
      <c r="M749">
        <f t="shared" si="24"/>
        <v>1</v>
      </c>
    </row>
    <row r="750" spans="1:13" hidden="1" x14ac:dyDescent="0.25">
      <c r="A750" s="78">
        <v>46036</v>
      </c>
      <c r="B750" s="79" t="s">
        <v>664</v>
      </c>
      <c r="C750" s="80" t="s">
        <v>1957</v>
      </c>
      <c r="D750" s="81" t="s">
        <v>1955</v>
      </c>
      <c r="E750" s="26" t="s">
        <v>737</v>
      </c>
      <c r="F750" s="82">
        <v>10000</v>
      </c>
      <c r="G750" s="83" t="s">
        <v>622</v>
      </c>
      <c r="H750" s="84">
        <v>10000</v>
      </c>
      <c r="I750" s="80" t="s">
        <v>94</v>
      </c>
      <c r="J750" s="80"/>
      <c r="K750">
        <f t="shared" si="23"/>
        <v>1</v>
      </c>
      <c r="L750" t="str">
        <f>IF(I750="UGR","UGR",_xlfn.XLOOKUP(D750,Lookup!O:O,Lookup!N:N,0))</f>
        <v>Non FG</v>
      </c>
      <c r="M750">
        <f t="shared" si="24"/>
        <v>1</v>
      </c>
    </row>
    <row r="751" spans="1:13" hidden="1" x14ac:dyDescent="0.25">
      <c r="A751" s="78">
        <v>46041</v>
      </c>
      <c r="B751" s="79" t="s">
        <v>664</v>
      </c>
      <c r="C751" s="80" t="s">
        <v>1958</v>
      </c>
      <c r="D751" s="81" t="s">
        <v>1955</v>
      </c>
      <c r="E751" s="26" t="s">
        <v>737</v>
      </c>
      <c r="F751" s="82">
        <v>10000</v>
      </c>
      <c r="G751" s="83" t="s">
        <v>622</v>
      </c>
      <c r="H751" s="84">
        <v>10000</v>
      </c>
      <c r="I751" s="80" t="s">
        <v>94</v>
      </c>
      <c r="J751" s="80"/>
      <c r="K751">
        <f t="shared" si="23"/>
        <v>1</v>
      </c>
      <c r="L751" t="str">
        <f>IF(I751="UGR","UGR",_xlfn.XLOOKUP(D751,Lookup!O:O,Lookup!N:N,0))</f>
        <v>Non FG</v>
      </c>
      <c r="M751">
        <f t="shared" si="24"/>
        <v>1</v>
      </c>
    </row>
    <row r="752" spans="1:13" hidden="1" x14ac:dyDescent="0.25">
      <c r="A752" s="78">
        <v>46043</v>
      </c>
      <c r="B752" s="79" t="s">
        <v>664</v>
      </c>
      <c r="C752" s="80" t="s">
        <v>1959</v>
      </c>
      <c r="D752" s="81" t="s">
        <v>1955</v>
      </c>
      <c r="E752" s="26" t="s">
        <v>737</v>
      </c>
      <c r="F752" s="82">
        <v>10000</v>
      </c>
      <c r="G752" s="83" t="s">
        <v>622</v>
      </c>
      <c r="H752" s="84">
        <v>10000</v>
      </c>
      <c r="I752" s="80" t="s">
        <v>94</v>
      </c>
      <c r="J752" s="80"/>
      <c r="K752">
        <f t="shared" si="23"/>
        <v>1</v>
      </c>
      <c r="L752" t="str">
        <f>IF(I752="UGR","UGR",_xlfn.XLOOKUP(D752,Lookup!O:O,Lookup!N:N,0))</f>
        <v>Non FG</v>
      </c>
      <c r="M752">
        <f t="shared" si="24"/>
        <v>1</v>
      </c>
    </row>
    <row r="753" spans="1:13" hidden="1" x14ac:dyDescent="0.25">
      <c r="A753" s="78">
        <v>46048</v>
      </c>
      <c r="B753" s="79" t="s">
        <v>664</v>
      </c>
      <c r="C753" s="80" t="s">
        <v>1960</v>
      </c>
      <c r="D753" s="81" t="s">
        <v>1955</v>
      </c>
      <c r="E753" s="26" t="s">
        <v>737</v>
      </c>
      <c r="F753" s="82">
        <v>10000</v>
      </c>
      <c r="G753" s="83" t="s">
        <v>622</v>
      </c>
      <c r="H753" s="84">
        <v>10000</v>
      </c>
      <c r="I753" s="80" t="s">
        <v>94</v>
      </c>
      <c r="J753" s="80"/>
      <c r="K753">
        <f t="shared" si="23"/>
        <v>1</v>
      </c>
      <c r="L753" t="str">
        <f>IF(I753="UGR","UGR",_xlfn.XLOOKUP(D753,Lookup!O:O,Lookup!N:N,0))</f>
        <v>Non FG</v>
      </c>
      <c r="M753">
        <f t="shared" si="24"/>
        <v>1</v>
      </c>
    </row>
    <row r="754" spans="1:13" hidden="1" x14ac:dyDescent="0.25">
      <c r="A754" s="78">
        <v>46051</v>
      </c>
      <c r="B754" s="79" t="s">
        <v>664</v>
      </c>
      <c r="C754" s="80" t="s">
        <v>1961</v>
      </c>
      <c r="D754" s="81" t="s">
        <v>1955</v>
      </c>
      <c r="E754" s="26" t="s">
        <v>737</v>
      </c>
      <c r="F754" s="82">
        <v>10000</v>
      </c>
      <c r="G754" s="83" t="s">
        <v>622</v>
      </c>
      <c r="H754" s="84">
        <v>10000</v>
      </c>
      <c r="I754" s="80" t="s">
        <v>94</v>
      </c>
      <c r="J754" s="80"/>
      <c r="K754">
        <f t="shared" si="23"/>
        <v>1</v>
      </c>
      <c r="L754" t="str">
        <f>IF(I754="UGR","UGR",_xlfn.XLOOKUP(D754,Lookup!O:O,Lookup!N:N,0))</f>
        <v>Non FG</v>
      </c>
      <c r="M754">
        <f t="shared" si="24"/>
        <v>1</v>
      </c>
    </row>
    <row r="755" spans="1:13" hidden="1" x14ac:dyDescent="0.25">
      <c r="A755" s="78">
        <v>46028</v>
      </c>
      <c r="B755" s="79" t="s">
        <v>664</v>
      </c>
      <c r="C755" s="80" t="s">
        <v>1962</v>
      </c>
      <c r="D755" s="81" t="s">
        <v>1963</v>
      </c>
      <c r="E755" s="26" t="s">
        <v>703</v>
      </c>
      <c r="F755" s="82">
        <v>10000</v>
      </c>
      <c r="G755" s="83" t="s">
        <v>622</v>
      </c>
      <c r="H755" s="84">
        <v>10000</v>
      </c>
      <c r="I755" s="80" t="s">
        <v>94</v>
      </c>
      <c r="J755" s="80"/>
      <c r="K755">
        <f t="shared" si="23"/>
        <v>1</v>
      </c>
      <c r="L755" t="str">
        <f>IF(I755="UGR","UGR",_xlfn.XLOOKUP(D755,Lookup!O:O,Lookup!N:N,0))</f>
        <v>Non FG</v>
      </c>
      <c r="M755">
        <f t="shared" si="24"/>
        <v>1</v>
      </c>
    </row>
    <row r="756" spans="1:13" hidden="1" x14ac:dyDescent="0.25">
      <c r="A756" s="78">
        <v>46034</v>
      </c>
      <c r="B756" s="79" t="s">
        <v>664</v>
      </c>
      <c r="C756" s="80" t="s">
        <v>1964</v>
      </c>
      <c r="D756" s="81" t="s">
        <v>1963</v>
      </c>
      <c r="E756" s="26" t="s">
        <v>703</v>
      </c>
      <c r="F756" s="82">
        <v>10000</v>
      </c>
      <c r="G756" s="83" t="s">
        <v>622</v>
      </c>
      <c r="H756" s="84">
        <v>10000</v>
      </c>
      <c r="I756" s="80" t="s">
        <v>94</v>
      </c>
      <c r="J756" s="80"/>
      <c r="K756">
        <f t="shared" si="23"/>
        <v>1</v>
      </c>
      <c r="L756" t="str">
        <f>IF(I756="UGR","UGR",_xlfn.XLOOKUP(D756,Lookup!O:O,Lookup!N:N,0))</f>
        <v>Non FG</v>
      </c>
      <c r="M756">
        <f t="shared" si="24"/>
        <v>1</v>
      </c>
    </row>
    <row r="757" spans="1:13" hidden="1" x14ac:dyDescent="0.25">
      <c r="A757" s="78">
        <v>46036</v>
      </c>
      <c r="B757" s="79" t="s">
        <v>664</v>
      </c>
      <c r="C757" s="80" t="s">
        <v>1965</v>
      </c>
      <c r="D757" s="81" t="s">
        <v>1963</v>
      </c>
      <c r="E757" s="26" t="s">
        <v>703</v>
      </c>
      <c r="F757" s="82">
        <v>10000</v>
      </c>
      <c r="G757" s="83" t="s">
        <v>622</v>
      </c>
      <c r="H757" s="84">
        <v>10000</v>
      </c>
      <c r="I757" s="80" t="s">
        <v>94</v>
      </c>
      <c r="J757" s="80"/>
      <c r="K757">
        <f t="shared" si="23"/>
        <v>1</v>
      </c>
      <c r="L757" t="str">
        <f>IF(I757="UGR","UGR",_xlfn.XLOOKUP(D757,Lookup!O:O,Lookup!N:N,0))</f>
        <v>Non FG</v>
      </c>
      <c r="M757">
        <f t="shared" si="24"/>
        <v>1</v>
      </c>
    </row>
    <row r="758" spans="1:13" hidden="1" x14ac:dyDescent="0.25">
      <c r="A758" s="78">
        <v>46041</v>
      </c>
      <c r="B758" s="79" t="s">
        <v>664</v>
      </c>
      <c r="C758" s="80" t="s">
        <v>1966</v>
      </c>
      <c r="D758" s="81" t="s">
        <v>1963</v>
      </c>
      <c r="E758" s="26" t="s">
        <v>703</v>
      </c>
      <c r="F758" s="82">
        <v>10000</v>
      </c>
      <c r="G758" s="83" t="s">
        <v>622</v>
      </c>
      <c r="H758" s="84">
        <v>10000</v>
      </c>
      <c r="I758" s="80" t="s">
        <v>94</v>
      </c>
      <c r="J758" s="80"/>
      <c r="K758">
        <f t="shared" si="23"/>
        <v>1</v>
      </c>
      <c r="L758" t="str">
        <f>IF(I758="UGR","UGR",_xlfn.XLOOKUP(D758,Lookup!O:O,Lookup!N:N,0))</f>
        <v>Non FG</v>
      </c>
      <c r="M758">
        <f t="shared" si="24"/>
        <v>1</v>
      </c>
    </row>
    <row r="759" spans="1:13" hidden="1" x14ac:dyDescent="0.25">
      <c r="A759" s="78">
        <v>46043</v>
      </c>
      <c r="B759" s="79" t="s">
        <v>664</v>
      </c>
      <c r="C759" s="80" t="s">
        <v>1967</v>
      </c>
      <c r="D759" s="81" t="s">
        <v>1963</v>
      </c>
      <c r="E759" s="26" t="s">
        <v>703</v>
      </c>
      <c r="F759" s="82">
        <v>10000</v>
      </c>
      <c r="G759" s="83" t="s">
        <v>622</v>
      </c>
      <c r="H759" s="84">
        <v>10000</v>
      </c>
      <c r="I759" s="80" t="s">
        <v>94</v>
      </c>
      <c r="J759" s="80"/>
      <c r="K759">
        <f t="shared" si="23"/>
        <v>1</v>
      </c>
      <c r="L759" t="str">
        <f>IF(I759="UGR","UGR",_xlfn.XLOOKUP(D759,Lookup!O:O,Lookup!N:N,0))</f>
        <v>Non FG</v>
      </c>
      <c r="M759">
        <f t="shared" si="24"/>
        <v>1</v>
      </c>
    </row>
    <row r="760" spans="1:13" hidden="1" x14ac:dyDescent="0.25">
      <c r="A760" s="78">
        <v>46048</v>
      </c>
      <c r="B760" s="79" t="s">
        <v>664</v>
      </c>
      <c r="C760" s="80" t="s">
        <v>1968</v>
      </c>
      <c r="D760" s="81" t="s">
        <v>1963</v>
      </c>
      <c r="E760" s="26" t="s">
        <v>703</v>
      </c>
      <c r="F760" s="82">
        <v>10000</v>
      </c>
      <c r="G760" s="83" t="s">
        <v>622</v>
      </c>
      <c r="H760" s="84">
        <v>10000</v>
      </c>
      <c r="I760" s="80" t="s">
        <v>94</v>
      </c>
      <c r="J760" s="80"/>
      <c r="K760">
        <f t="shared" si="23"/>
        <v>1</v>
      </c>
      <c r="L760" t="str">
        <f>IF(I760="UGR","UGR",_xlfn.XLOOKUP(D760,Lookup!O:O,Lookup!N:N,0))</f>
        <v>Non FG</v>
      </c>
      <c r="M760">
        <f t="shared" si="24"/>
        <v>1</v>
      </c>
    </row>
    <row r="761" spans="1:13" hidden="1" x14ac:dyDescent="0.25">
      <c r="A761" s="78">
        <v>46051</v>
      </c>
      <c r="B761" s="79" t="s">
        <v>664</v>
      </c>
      <c r="C761" s="80" t="s">
        <v>1969</v>
      </c>
      <c r="D761" s="81" t="s">
        <v>1963</v>
      </c>
      <c r="E761" s="26" t="s">
        <v>703</v>
      </c>
      <c r="F761" s="82">
        <v>10000</v>
      </c>
      <c r="G761" s="83" t="s">
        <v>622</v>
      </c>
      <c r="H761" s="84">
        <v>10000</v>
      </c>
      <c r="I761" s="80" t="s">
        <v>94</v>
      </c>
      <c r="J761" s="80"/>
      <c r="K761">
        <f t="shared" si="23"/>
        <v>1</v>
      </c>
      <c r="L761" t="str">
        <f>IF(I761="UGR","UGR",_xlfn.XLOOKUP(D761,Lookup!O:O,Lookup!N:N,0))</f>
        <v>Non FG</v>
      </c>
      <c r="M761">
        <f t="shared" si="24"/>
        <v>1</v>
      </c>
    </row>
    <row r="762" spans="1:13" hidden="1" x14ac:dyDescent="0.25">
      <c r="A762" s="78">
        <v>46028</v>
      </c>
      <c r="B762" s="79" t="s">
        <v>664</v>
      </c>
      <c r="C762" s="80" t="s">
        <v>1970</v>
      </c>
      <c r="D762" s="81" t="s">
        <v>1971</v>
      </c>
      <c r="E762" s="26" t="s">
        <v>678</v>
      </c>
      <c r="F762" s="82">
        <v>10000</v>
      </c>
      <c r="G762" s="83" t="s">
        <v>622</v>
      </c>
      <c r="H762" s="84">
        <v>10000</v>
      </c>
      <c r="I762" s="80" t="s">
        <v>94</v>
      </c>
      <c r="J762" s="80"/>
      <c r="K762">
        <f t="shared" si="23"/>
        <v>1</v>
      </c>
      <c r="L762" t="str">
        <f>IF(I762="UGR","UGR",_xlfn.XLOOKUP(D762,Lookup!O:O,Lookup!N:N,0))</f>
        <v>Non FG</v>
      </c>
      <c r="M762">
        <f t="shared" si="24"/>
        <v>1</v>
      </c>
    </row>
    <row r="763" spans="1:13" hidden="1" x14ac:dyDescent="0.25">
      <c r="A763" s="78">
        <v>46030</v>
      </c>
      <c r="B763" s="79" t="s">
        <v>664</v>
      </c>
      <c r="C763" s="80" t="s">
        <v>1972</v>
      </c>
      <c r="D763" s="81" t="s">
        <v>1971</v>
      </c>
      <c r="E763" s="26" t="s">
        <v>678</v>
      </c>
      <c r="F763" s="82">
        <v>10000</v>
      </c>
      <c r="G763" s="83" t="s">
        <v>622</v>
      </c>
      <c r="H763" s="84">
        <v>10000</v>
      </c>
      <c r="I763" s="80" t="s">
        <v>94</v>
      </c>
      <c r="J763" s="80"/>
      <c r="K763">
        <f t="shared" si="23"/>
        <v>1</v>
      </c>
      <c r="L763" t="str">
        <f>IF(I763="UGR","UGR",_xlfn.XLOOKUP(D763,Lookup!O:O,Lookup!N:N,0))</f>
        <v>Non FG</v>
      </c>
      <c r="M763">
        <f t="shared" si="24"/>
        <v>1</v>
      </c>
    </row>
    <row r="764" spans="1:13" hidden="1" x14ac:dyDescent="0.25">
      <c r="A764" s="78">
        <v>46035</v>
      </c>
      <c r="B764" s="79" t="s">
        <v>664</v>
      </c>
      <c r="C764" s="80" t="s">
        <v>1973</v>
      </c>
      <c r="D764" s="81" t="s">
        <v>1971</v>
      </c>
      <c r="E764" s="26" t="s">
        <v>678</v>
      </c>
      <c r="F764" s="82">
        <v>10000</v>
      </c>
      <c r="G764" s="83" t="s">
        <v>622</v>
      </c>
      <c r="H764" s="84">
        <v>10000</v>
      </c>
      <c r="I764" s="80" t="s">
        <v>94</v>
      </c>
      <c r="J764" s="80"/>
      <c r="K764">
        <f t="shared" si="23"/>
        <v>1</v>
      </c>
      <c r="L764" t="str">
        <f>IF(I764="UGR","UGR",_xlfn.XLOOKUP(D764,Lookup!O:O,Lookup!N:N,0))</f>
        <v>Non FG</v>
      </c>
      <c r="M764">
        <f t="shared" si="24"/>
        <v>1</v>
      </c>
    </row>
    <row r="765" spans="1:13" hidden="1" x14ac:dyDescent="0.25">
      <c r="A765" s="78">
        <v>46037</v>
      </c>
      <c r="B765" s="79" t="s">
        <v>664</v>
      </c>
      <c r="C765" s="80" t="s">
        <v>1974</v>
      </c>
      <c r="D765" s="81" t="s">
        <v>1971</v>
      </c>
      <c r="E765" s="26" t="s">
        <v>678</v>
      </c>
      <c r="F765" s="82">
        <v>10000</v>
      </c>
      <c r="G765" s="83" t="s">
        <v>622</v>
      </c>
      <c r="H765" s="84">
        <v>10000</v>
      </c>
      <c r="I765" s="80" t="s">
        <v>94</v>
      </c>
      <c r="J765" s="80"/>
      <c r="K765">
        <f t="shared" si="23"/>
        <v>1</v>
      </c>
      <c r="L765" t="str">
        <f>IF(I765="UGR","UGR",_xlfn.XLOOKUP(D765,Lookup!O:O,Lookup!N:N,0))</f>
        <v>Non FG</v>
      </c>
      <c r="M765">
        <f t="shared" si="24"/>
        <v>1</v>
      </c>
    </row>
    <row r="766" spans="1:13" hidden="1" x14ac:dyDescent="0.25">
      <c r="A766" s="78">
        <v>46042</v>
      </c>
      <c r="B766" s="79" t="s">
        <v>664</v>
      </c>
      <c r="C766" s="80" t="s">
        <v>1975</v>
      </c>
      <c r="D766" s="81" t="s">
        <v>1971</v>
      </c>
      <c r="E766" s="26" t="s">
        <v>678</v>
      </c>
      <c r="F766" s="82">
        <v>10000</v>
      </c>
      <c r="G766" s="83" t="s">
        <v>622</v>
      </c>
      <c r="H766" s="84">
        <v>10000</v>
      </c>
      <c r="I766" s="80" t="s">
        <v>94</v>
      </c>
      <c r="J766" s="80"/>
      <c r="K766">
        <f t="shared" si="23"/>
        <v>1</v>
      </c>
      <c r="L766" t="str">
        <f>IF(I766="UGR","UGR",_xlfn.XLOOKUP(D766,Lookup!O:O,Lookup!N:N,0))</f>
        <v>Non FG</v>
      </c>
      <c r="M766">
        <f t="shared" si="24"/>
        <v>1</v>
      </c>
    </row>
    <row r="767" spans="1:13" hidden="1" x14ac:dyDescent="0.25">
      <c r="A767" s="78">
        <v>46044</v>
      </c>
      <c r="B767" s="79" t="s">
        <v>664</v>
      </c>
      <c r="C767" s="80" t="s">
        <v>1976</v>
      </c>
      <c r="D767" s="81" t="s">
        <v>1971</v>
      </c>
      <c r="E767" s="26" t="s">
        <v>678</v>
      </c>
      <c r="F767" s="82">
        <v>10000</v>
      </c>
      <c r="G767" s="83" t="s">
        <v>622</v>
      </c>
      <c r="H767" s="84">
        <v>10000</v>
      </c>
      <c r="I767" s="80" t="s">
        <v>94</v>
      </c>
      <c r="J767" s="80"/>
      <c r="K767">
        <f t="shared" si="23"/>
        <v>1</v>
      </c>
      <c r="L767" t="str">
        <f>IF(I767="UGR","UGR",_xlfn.XLOOKUP(D767,Lookup!O:O,Lookup!N:N,0))</f>
        <v>Non FG</v>
      </c>
      <c r="M767">
        <f t="shared" si="24"/>
        <v>1</v>
      </c>
    </row>
    <row r="768" spans="1:13" hidden="1" x14ac:dyDescent="0.25">
      <c r="A768" s="78">
        <v>46049</v>
      </c>
      <c r="B768" s="79" t="s">
        <v>664</v>
      </c>
      <c r="C768" s="80" t="s">
        <v>1977</v>
      </c>
      <c r="D768" s="81" t="s">
        <v>1971</v>
      </c>
      <c r="E768" s="26" t="s">
        <v>678</v>
      </c>
      <c r="F768" s="82">
        <v>10000</v>
      </c>
      <c r="G768" s="83" t="s">
        <v>622</v>
      </c>
      <c r="H768" s="84">
        <v>10000</v>
      </c>
      <c r="I768" s="80" t="s">
        <v>94</v>
      </c>
      <c r="J768" s="80"/>
      <c r="K768">
        <f t="shared" si="23"/>
        <v>1</v>
      </c>
      <c r="L768" t="str">
        <f>IF(I768="UGR","UGR",_xlfn.XLOOKUP(D768,Lookup!O:O,Lookup!N:N,0))</f>
        <v>Non FG</v>
      </c>
      <c r="M768">
        <f t="shared" si="24"/>
        <v>1</v>
      </c>
    </row>
    <row r="769" spans="1:13" hidden="1" x14ac:dyDescent="0.25">
      <c r="A769" s="78">
        <v>46028</v>
      </c>
      <c r="B769" s="79" t="s">
        <v>664</v>
      </c>
      <c r="C769" s="80" t="s">
        <v>1978</v>
      </c>
      <c r="D769" s="81" t="s">
        <v>1979</v>
      </c>
      <c r="E769" s="26" t="s">
        <v>711</v>
      </c>
      <c r="F769" s="82">
        <v>10000</v>
      </c>
      <c r="G769" s="83" t="s">
        <v>622</v>
      </c>
      <c r="H769" s="84">
        <v>10000</v>
      </c>
      <c r="I769" s="80" t="s">
        <v>94</v>
      </c>
      <c r="J769" s="80"/>
      <c r="K769">
        <f t="shared" si="23"/>
        <v>1</v>
      </c>
      <c r="L769" t="str">
        <f>IF(I769="UGR","UGR",_xlfn.XLOOKUP(D769,Lookup!O:O,Lookup!N:N,0))</f>
        <v>Non FG</v>
      </c>
      <c r="M769">
        <f t="shared" si="24"/>
        <v>1</v>
      </c>
    </row>
    <row r="770" spans="1:13" hidden="1" x14ac:dyDescent="0.25">
      <c r="A770" s="78">
        <v>46030</v>
      </c>
      <c r="B770" s="79" t="s">
        <v>664</v>
      </c>
      <c r="C770" s="80" t="s">
        <v>1980</v>
      </c>
      <c r="D770" s="81" t="s">
        <v>1979</v>
      </c>
      <c r="E770" s="26" t="s">
        <v>711</v>
      </c>
      <c r="F770" s="82">
        <v>10000</v>
      </c>
      <c r="G770" s="83" t="s">
        <v>622</v>
      </c>
      <c r="H770" s="84">
        <v>10000</v>
      </c>
      <c r="I770" s="80" t="s">
        <v>94</v>
      </c>
      <c r="J770" s="80"/>
      <c r="K770">
        <f t="shared" si="23"/>
        <v>1</v>
      </c>
      <c r="L770" t="str">
        <f>IF(I770="UGR","UGR",_xlfn.XLOOKUP(D770,Lookup!O:O,Lookup!N:N,0))</f>
        <v>Non FG</v>
      </c>
      <c r="M770">
        <f t="shared" si="24"/>
        <v>1</v>
      </c>
    </row>
    <row r="771" spans="1:13" hidden="1" x14ac:dyDescent="0.25">
      <c r="A771" s="78">
        <v>46035</v>
      </c>
      <c r="B771" s="79" t="s">
        <v>664</v>
      </c>
      <c r="C771" s="80" t="s">
        <v>1981</v>
      </c>
      <c r="D771" s="81" t="s">
        <v>1979</v>
      </c>
      <c r="E771" s="26" t="s">
        <v>711</v>
      </c>
      <c r="F771" s="82">
        <v>10000</v>
      </c>
      <c r="G771" s="83" t="s">
        <v>622</v>
      </c>
      <c r="H771" s="84">
        <v>10000</v>
      </c>
      <c r="I771" s="80" t="s">
        <v>94</v>
      </c>
      <c r="J771" s="80"/>
      <c r="K771">
        <f t="shared" ref="K771:K834" si="25">IF(AND(B771=B770,C771=C770),0,1)</f>
        <v>1</v>
      </c>
      <c r="L771" t="str">
        <f>IF(I771="UGR","UGR",_xlfn.XLOOKUP(D771,Lookup!O:O,Lookup!N:N,0))</f>
        <v>Non FG</v>
      </c>
      <c r="M771">
        <f t="shared" ref="M771:M834" si="26">MONTH(A771)</f>
        <v>1</v>
      </c>
    </row>
    <row r="772" spans="1:13" hidden="1" x14ac:dyDescent="0.25">
      <c r="A772" s="78">
        <v>46037</v>
      </c>
      <c r="B772" s="79" t="s">
        <v>664</v>
      </c>
      <c r="C772" s="80" t="s">
        <v>1982</v>
      </c>
      <c r="D772" s="81" t="s">
        <v>1979</v>
      </c>
      <c r="E772" s="26" t="s">
        <v>711</v>
      </c>
      <c r="F772" s="82">
        <v>10000</v>
      </c>
      <c r="G772" s="83" t="s">
        <v>622</v>
      </c>
      <c r="H772" s="84">
        <v>10000</v>
      </c>
      <c r="I772" s="80" t="s">
        <v>94</v>
      </c>
      <c r="J772" s="80"/>
      <c r="K772">
        <f t="shared" si="25"/>
        <v>1</v>
      </c>
      <c r="L772" t="str">
        <f>IF(I772="UGR","UGR",_xlfn.XLOOKUP(D772,Lookup!O:O,Lookup!N:N,0))</f>
        <v>Non FG</v>
      </c>
      <c r="M772">
        <f t="shared" si="26"/>
        <v>1</v>
      </c>
    </row>
    <row r="773" spans="1:13" hidden="1" x14ac:dyDescent="0.25">
      <c r="A773" s="78">
        <v>46042</v>
      </c>
      <c r="B773" s="79" t="s">
        <v>664</v>
      </c>
      <c r="C773" s="80" t="s">
        <v>1983</v>
      </c>
      <c r="D773" s="81" t="s">
        <v>1979</v>
      </c>
      <c r="E773" s="26" t="s">
        <v>711</v>
      </c>
      <c r="F773" s="82">
        <v>10000</v>
      </c>
      <c r="G773" s="83" t="s">
        <v>622</v>
      </c>
      <c r="H773" s="84">
        <v>10000</v>
      </c>
      <c r="I773" s="80" t="s">
        <v>94</v>
      </c>
      <c r="J773" s="80"/>
      <c r="K773">
        <f t="shared" si="25"/>
        <v>1</v>
      </c>
      <c r="L773" t="str">
        <f>IF(I773="UGR","UGR",_xlfn.XLOOKUP(D773,Lookup!O:O,Lookup!N:N,0))</f>
        <v>Non FG</v>
      </c>
      <c r="M773">
        <f t="shared" si="26"/>
        <v>1</v>
      </c>
    </row>
    <row r="774" spans="1:13" hidden="1" x14ac:dyDescent="0.25">
      <c r="A774" s="78">
        <v>46044</v>
      </c>
      <c r="B774" s="79" t="s">
        <v>664</v>
      </c>
      <c r="C774" s="80" t="s">
        <v>1984</v>
      </c>
      <c r="D774" s="81" t="s">
        <v>1979</v>
      </c>
      <c r="E774" s="26" t="s">
        <v>711</v>
      </c>
      <c r="F774" s="82">
        <v>10000</v>
      </c>
      <c r="G774" s="83" t="s">
        <v>622</v>
      </c>
      <c r="H774" s="84">
        <v>10000</v>
      </c>
      <c r="I774" s="80" t="s">
        <v>94</v>
      </c>
      <c r="J774" s="80"/>
      <c r="K774">
        <f t="shared" si="25"/>
        <v>1</v>
      </c>
      <c r="L774" t="str">
        <f>IF(I774="UGR","UGR",_xlfn.XLOOKUP(D774,Lookup!O:O,Lookup!N:N,0))</f>
        <v>Non FG</v>
      </c>
      <c r="M774">
        <f t="shared" si="26"/>
        <v>1</v>
      </c>
    </row>
    <row r="775" spans="1:13" hidden="1" x14ac:dyDescent="0.25">
      <c r="A775" s="78">
        <v>46049</v>
      </c>
      <c r="B775" s="79" t="s">
        <v>664</v>
      </c>
      <c r="C775" s="80" t="s">
        <v>1985</v>
      </c>
      <c r="D775" s="81" t="s">
        <v>1979</v>
      </c>
      <c r="E775" s="26" t="s">
        <v>711</v>
      </c>
      <c r="F775" s="82">
        <v>10000</v>
      </c>
      <c r="G775" s="83" t="s">
        <v>622</v>
      </c>
      <c r="H775" s="84">
        <v>10000</v>
      </c>
      <c r="I775" s="80" t="s">
        <v>94</v>
      </c>
      <c r="J775" s="80"/>
      <c r="K775">
        <f t="shared" si="25"/>
        <v>1</v>
      </c>
      <c r="L775" t="str">
        <f>IF(I775="UGR","UGR",_xlfn.XLOOKUP(D775,Lookup!O:O,Lookup!N:N,0))</f>
        <v>Non FG</v>
      </c>
      <c r="M775">
        <f t="shared" si="26"/>
        <v>1</v>
      </c>
    </row>
    <row r="776" spans="1:13" x14ac:dyDescent="0.25">
      <c r="A776" s="78">
        <v>45985</v>
      </c>
      <c r="B776" s="79" t="s">
        <v>712</v>
      </c>
      <c r="C776" s="80" t="s">
        <v>1986</v>
      </c>
      <c r="D776" s="81" t="s">
        <v>198</v>
      </c>
      <c r="E776" s="26" t="s">
        <v>816</v>
      </c>
      <c r="F776" s="82">
        <v>7476</v>
      </c>
      <c r="G776" s="83" t="s">
        <v>622</v>
      </c>
      <c r="H776" s="84">
        <v>7476</v>
      </c>
      <c r="I776" s="80" t="s">
        <v>817</v>
      </c>
      <c r="J776" s="80"/>
      <c r="K776">
        <f t="shared" si="25"/>
        <v>1</v>
      </c>
      <c r="L776" t="str">
        <f>IF(I776="UGR","UGR",_xlfn.XLOOKUP(D776,Lookup!O:O,Lookup!N:N,0))</f>
        <v>(8031) USDA PASTA, WG ROTINI 12/1LB</v>
      </c>
      <c r="M776">
        <f t="shared" si="26"/>
        <v>11</v>
      </c>
    </row>
    <row r="777" spans="1:13" x14ac:dyDescent="0.25">
      <c r="A777" s="78">
        <v>45974</v>
      </c>
      <c r="B777" s="79" t="s">
        <v>81</v>
      </c>
      <c r="C777" s="80" t="s">
        <v>1987</v>
      </c>
      <c r="D777" s="81" t="s">
        <v>744</v>
      </c>
      <c r="E777" s="26" t="s">
        <v>745</v>
      </c>
      <c r="F777" s="82">
        <v>80</v>
      </c>
      <c r="G777" s="83" t="s">
        <v>622</v>
      </c>
      <c r="H777" s="84">
        <v>80</v>
      </c>
      <c r="I777" s="80" t="s">
        <v>98</v>
      </c>
      <c r="J777" s="80"/>
      <c r="K777">
        <f t="shared" si="25"/>
        <v>1</v>
      </c>
      <c r="L777" t="str">
        <f>IF(I777="UGR","UGR",_xlfn.XLOOKUP(D777,Lookup!O:O,Lookup!N:N,0))</f>
        <v>UGR</v>
      </c>
      <c r="M777">
        <f t="shared" si="26"/>
        <v>11</v>
      </c>
    </row>
    <row r="778" spans="1:13" hidden="1" x14ac:dyDescent="0.25">
      <c r="A778" s="78">
        <v>45993</v>
      </c>
      <c r="B778" s="79" t="s">
        <v>81</v>
      </c>
      <c r="C778" s="80" t="s">
        <v>1988</v>
      </c>
      <c r="D778" s="81" t="s">
        <v>744</v>
      </c>
      <c r="E778" s="26" t="s">
        <v>745</v>
      </c>
      <c r="F778" s="82">
        <v>250</v>
      </c>
      <c r="G778" s="83" t="s">
        <v>622</v>
      </c>
      <c r="H778" s="84">
        <v>249.99999999999997</v>
      </c>
      <c r="I778" s="80" t="s">
        <v>98</v>
      </c>
      <c r="J778" s="80"/>
      <c r="K778">
        <f t="shared" si="25"/>
        <v>1</v>
      </c>
      <c r="L778" t="str">
        <f>IF(I778="UGR","UGR",_xlfn.XLOOKUP(D778,Lookup!O:O,Lookup!N:N,0))</f>
        <v>UGR</v>
      </c>
      <c r="M778">
        <f t="shared" si="26"/>
        <v>12</v>
      </c>
    </row>
    <row r="779" spans="1:13" x14ac:dyDescent="0.25">
      <c r="A779" s="78">
        <v>45971</v>
      </c>
      <c r="B779" s="79" t="s">
        <v>81</v>
      </c>
      <c r="C779" s="80" t="s">
        <v>1191</v>
      </c>
      <c r="D779" s="81" t="s">
        <v>1030</v>
      </c>
      <c r="E779" s="26" t="s">
        <v>1031</v>
      </c>
      <c r="F779" s="82">
        <v>160</v>
      </c>
      <c r="G779" s="83" t="s">
        <v>622</v>
      </c>
      <c r="H779" s="84">
        <v>160</v>
      </c>
      <c r="I779" s="80" t="s">
        <v>98</v>
      </c>
      <c r="J779" s="80"/>
      <c r="K779">
        <f t="shared" si="25"/>
        <v>1</v>
      </c>
      <c r="L779" t="str">
        <f>IF(I779="UGR","UGR",_xlfn.XLOOKUP(D779,Lookup!O:O,Lookup!N:N,0))</f>
        <v>UGR</v>
      </c>
      <c r="M779">
        <f t="shared" si="26"/>
        <v>11</v>
      </c>
    </row>
    <row r="780" spans="1:13" x14ac:dyDescent="0.25">
      <c r="A780" s="78">
        <v>45974</v>
      </c>
      <c r="B780" s="79" t="s">
        <v>81</v>
      </c>
      <c r="C780" s="80" t="s">
        <v>1989</v>
      </c>
      <c r="D780" s="81" t="s">
        <v>771</v>
      </c>
      <c r="E780" s="26" t="s">
        <v>772</v>
      </c>
      <c r="F780" s="82">
        <v>80</v>
      </c>
      <c r="G780" s="83" t="s">
        <v>622</v>
      </c>
      <c r="H780" s="84">
        <v>80</v>
      </c>
      <c r="I780" s="80" t="s">
        <v>98</v>
      </c>
      <c r="J780" s="80"/>
      <c r="K780">
        <f t="shared" si="25"/>
        <v>1</v>
      </c>
      <c r="L780" t="str">
        <f>IF(I780="UGR","UGR",_xlfn.XLOOKUP(D780,Lookup!O:O,Lookup!N:N,0))</f>
        <v>UGR</v>
      </c>
      <c r="M780">
        <f t="shared" si="26"/>
        <v>11</v>
      </c>
    </row>
    <row r="781" spans="1:13" hidden="1" x14ac:dyDescent="0.25">
      <c r="A781" s="78">
        <v>45993</v>
      </c>
      <c r="B781" s="79" t="s">
        <v>81</v>
      </c>
      <c r="C781" s="80" t="s">
        <v>1990</v>
      </c>
      <c r="D781" s="81" t="s">
        <v>771</v>
      </c>
      <c r="E781" s="26" t="s">
        <v>772</v>
      </c>
      <c r="F781" s="82">
        <v>250</v>
      </c>
      <c r="G781" s="83" t="s">
        <v>622</v>
      </c>
      <c r="H781" s="84">
        <v>249.99999999999997</v>
      </c>
      <c r="I781" s="80" t="s">
        <v>98</v>
      </c>
      <c r="J781" s="80"/>
      <c r="K781">
        <f t="shared" si="25"/>
        <v>1</v>
      </c>
      <c r="L781" t="str">
        <f>IF(I781="UGR","UGR",_xlfn.XLOOKUP(D781,Lookup!O:O,Lookup!N:N,0))</f>
        <v>UGR</v>
      </c>
      <c r="M781">
        <f t="shared" si="26"/>
        <v>12</v>
      </c>
    </row>
    <row r="782" spans="1:13" x14ac:dyDescent="0.25">
      <c r="A782" s="78">
        <v>45974</v>
      </c>
      <c r="B782" s="79" t="s">
        <v>81</v>
      </c>
      <c r="C782" s="80" t="s">
        <v>1991</v>
      </c>
      <c r="D782" s="81" t="s">
        <v>746</v>
      </c>
      <c r="E782" s="26" t="s">
        <v>747</v>
      </c>
      <c r="F782" s="82">
        <v>104</v>
      </c>
      <c r="G782" s="83" t="s">
        <v>622</v>
      </c>
      <c r="H782" s="84">
        <v>104</v>
      </c>
      <c r="I782" s="80" t="s">
        <v>98</v>
      </c>
      <c r="J782" s="80"/>
      <c r="K782">
        <f t="shared" si="25"/>
        <v>1</v>
      </c>
      <c r="L782" t="str">
        <f>IF(I782="UGR","UGR",_xlfn.XLOOKUP(D782,Lookup!O:O,Lookup!N:N,0))</f>
        <v>UGR</v>
      </c>
      <c r="M782">
        <f t="shared" si="26"/>
        <v>11</v>
      </c>
    </row>
    <row r="783" spans="1:13" hidden="1" x14ac:dyDescent="0.25">
      <c r="A783" s="78">
        <v>45993</v>
      </c>
      <c r="B783" s="79" t="s">
        <v>81</v>
      </c>
      <c r="C783" s="80" t="s">
        <v>1992</v>
      </c>
      <c r="D783" s="81" t="s">
        <v>746</v>
      </c>
      <c r="E783" s="26" t="s">
        <v>747</v>
      </c>
      <c r="F783" s="82">
        <v>250</v>
      </c>
      <c r="G783" s="83" t="s">
        <v>622</v>
      </c>
      <c r="H783" s="84">
        <v>249.99999999999997</v>
      </c>
      <c r="I783" s="80" t="s">
        <v>98</v>
      </c>
      <c r="J783" s="80"/>
      <c r="K783">
        <f t="shared" si="25"/>
        <v>1</v>
      </c>
      <c r="L783" t="str">
        <f>IF(I783="UGR","UGR",_xlfn.XLOOKUP(D783,Lookup!O:O,Lookup!N:N,0))</f>
        <v>UGR</v>
      </c>
      <c r="M783">
        <f t="shared" si="26"/>
        <v>12</v>
      </c>
    </row>
    <row r="784" spans="1:13" x14ac:dyDescent="0.25">
      <c r="A784" s="78">
        <v>45971</v>
      </c>
      <c r="B784" s="79" t="s">
        <v>81</v>
      </c>
      <c r="C784" s="80" t="s">
        <v>1193</v>
      </c>
      <c r="D784" s="81" t="s">
        <v>1034</v>
      </c>
      <c r="E784" s="26" t="s">
        <v>1035</v>
      </c>
      <c r="F784" s="82">
        <v>160</v>
      </c>
      <c r="G784" s="83" t="s">
        <v>622</v>
      </c>
      <c r="H784" s="84">
        <v>160</v>
      </c>
      <c r="I784" s="80" t="s">
        <v>98</v>
      </c>
      <c r="J784" s="80"/>
      <c r="K784">
        <f t="shared" si="25"/>
        <v>1</v>
      </c>
      <c r="L784" t="str">
        <f>IF(I784="UGR","UGR",_xlfn.XLOOKUP(D784,Lookup!O:O,Lookup!N:N,0))</f>
        <v>UGR</v>
      </c>
      <c r="M784">
        <f t="shared" si="26"/>
        <v>11</v>
      </c>
    </row>
    <row r="785" spans="1:13" x14ac:dyDescent="0.25">
      <c r="A785" s="78">
        <v>45974</v>
      </c>
      <c r="B785" s="79" t="s">
        <v>81</v>
      </c>
      <c r="C785" s="80" t="s">
        <v>1993</v>
      </c>
      <c r="D785" s="81" t="s">
        <v>786</v>
      </c>
      <c r="E785" s="26" t="s">
        <v>787</v>
      </c>
      <c r="F785" s="82">
        <v>111</v>
      </c>
      <c r="G785" s="83" t="s">
        <v>622</v>
      </c>
      <c r="H785" s="84">
        <v>111.00000000000001</v>
      </c>
      <c r="I785" s="80" t="s">
        <v>98</v>
      </c>
      <c r="J785" s="80"/>
      <c r="K785">
        <f t="shared" si="25"/>
        <v>1</v>
      </c>
      <c r="L785" t="str">
        <f>IF(I785="UGR","UGR",_xlfn.XLOOKUP(D785,Lookup!O:O,Lookup!N:N,0))</f>
        <v>UGR</v>
      </c>
      <c r="M785">
        <f t="shared" si="26"/>
        <v>11</v>
      </c>
    </row>
    <row r="786" spans="1:13" hidden="1" x14ac:dyDescent="0.25">
      <c r="A786" s="78">
        <v>45993</v>
      </c>
      <c r="B786" s="79" t="s">
        <v>81</v>
      </c>
      <c r="C786" s="80" t="s">
        <v>1994</v>
      </c>
      <c r="D786" s="81" t="s">
        <v>786</v>
      </c>
      <c r="E786" s="26" t="s">
        <v>787</v>
      </c>
      <c r="F786" s="82">
        <v>250</v>
      </c>
      <c r="G786" s="83" t="s">
        <v>622</v>
      </c>
      <c r="H786" s="84">
        <v>249.99999999999997</v>
      </c>
      <c r="I786" s="80" t="s">
        <v>98</v>
      </c>
      <c r="J786" s="80"/>
      <c r="K786">
        <f t="shared" si="25"/>
        <v>1</v>
      </c>
      <c r="L786" t="str">
        <f>IF(I786="UGR","UGR",_xlfn.XLOOKUP(D786,Lookup!O:O,Lookup!N:N,0))</f>
        <v>UGR</v>
      </c>
      <c r="M786">
        <f t="shared" si="26"/>
        <v>12</v>
      </c>
    </row>
    <row r="787" spans="1:13" x14ac:dyDescent="0.25">
      <c r="A787" s="78">
        <v>45974</v>
      </c>
      <c r="B787" s="79" t="s">
        <v>81</v>
      </c>
      <c r="C787" s="80" t="s">
        <v>1995</v>
      </c>
      <c r="D787" s="81" t="s">
        <v>757</v>
      </c>
      <c r="E787" s="26" t="s">
        <v>758</v>
      </c>
      <c r="F787" s="82">
        <v>39</v>
      </c>
      <c r="G787" s="83" t="s">
        <v>622</v>
      </c>
      <c r="H787" s="84">
        <v>39</v>
      </c>
      <c r="I787" s="80" t="s">
        <v>98</v>
      </c>
      <c r="J787" s="80"/>
      <c r="K787">
        <f t="shared" si="25"/>
        <v>1</v>
      </c>
      <c r="L787" t="str">
        <f>IF(I787="UGR","UGR",_xlfn.XLOOKUP(D787,Lookup!O:O,Lookup!N:N,0))</f>
        <v>UGR</v>
      </c>
      <c r="M787">
        <f t="shared" si="26"/>
        <v>11</v>
      </c>
    </row>
    <row r="788" spans="1:13" hidden="1" x14ac:dyDescent="0.25">
      <c r="A788" s="78">
        <v>45993</v>
      </c>
      <c r="B788" s="79" t="s">
        <v>81</v>
      </c>
      <c r="C788" s="80" t="s">
        <v>1996</v>
      </c>
      <c r="D788" s="81" t="s">
        <v>757</v>
      </c>
      <c r="E788" s="26" t="s">
        <v>758</v>
      </c>
      <c r="F788" s="82">
        <v>250</v>
      </c>
      <c r="G788" s="83" t="s">
        <v>622</v>
      </c>
      <c r="H788" s="84">
        <v>249.99999999999997</v>
      </c>
      <c r="I788" s="80" t="s">
        <v>98</v>
      </c>
      <c r="J788" s="80"/>
      <c r="K788">
        <f t="shared" si="25"/>
        <v>1</v>
      </c>
      <c r="L788" t="str">
        <f>IF(I788="UGR","UGR",_xlfn.XLOOKUP(D788,Lookup!O:O,Lookup!N:N,0))</f>
        <v>UGR</v>
      </c>
      <c r="M788">
        <f t="shared" si="26"/>
        <v>12</v>
      </c>
    </row>
    <row r="789" spans="1:13" x14ac:dyDescent="0.25">
      <c r="A789" s="78">
        <v>45974</v>
      </c>
      <c r="B789" s="79" t="s">
        <v>81</v>
      </c>
      <c r="C789" s="80" t="s">
        <v>1997</v>
      </c>
      <c r="D789" s="81" t="s">
        <v>773</v>
      </c>
      <c r="E789" s="26" t="s">
        <v>774</v>
      </c>
      <c r="F789" s="82">
        <v>111</v>
      </c>
      <c r="G789" s="83" t="s">
        <v>622</v>
      </c>
      <c r="H789" s="84">
        <v>111.00000000000001</v>
      </c>
      <c r="I789" s="80" t="s">
        <v>98</v>
      </c>
      <c r="J789" s="80"/>
      <c r="K789">
        <f t="shared" si="25"/>
        <v>1</v>
      </c>
      <c r="L789" t="str">
        <f>IF(I789="UGR","UGR",_xlfn.XLOOKUP(D789,Lookup!O:O,Lookup!N:N,0))</f>
        <v>UGR</v>
      </c>
      <c r="M789">
        <f t="shared" si="26"/>
        <v>11</v>
      </c>
    </row>
    <row r="790" spans="1:13" hidden="1" x14ac:dyDescent="0.25">
      <c r="A790" s="78">
        <v>45993</v>
      </c>
      <c r="B790" s="79" t="s">
        <v>81</v>
      </c>
      <c r="C790" s="80" t="s">
        <v>1998</v>
      </c>
      <c r="D790" s="81" t="s">
        <v>773</v>
      </c>
      <c r="E790" s="26" t="s">
        <v>774</v>
      </c>
      <c r="F790" s="82">
        <v>250</v>
      </c>
      <c r="G790" s="83" t="s">
        <v>622</v>
      </c>
      <c r="H790" s="84">
        <v>249.99999999999997</v>
      </c>
      <c r="I790" s="80" t="s">
        <v>98</v>
      </c>
      <c r="J790" s="80"/>
      <c r="K790">
        <f t="shared" si="25"/>
        <v>1</v>
      </c>
      <c r="L790" t="str">
        <f>IF(I790="UGR","UGR",_xlfn.XLOOKUP(D790,Lookup!O:O,Lookup!N:N,0))</f>
        <v>UGR</v>
      </c>
      <c r="M790">
        <f t="shared" si="26"/>
        <v>12</v>
      </c>
    </row>
    <row r="791" spans="1:13" x14ac:dyDescent="0.25">
      <c r="A791" s="78">
        <v>45971</v>
      </c>
      <c r="B791" s="79" t="s">
        <v>81</v>
      </c>
      <c r="C791" s="80" t="s">
        <v>1196</v>
      </c>
      <c r="D791" s="81" t="s">
        <v>1040</v>
      </c>
      <c r="E791" s="26" t="s">
        <v>1041</v>
      </c>
      <c r="F791" s="82">
        <v>120</v>
      </c>
      <c r="G791" s="83" t="s">
        <v>622</v>
      </c>
      <c r="H791" s="84">
        <v>120</v>
      </c>
      <c r="I791" s="80" t="s">
        <v>98</v>
      </c>
      <c r="J791" s="80"/>
      <c r="K791">
        <f t="shared" si="25"/>
        <v>1</v>
      </c>
      <c r="L791" t="str">
        <f>IF(I791="UGR","UGR",_xlfn.XLOOKUP(D791,Lookup!O:O,Lookup!N:N,0))</f>
        <v>UGR</v>
      </c>
      <c r="M791">
        <f t="shared" si="26"/>
        <v>11</v>
      </c>
    </row>
    <row r="792" spans="1:13" x14ac:dyDescent="0.25">
      <c r="A792" s="78">
        <v>45974</v>
      </c>
      <c r="B792" s="79" t="s">
        <v>81</v>
      </c>
      <c r="C792" s="80" t="s">
        <v>1999</v>
      </c>
      <c r="D792" s="81" t="s">
        <v>775</v>
      </c>
      <c r="E792" s="26" t="s">
        <v>776</v>
      </c>
      <c r="F792" s="82">
        <v>72</v>
      </c>
      <c r="G792" s="83" t="s">
        <v>622</v>
      </c>
      <c r="H792" s="84">
        <v>72</v>
      </c>
      <c r="I792" s="80" t="s">
        <v>98</v>
      </c>
      <c r="J792" s="80"/>
      <c r="K792">
        <f t="shared" si="25"/>
        <v>1</v>
      </c>
      <c r="L792" t="str">
        <f>IF(I792="UGR","UGR",_xlfn.XLOOKUP(D792,Lookup!O:O,Lookup!N:N,0))</f>
        <v>UGR</v>
      </c>
      <c r="M792">
        <f t="shared" si="26"/>
        <v>11</v>
      </c>
    </row>
    <row r="793" spans="1:13" hidden="1" x14ac:dyDescent="0.25">
      <c r="A793" s="78">
        <v>45993</v>
      </c>
      <c r="B793" s="79" t="s">
        <v>81</v>
      </c>
      <c r="C793" s="80" t="s">
        <v>2000</v>
      </c>
      <c r="D793" s="81" t="s">
        <v>775</v>
      </c>
      <c r="E793" s="26" t="s">
        <v>776</v>
      </c>
      <c r="F793" s="82">
        <v>250</v>
      </c>
      <c r="G793" s="83" t="s">
        <v>622</v>
      </c>
      <c r="H793" s="84">
        <v>249.99999999999997</v>
      </c>
      <c r="I793" s="80" t="s">
        <v>98</v>
      </c>
      <c r="J793" s="80"/>
      <c r="K793">
        <f t="shared" si="25"/>
        <v>1</v>
      </c>
      <c r="L793" t="str">
        <f>IF(I793="UGR","UGR",_xlfn.XLOOKUP(D793,Lookup!O:O,Lookup!N:N,0))</f>
        <v>UGR</v>
      </c>
      <c r="M793">
        <f t="shared" si="26"/>
        <v>12</v>
      </c>
    </row>
    <row r="794" spans="1:13" x14ac:dyDescent="0.25">
      <c r="A794" s="78">
        <v>45971</v>
      </c>
      <c r="B794" s="79" t="s">
        <v>81</v>
      </c>
      <c r="C794" s="80" t="s">
        <v>1197</v>
      </c>
      <c r="D794" s="81" t="s">
        <v>1042</v>
      </c>
      <c r="E794" s="26" t="s">
        <v>1043</v>
      </c>
      <c r="F794" s="82">
        <v>120</v>
      </c>
      <c r="G794" s="83" t="s">
        <v>622</v>
      </c>
      <c r="H794" s="84">
        <v>120</v>
      </c>
      <c r="I794" s="80" t="s">
        <v>98</v>
      </c>
      <c r="J794" s="80"/>
      <c r="K794">
        <f t="shared" si="25"/>
        <v>1</v>
      </c>
      <c r="L794" t="str">
        <f>IF(I794="UGR","UGR",_xlfn.XLOOKUP(D794,Lookup!O:O,Lookup!N:N,0))</f>
        <v>UGR</v>
      </c>
      <c r="M794">
        <f t="shared" si="26"/>
        <v>11</v>
      </c>
    </row>
    <row r="795" spans="1:13" x14ac:dyDescent="0.25">
      <c r="A795" s="78">
        <v>45974</v>
      </c>
      <c r="B795" s="79" t="s">
        <v>81</v>
      </c>
      <c r="C795" s="80" t="s">
        <v>2001</v>
      </c>
      <c r="D795" s="81" t="s">
        <v>748</v>
      </c>
      <c r="E795" s="26" t="s">
        <v>749</v>
      </c>
      <c r="F795" s="82">
        <v>46</v>
      </c>
      <c r="G795" s="83" t="s">
        <v>622</v>
      </c>
      <c r="H795" s="84">
        <v>46</v>
      </c>
      <c r="I795" s="80" t="s">
        <v>98</v>
      </c>
      <c r="J795" s="80"/>
      <c r="K795">
        <f t="shared" si="25"/>
        <v>1</v>
      </c>
      <c r="L795" t="str">
        <f>IF(I795="UGR","UGR",_xlfn.XLOOKUP(D795,Lookup!O:O,Lookup!N:N,0))</f>
        <v>UGR</v>
      </c>
      <c r="M795">
        <f t="shared" si="26"/>
        <v>11</v>
      </c>
    </row>
    <row r="796" spans="1:13" hidden="1" x14ac:dyDescent="0.25">
      <c r="A796" s="78">
        <v>45993</v>
      </c>
      <c r="B796" s="79" t="s">
        <v>81</v>
      </c>
      <c r="C796" s="80" t="s">
        <v>2002</v>
      </c>
      <c r="D796" s="81" t="s">
        <v>748</v>
      </c>
      <c r="E796" s="26" t="s">
        <v>749</v>
      </c>
      <c r="F796" s="82">
        <v>150</v>
      </c>
      <c r="G796" s="83" t="s">
        <v>622</v>
      </c>
      <c r="H796" s="84">
        <v>150</v>
      </c>
      <c r="I796" s="80" t="s">
        <v>98</v>
      </c>
      <c r="J796" s="80"/>
      <c r="K796">
        <f t="shared" si="25"/>
        <v>1</v>
      </c>
      <c r="L796" t="str">
        <f>IF(I796="UGR","UGR",_xlfn.XLOOKUP(D796,Lookup!O:O,Lookup!N:N,0))</f>
        <v>UGR</v>
      </c>
      <c r="M796">
        <f t="shared" si="26"/>
        <v>12</v>
      </c>
    </row>
    <row r="797" spans="1:13" x14ac:dyDescent="0.25">
      <c r="A797" s="78">
        <v>45974</v>
      </c>
      <c r="B797" s="79" t="s">
        <v>81</v>
      </c>
      <c r="C797" s="80" t="s">
        <v>2003</v>
      </c>
      <c r="D797" s="81" t="s">
        <v>777</v>
      </c>
      <c r="E797" s="26" t="s">
        <v>778</v>
      </c>
      <c r="F797" s="82">
        <v>63</v>
      </c>
      <c r="G797" s="83" t="s">
        <v>622</v>
      </c>
      <c r="H797" s="84">
        <v>63</v>
      </c>
      <c r="I797" s="80" t="s">
        <v>98</v>
      </c>
      <c r="J797" s="80"/>
      <c r="K797">
        <f t="shared" si="25"/>
        <v>1</v>
      </c>
      <c r="L797" t="str">
        <f>IF(I797="UGR","UGR",_xlfn.XLOOKUP(D797,Lookup!O:O,Lookup!N:N,0))</f>
        <v>UGR</v>
      </c>
      <c r="M797">
        <f t="shared" si="26"/>
        <v>11</v>
      </c>
    </row>
    <row r="798" spans="1:13" hidden="1" x14ac:dyDescent="0.25">
      <c r="A798" s="78">
        <v>45993</v>
      </c>
      <c r="B798" s="79" t="s">
        <v>81</v>
      </c>
      <c r="C798" s="80" t="s">
        <v>2004</v>
      </c>
      <c r="D798" s="81" t="s">
        <v>777</v>
      </c>
      <c r="E798" s="26" t="s">
        <v>778</v>
      </c>
      <c r="F798" s="82">
        <v>150</v>
      </c>
      <c r="G798" s="83" t="s">
        <v>622</v>
      </c>
      <c r="H798" s="84">
        <v>150</v>
      </c>
      <c r="I798" s="80" t="s">
        <v>98</v>
      </c>
      <c r="J798" s="80"/>
      <c r="K798">
        <f t="shared" si="25"/>
        <v>1</v>
      </c>
      <c r="L798" t="str">
        <f>IF(I798="UGR","UGR",_xlfn.XLOOKUP(D798,Lookup!O:O,Lookup!N:N,0))</f>
        <v>UGR</v>
      </c>
      <c r="M798">
        <f t="shared" si="26"/>
        <v>12</v>
      </c>
    </row>
    <row r="799" spans="1:13" x14ac:dyDescent="0.25">
      <c r="A799" s="78">
        <v>45974</v>
      </c>
      <c r="B799" s="79" t="s">
        <v>81</v>
      </c>
      <c r="C799" s="80" t="s">
        <v>2005</v>
      </c>
      <c r="D799" s="81" t="s">
        <v>788</v>
      </c>
      <c r="E799" s="26" t="s">
        <v>789</v>
      </c>
      <c r="F799" s="82">
        <v>77</v>
      </c>
      <c r="G799" s="83" t="s">
        <v>622</v>
      </c>
      <c r="H799" s="84">
        <v>77</v>
      </c>
      <c r="I799" s="80" t="s">
        <v>98</v>
      </c>
      <c r="J799" s="80"/>
      <c r="K799">
        <f t="shared" si="25"/>
        <v>1</v>
      </c>
      <c r="L799" t="str">
        <f>IF(I799="UGR","UGR",_xlfn.XLOOKUP(D799,Lookup!O:O,Lookup!N:N,0))</f>
        <v>UGR</v>
      </c>
      <c r="M799">
        <f t="shared" si="26"/>
        <v>11</v>
      </c>
    </row>
    <row r="800" spans="1:13" hidden="1" x14ac:dyDescent="0.25">
      <c r="A800" s="78">
        <v>45993</v>
      </c>
      <c r="B800" s="79" t="s">
        <v>81</v>
      </c>
      <c r="C800" s="80" t="s">
        <v>2006</v>
      </c>
      <c r="D800" s="81" t="s">
        <v>788</v>
      </c>
      <c r="E800" s="26" t="s">
        <v>789</v>
      </c>
      <c r="F800" s="82">
        <v>150</v>
      </c>
      <c r="G800" s="83" t="s">
        <v>622</v>
      </c>
      <c r="H800" s="84">
        <v>150</v>
      </c>
      <c r="I800" s="80" t="s">
        <v>98</v>
      </c>
      <c r="J800" s="80"/>
      <c r="K800">
        <f t="shared" si="25"/>
        <v>1</v>
      </c>
      <c r="L800" t="str">
        <f>IF(I800="UGR","UGR",_xlfn.XLOOKUP(D800,Lookup!O:O,Lookup!N:N,0))</f>
        <v>UGR</v>
      </c>
      <c r="M800">
        <f t="shared" si="26"/>
        <v>12</v>
      </c>
    </row>
    <row r="801" spans="1:13" x14ac:dyDescent="0.25">
      <c r="A801" s="78">
        <v>45974</v>
      </c>
      <c r="B801" s="79" t="s">
        <v>81</v>
      </c>
      <c r="C801" s="80" t="s">
        <v>2007</v>
      </c>
      <c r="D801" s="81" t="s">
        <v>790</v>
      </c>
      <c r="E801" s="26" t="s">
        <v>791</v>
      </c>
      <c r="F801" s="82">
        <v>28</v>
      </c>
      <c r="G801" s="83" t="s">
        <v>622</v>
      </c>
      <c r="H801" s="84">
        <v>28</v>
      </c>
      <c r="I801" s="80" t="s">
        <v>98</v>
      </c>
      <c r="J801" s="80"/>
      <c r="K801">
        <f t="shared" si="25"/>
        <v>1</v>
      </c>
      <c r="L801" t="str">
        <f>IF(I801="UGR","UGR",_xlfn.XLOOKUP(D801,Lookup!O:O,Lookup!N:N,0))</f>
        <v>UGR</v>
      </c>
      <c r="M801">
        <f t="shared" si="26"/>
        <v>11</v>
      </c>
    </row>
    <row r="802" spans="1:13" hidden="1" x14ac:dyDescent="0.25">
      <c r="A802" s="78">
        <v>45993</v>
      </c>
      <c r="B802" s="79" t="s">
        <v>81</v>
      </c>
      <c r="C802" s="80" t="s">
        <v>2008</v>
      </c>
      <c r="D802" s="81" t="s">
        <v>790</v>
      </c>
      <c r="E802" s="26" t="s">
        <v>791</v>
      </c>
      <c r="F802" s="82">
        <v>150</v>
      </c>
      <c r="G802" s="83" t="s">
        <v>622</v>
      </c>
      <c r="H802" s="84">
        <v>150</v>
      </c>
      <c r="I802" s="80" t="s">
        <v>98</v>
      </c>
      <c r="J802" s="80"/>
      <c r="K802">
        <f t="shared" si="25"/>
        <v>1</v>
      </c>
      <c r="L802" t="str">
        <f>IF(I802="UGR","UGR",_xlfn.XLOOKUP(D802,Lookup!O:O,Lookup!N:N,0))</f>
        <v>UGR</v>
      </c>
      <c r="M802">
        <f t="shared" si="26"/>
        <v>12</v>
      </c>
    </row>
    <row r="803" spans="1:13" x14ac:dyDescent="0.25">
      <c r="A803" s="78">
        <v>45974</v>
      </c>
      <c r="B803" s="79" t="s">
        <v>81</v>
      </c>
      <c r="C803" s="80" t="s">
        <v>2009</v>
      </c>
      <c r="D803" s="81" t="s">
        <v>759</v>
      </c>
      <c r="E803" s="26" t="s">
        <v>760</v>
      </c>
      <c r="F803" s="82">
        <v>118</v>
      </c>
      <c r="G803" s="83" t="s">
        <v>622</v>
      </c>
      <c r="H803" s="84">
        <v>118</v>
      </c>
      <c r="I803" s="80" t="s">
        <v>98</v>
      </c>
      <c r="J803" s="80"/>
      <c r="K803">
        <f t="shared" si="25"/>
        <v>1</v>
      </c>
      <c r="L803" t="str">
        <f>IF(I803="UGR","UGR",_xlfn.XLOOKUP(D803,Lookup!O:O,Lookup!N:N,0))</f>
        <v>UGR</v>
      </c>
      <c r="M803">
        <f t="shared" si="26"/>
        <v>11</v>
      </c>
    </row>
    <row r="804" spans="1:13" hidden="1" x14ac:dyDescent="0.25">
      <c r="A804" s="78">
        <v>45993</v>
      </c>
      <c r="B804" s="79" t="s">
        <v>81</v>
      </c>
      <c r="C804" s="80" t="s">
        <v>2010</v>
      </c>
      <c r="D804" s="81" t="s">
        <v>759</v>
      </c>
      <c r="E804" s="26" t="s">
        <v>760</v>
      </c>
      <c r="F804" s="82">
        <v>150</v>
      </c>
      <c r="G804" s="83" t="s">
        <v>622</v>
      </c>
      <c r="H804" s="84">
        <v>150</v>
      </c>
      <c r="I804" s="80" t="s">
        <v>98</v>
      </c>
      <c r="J804" s="80"/>
      <c r="K804">
        <f t="shared" si="25"/>
        <v>1</v>
      </c>
      <c r="L804" t="str">
        <f>IF(I804="UGR","UGR",_xlfn.XLOOKUP(D804,Lookup!O:O,Lookup!N:N,0))</f>
        <v>UGR</v>
      </c>
      <c r="M804">
        <f t="shared" si="26"/>
        <v>12</v>
      </c>
    </row>
    <row r="805" spans="1:13" x14ac:dyDescent="0.25">
      <c r="A805" s="78">
        <v>45974</v>
      </c>
      <c r="B805" s="79" t="s">
        <v>81</v>
      </c>
      <c r="C805" s="80" t="s">
        <v>2011</v>
      </c>
      <c r="D805" s="81" t="s">
        <v>761</v>
      </c>
      <c r="E805" s="26" t="s">
        <v>762</v>
      </c>
      <c r="F805" s="82">
        <v>39</v>
      </c>
      <c r="G805" s="83" t="s">
        <v>622</v>
      </c>
      <c r="H805" s="84">
        <v>39</v>
      </c>
      <c r="I805" s="80" t="s">
        <v>98</v>
      </c>
      <c r="J805" s="80"/>
      <c r="K805">
        <f t="shared" si="25"/>
        <v>1</v>
      </c>
      <c r="L805" t="str">
        <f>IF(I805="UGR","UGR",_xlfn.XLOOKUP(D805,Lookup!O:O,Lookup!N:N,0))</f>
        <v>UGR</v>
      </c>
      <c r="M805">
        <f t="shared" si="26"/>
        <v>11</v>
      </c>
    </row>
    <row r="806" spans="1:13" hidden="1" x14ac:dyDescent="0.25">
      <c r="A806" s="78">
        <v>45993</v>
      </c>
      <c r="B806" s="79" t="s">
        <v>81</v>
      </c>
      <c r="C806" s="80" t="s">
        <v>2012</v>
      </c>
      <c r="D806" s="81" t="s">
        <v>761</v>
      </c>
      <c r="E806" s="26" t="s">
        <v>762</v>
      </c>
      <c r="F806" s="82">
        <v>150</v>
      </c>
      <c r="G806" s="83" t="s">
        <v>622</v>
      </c>
      <c r="H806" s="84">
        <v>150</v>
      </c>
      <c r="I806" s="80" t="s">
        <v>98</v>
      </c>
      <c r="J806" s="80"/>
      <c r="K806">
        <f t="shared" si="25"/>
        <v>1</v>
      </c>
      <c r="L806" t="str">
        <f>IF(I806="UGR","UGR",_xlfn.XLOOKUP(D806,Lookup!O:O,Lookup!N:N,0))</f>
        <v>UGR</v>
      </c>
      <c r="M806">
        <f t="shared" si="26"/>
        <v>12</v>
      </c>
    </row>
    <row r="807" spans="1:13" x14ac:dyDescent="0.25">
      <c r="A807" s="78">
        <v>45974</v>
      </c>
      <c r="B807" s="79" t="s">
        <v>81</v>
      </c>
      <c r="C807" s="80" t="s">
        <v>2013</v>
      </c>
      <c r="D807" s="81" t="s">
        <v>792</v>
      </c>
      <c r="E807" s="26" t="s">
        <v>793</v>
      </c>
      <c r="F807" s="82">
        <v>125</v>
      </c>
      <c r="G807" s="83" t="s">
        <v>622</v>
      </c>
      <c r="H807" s="84">
        <v>124.99999999999999</v>
      </c>
      <c r="I807" s="80" t="s">
        <v>98</v>
      </c>
      <c r="J807" s="80"/>
      <c r="K807">
        <f t="shared" si="25"/>
        <v>1</v>
      </c>
      <c r="L807" t="str">
        <f>IF(I807="UGR","UGR",_xlfn.XLOOKUP(D807,Lookup!O:O,Lookup!N:N,0))</f>
        <v>UGR</v>
      </c>
      <c r="M807">
        <f t="shared" si="26"/>
        <v>11</v>
      </c>
    </row>
    <row r="808" spans="1:13" hidden="1" x14ac:dyDescent="0.25">
      <c r="A808" s="78">
        <v>45993</v>
      </c>
      <c r="B808" s="79" t="s">
        <v>81</v>
      </c>
      <c r="C808" s="80" t="s">
        <v>2014</v>
      </c>
      <c r="D808" s="81" t="s">
        <v>792</v>
      </c>
      <c r="E808" s="26" t="s">
        <v>793</v>
      </c>
      <c r="F808" s="82">
        <v>250</v>
      </c>
      <c r="G808" s="83" t="s">
        <v>622</v>
      </c>
      <c r="H808" s="84">
        <v>249.99999999999997</v>
      </c>
      <c r="I808" s="80" t="s">
        <v>98</v>
      </c>
      <c r="J808" s="80"/>
      <c r="K808">
        <f t="shared" si="25"/>
        <v>1</v>
      </c>
      <c r="L808" t="str">
        <f>IF(I808="UGR","UGR",_xlfn.XLOOKUP(D808,Lookup!O:O,Lookup!N:N,0))</f>
        <v>UGR</v>
      </c>
      <c r="M808">
        <f t="shared" si="26"/>
        <v>12</v>
      </c>
    </row>
    <row r="809" spans="1:13" x14ac:dyDescent="0.25">
      <c r="A809" s="78">
        <v>45974</v>
      </c>
      <c r="B809" s="79" t="s">
        <v>81</v>
      </c>
      <c r="C809" s="80" t="s">
        <v>2015</v>
      </c>
      <c r="D809" s="81" t="s">
        <v>794</v>
      </c>
      <c r="E809" s="26" t="s">
        <v>795</v>
      </c>
      <c r="F809" s="82">
        <v>46</v>
      </c>
      <c r="G809" s="83" t="s">
        <v>622</v>
      </c>
      <c r="H809" s="84">
        <v>46</v>
      </c>
      <c r="I809" s="80" t="s">
        <v>98</v>
      </c>
      <c r="J809" s="80"/>
      <c r="K809">
        <f t="shared" si="25"/>
        <v>1</v>
      </c>
      <c r="L809" t="str">
        <f>IF(I809="UGR","UGR",_xlfn.XLOOKUP(D809,Lookup!O:O,Lookup!N:N,0))</f>
        <v>UGR</v>
      </c>
      <c r="M809">
        <f t="shared" si="26"/>
        <v>11</v>
      </c>
    </row>
    <row r="810" spans="1:13" hidden="1" x14ac:dyDescent="0.25">
      <c r="A810" s="78">
        <v>45993</v>
      </c>
      <c r="B810" s="79" t="s">
        <v>81</v>
      </c>
      <c r="C810" s="80" t="s">
        <v>2016</v>
      </c>
      <c r="D810" s="81" t="s">
        <v>794</v>
      </c>
      <c r="E810" s="26" t="s">
        <v>795</v>
      </c>
      <c r="F810" s="82">
        <v>150</v>
      </c>
      <c r="G810" s="83" t="s">
        <v>622</v>
      </c>
      <c r="H810" s="84">
        <v>150</v>
      </c>
      <c r="I810" s="80" t="s">
        <v>98</v>
      </c>
      <c r="J810" s="80"/>
      <c r="K810">
        <f t="shared" si="25"/>
        <v>1</v>
      </c>
      <c r="L810" t="str">
        <f>IF(I810="UGR","UGR",_xlfn.XLOOKUP(D810,Lookup!O:O,Lookup!N:N,0))</f>
        <v>UGR</v>
      </c>
      <c r="M810">
        <f t="shared" si="26"/>
        <v>12</v>
      </c>
    </row>
    <row r="811" spans="1:13" x14ac:dyDescent="0.25">
      <c r="A811" s="78">
        <v>45974</v>
      </c>
      <c r="B811" s="79" t="s">
        <v>81</v>
      </c>
      <c r="C811" s="80" t="s">
        <v>2017</v>
      </c>
      <c r="D811" s="81" t="s">
        <v>763</v>
      </c>
      <c r="E811" s="26" t="s">
        <v>764</v>
      </c>
      <c r="F811" s="82">
        <v>6</v>
      </c>
      <c r="G811" s="83" t="s">
        <v>622</v>
      </c>
      <c r="H811" s="84">
        <v>6</v>
      </c>
      <c r="I811" s="80" t="s">
        <v>98</v>
      </c>
      <c r="J811" s="80"/>
      <c r="K811">
        <f t="shared" si="25"/>
        <v>1</v>
      </c>
      <c r="L811" t="str">
        <f>IF(I811="UGR","UGR",_xlfn.XLOOKUP(D811,Lookup!O:O,Lookup!N:N,0))</f>
        <v>UGR</v>
      </c>
      <c r="M811">
        <f t="shared" si="26"/>
        <v>11</v>
      </c>
    </row>
    <row r="812" spans="1:13" hidden="1" x14ac:dyDescent="0.25">
      <c r="A812" s="78">
        <v>45993</v>
      </c>
      <c r="B812" s="79" t="s">
        <v>81</v>
      </c>
      <c r="C812" s="80" t="s">
        <v>2018</v>
      </c>
      <c r="D812" s="81" t="s">
        <v>763</v>
      </c>
      <c r="E812" s="26" t="s">
        <v>764</v>
      </c>
      <c r="F812" s="82">
        <v>150</v>
      </c>
      <c r="G812" s="83" t="s">
        <v>622</v>
      </c>
      <c r="H812" s="84">
        <v>150</v>
      </c>
      <c r="I812" s="80" t="s">
        <v>98</v>
      </c>
      <c r="J812" s="80"/>
      <c r="K812">
        <f t="shared" si="25"/>
        <v>1</v>
      </c>
      <c r="L812" t="str">
        <f>IF(I812="UGR","UGR",_xlfn.XLOOKUP(D812,Lookup!O:O,Lookup!N:N,0))</f>
        <v>UGR</v>
      </c>
      <c r="M812">
        <f t="shared" si="26"/>
        <v>12</v>
      </c>
    </row>
    <row r="813" spans="1:13" x14ac:dyDescent="0.25">
      <c r="A813" s="78">
        <v>45974</v>
      </c>
      <c r="B813" s="79" t="s">
        <v>81</v>
      </c>
      <c r="C813" s="80" t="s">
        <v>2019</v>
      </c>
      <c r="D813" s="81" t="s">
        <v>750</v>
      </c>
      <c r="E813" s="26" t="s">
        <v>751</v>
      </c>
      <c r="F813" s="82">
        <v>10</v>
      </c>
      <c r="G813" s="83" t="s">
        <v>622</v>
      </c>
      <c r="H813" s="84">
        <v>10</v>
      </c>
      <c r="I813" s="80" t="s">
        <v>98</v>
      </c>
      <c r="J813" s="80"/>
      <c r="K813">
        <f t="shared" si="25"/>
        <v>1</v>
      </c>
      <c r="L813" t="str">
        <f>IF(I813="UGR","UGR",_xlfn.XLOOKUP(D813,Lookup!O:O,Lookup!N:N,0))</f>
        <v>UGR</v>
      </c>
      <c r="M813">
        <f t="shared" si="26"/>
        <v>11</v>
      </c>
    </row>
    <row r="814" spans="1:13" hidden="1" x14ac:dyDescent="0.25">
      <c r="A814" s="78">
        <v>45993</v>
      </c>
      <c r="B814" s="79" t="s">
        <v>81</v>
      </c>
      <c r="C814" s="80" t="s">
        <v>2020</v>
      </c>
      <c r="D814" s="81" t="s">
        <v>750</v>
      </c>
      <c r="E814" s="26" t="s">
        <v>751</v>
      </c>
      <c r="F814" s="82">
        <v>150</v>
      </c>
      <c r="G814" s="83" t="s">
        <v>622</v>
      </c>
      <c r="H814" s="84">
        <v>150</v>
      </c>
      <c r="I814" s="80" t="s">
        <v>98</v>
      </c>
      <c r="J814" s="80"/>
      <c r="K814">
        <f t="shared" si="25"/>
        <v>1</v>
      </c>
      <c r="L814" t="str">
        <f>IF(I814="UGR","UGR",_xlfn.XLOOKUP(D814,Lookup!O:O,Lookup!N:N,0))</f>
        <v>UGR</v>
      </c>
      <c r="M814">
        <f t="shared" si="26"/>
        <v>12</v>
      </c>
    </row>
    <row r="815" spans="1:13" x14ac:dyDescent="0.25">
      <c r="A815" s="78">
        <v>45974</v>
      </c>
      <c r="B815" s="79" t="s">
        <v>81</v>
      </c>
      <c r="C815" s="80" t="s">
        <v>2021</v>
      </c>
      <c r="D815" s="81" t="s">
        <v>796</v>
      </c>
      <c r="E815" s="26" t="s">
        <v>797</v>
      </c>
      <c r="F815" s="82">
        <v>6</v>
      </c>
      <c r="G815" s="83" t="s">
        <v>622</v>
      </c>
      <c r="H815" s="84">
        <v>6</v>
      </c>
      <c r="I815" s="80" t="s">
        <v>98</v>
      </c>
      <c r="J815" s="80"/>
      <c r="K815">
        <f t="shared" si="25"/>
        <v>1</v>
      </c>
      <c r="L815" t="str">
        <f>IF(I815="UGR","UGR",_xlfn.XLOOKUP(D815,Lookup!O:O,Lookup!N:N,0))</f>
        <v>UGR</v>
      </c>
      <c r="M815">
        <f t="shared" si="26"/>
        <v>11</v>
      </c>
    </row>
    <row r="816" spans="1:13" hidden="1" x14ac:dyDescent="0.25">
      <c r="A816" s="78">
        <v>45993</v>
      </c>
      <c r="B816" s="79" t="s">
        <v>81</v>
      </c>
      <c r="C816" s="80" t="s">
        <v>2022</v>
      </c>
      <c r="D816" s="81" t="s">
        <v>796</v>
      </c>
      <c r="E816" s="26" t="s">
        <v>797</v>
      </c>
      <c r="F816" s="82">
        <v>150</v>
      </c>
      <c r="G816" s="83" t="s">
        <v>622</v>
      </c>
      <c r="H816" s="84">
        <v>150</v>
      </c>
      <c r="I816" s="80" t="s">
        <v>98</v>
      </c>
      <c r="J816" s="80"/>
      <c r="K816">
        <f t="shared" si="25"/>
        <v>1</v>
      </c>
      <c r="L816" t="str">
        <f>IF(I816="UGR","UGR",_xlfn.XLOOKUP(D816,Lookup!O:O,Lookup!N:N,0))</f>
        <v>UGR</v>
      </c>
      <c r="M816">
        <f t="shared" si="26"/>
        <v>12</v>
      </c>
    </row>
    <row r="817" spans="1:13" x14ac:dyDescent="0.25">
      <c r="A817" s="78">
        <v>45974</v>
      </c>
      <c r="B817" s="79" t="s">
        <v>81</v>
      </c>
      <c r="C817" s="80" t="s">
        <v>2023</v>
      </c>
      <c r="D817" s="81" t="s">
        <v>798</v>
      </c>
      <c r="E817" s="26" t="s">
        <v>799</v>
      </c>
      <c r="F817" s="82">
        <v>10</v>
      </c>
      <c r="G817" s="83" t="s">
        <v>622</v>
      </c>
      <c r="H817" s="84">
        <v>10</v>
      </c>
      <c r="I817" s="80" t="s">
        <v>98</v>
      </c>
      <c r="J817" s="80"/>
      <c r="K817">
        <f t="shared" si="25"/>
        <v>1</v>
      </c>
      <c r="L817" t="str">
        <f>IF(I817="UGR","UGR",_xlfn.XLOOKUP(D817,Lookup!O:O,Lookup!N:N,0))</f>
        <v>UGR</v>
      </c>
      <c r="M817">
        <f t="shared" si="26"/>
        <v>11</v>
      </c>
    </row>
    <row r="818" spans="1:13" hidden="1" x14ac:dyDescent="0.25">
      <c r="A818" s="78">
        <v>45993</v>
      </c>
      <c r="B818" s="79" t="s">
        <v>81</v>
      </c>
      <c r="C818" s="80" t="s">
        <v>2024</v>
      </c>
      <c r="D818" s="81" t="s">
        <v>798</v>
      </c>
      <c r="E818" s="26" t="s">
        <v>799</v>
      </c>
      <c r="F818" s="82">
        <v>150</v>
      </c>
      <c r="G818" s="83" t="s">
        <v>622</v>
      </c>
      <c r="H818" s="84">
        <v>150</v>
      </c>
      <c r="I818" s="80" t="s">
        <v>98</v>
      </c>
      <c r="J818" s="80"/>
      <c r="K818">
        <f t="shared" si="25"/>
        <v>1</v>
      </c>
      <c r="L818" t="str">
        <f>IF(I818="UGR","UGR",_xlfn.XLOOKUP(D818,Lookup!O:O,Lookup!N:N,0))</f>
        <v>UGR</v>
      </c>
      <c r="M818">
        <f t="shared" si="26"/>
        <v>12</v>
      </c>
    </row>
    <row r="819" spans="1:13" hidden="1" x14ac:dyDescent="0.25">
      <c r="A819" s="78">
        <v>45993</v>
      </c>
      <c r="B819" s="79" t="s">
        <v>81</v>
      </c>
      <c r="C819" s="80" t="s">
        <v>2025</v>
      </c>
      <c r="D819" s="81" t="s">
        <v>765</v>
      </c>
      <c r="E819" s="26" t="s">
        <v>766</v>
      </c>
      <c r="F819" s="82">
        <v>150</v>
      </c>
      <c r="G819" s="83" t="s">
        <v>622</v>
      </c>
      <c r="H819" s="84">
        <v>150</v>
      </c>
      <c r="I819" s="80" t="s">
        <v>98</v>
      </c>
      <c r="J819" s="80"/>
      <c r="K819">
        <f t="shared" si="25"/>
        <v>1</v>
      </c>
      <c r="L819" t="str">
        <f>IF(I819="UGR","UGR",_xlfn.XLOOKUP(D819,Lookup!O:O,Lookup!N:N,0))</f>
        <v>UGR</v>
      </c>
      <c r="M819">
        <f t="shared" si="26"/>
        <v>12</v>
      </c>
    </row>
    <row r="820" spans="1:13" x14ac:dyDescent="0.25">
      <c r="A820" s="78">
        <v>45974</v>
      </c>
      <c r="B820" s="79" t="s">
        <v>81</v>
      </c>
      <c r="C820" s="80" t="s">
        <v>2026</v>
      </c>
      <c r="D820" s="81" t="s">
        <v>800</v>
      </c>
      <c r="E820" s="26" t="s">
        <v>801</v>
      </c>
      <c r="F820" s="82">
        <v>8</v>
      </c>
      <c r="G820" s="83" t="s">
        <v>622</v>
      </c>
      <c r="H820" s="84">
        <v>8</v>
      </c>
      <c r="I820" s="80" t="s">
        <v>98</v>
      </c>
      <c r="J820" s="80"/>
      <c r="K820">
        <f t="shared" si="25"/>
        <v>1</v>
      </c>
      <c r="L820" t="str">
        <f>IF(I820="UGR","UGR",_xlfn.XLOOKUP(D820,Lookup!O:O,Lookup!N:N,0))</f>
        <v>UGR</v>
      </c>
      <c r="M820">
        <f t="shared" si="26"/>
        <v>11</v>
      </c>
    </row>
    <row r="821" spans="1:13" hidden="1" x14ac:dyDescent="0.25">
      <c r="A821" s="78">
        <v>45993</v>
      </c>
      <c r="B821" s="79" t="s">
        <v>81</v>
      </c>
      <c r="C821" s="80" t="s">
        <v>2027</v>
      </c>
      <c r="D821" s="81" t="s">
        <v>800</v>
      </c>
      <c r="E821" s="26" t="s">
        <v>801</v>
      </c>
      <c r="F821" s="82">
        <v>150</v>
      </c>
      <c r="G821" s="83" t="s">
        <v>622</v>
      </c>
      <c r="H821" s="84">
        <v>150</v>
      </c>
      <c r="I821" s="80" t="s">
        <v>98</v>
      </c>
      <c r="J821" s="80"/>
      <c r="K821">
        <f t="shared" si="25"/>
        <v>1</v>
      </c>
      <c r="L821" t="str">
        <f>IF(I821="UGR","UGR",_xlfn.XLOOKUP(D821,Lookup!O:O,Lookup!N:N,0))</f>
        <v>UGR</v>
      </c>
      <c r="M821">
        <f t="shared" si="26"/>
        <v>12</v>
      </c>
    </row>
    <row r="822" spans="1:13" x14ac:dyDescent="0.25">
      <c r="A822" s="78">
        <v>45974</v>
      </c>
      <c r="B822" s="79" t="s">
        <v>81</v>
      </c>
      <c r="C822" s="80" t="s">
        <v>2028</v>
      </c>
      <c r="D822" s="81" t="s">
        <v>812</v>
      </c>
      <c r="E822" s="26" t="s">
        <v>813</v>
      </c>
      <c r="F822" s="82">
        <v>2</v>
      </c>
      <c r="G822" s="83" t="s">
        <v>622</v>
      </c>
      <c r="H822" s="84">
        <v>2</v>
      </c>
      <c r="I822" s="80" t="s">
        <v>98</v>
      </c>
      <c r="J822" s="80"/>
      <c r="K822">
        <f t="shared" si="25"/>
        <v>1</v>
      </c>
      <c r="L822" t="str">
        <f>IF(I822="UGR","UGR",_xlfn.XLOOKUP(D822,Lookup!O:O,Lookup!N:N,0))</f>
        <v>UGR</v>
      </c>
      <c r="M822">
        <f t="shared" si="26"/>
        <v>11</v>
      </c>
    </row>
    <row r="823" spans="1:13" hidden="1" x14ac:dyDescent="0.25">
      <c r="A823" s="78">
        <v>45993</v>
      </c>
      <c r="B823" s="79" t="s">
        <v>81</v>
      </c>
      <c r="C823" s="80" t="s">
        <v>2029</v>
      </c>
      <c r="D823" s="81" t="s">
        <v>812</v>
      </c>
      <c r="E823" s="26" t="s">
        <v>813</v>
      </c>
      <c r="F823" s="82">
        <v>50</v>
      </c>
      <c r="G823" s="83" t="s">
        <v>622</v>
      </c>
      <c r="H823" s="84">
        <v>50</v>
      </c>
      <c r="I823" s="80" t="s">
        <v>98</v>
      </c>
      <c r="J823" s="80"/>
      <c r="K823">
        <f t="shared" si="25"/>
        <v>1</v>
      </c>
      <c r="L823" t="str">
        <f>IF(I823="UGR","UGR",_xlfn.XLOOKUP(D823,Lookup!O:O,Lookup!N:N,0))</f>
        <v>UGR</v>
      </c>
      <c r="M823">
        <f t="shared" si="26"/>
        <v>12</v>
      </c>
    </row>
    <row r="824" spans="1:13" x14ac:dyDescent="0.25">
      <c r="A824" s="78">
        <v>45971</v>
      </c>
      <c r="B824" s="79" t="s">
        <v>81</v>
      </c>
      <c r="C824" s="80" t="s">
        <v>1208</v>
      </c>
      <c r="D824" s="81" t="s">
        <v>1209</v>
      </c>
      <c r="E824" s="26" t="s">
        <v>1210</v>
      </c>
      <c r="F824" s="82">
        <v>80</v>
      </c>
      <c r="G824" s="83" t="s">
        <v>622</v>
      </c>
      <c r="H824" s="84">
        <v>80</v>
      </c>
      <c r="I824" s="80" t="s">
        <v>98</v>
      </c>
      <c r="J824" s="80"/>
      <c r="K824">
        <f t="shared" si="25"/>
        <v>1</v>
      </c>
      <c r="L824" t="str">
        <f>IF(I824="UGR","UGR",_xlfn.XLOOKUP(D824,Lookup!O:O,Lookup!N:N,0))</f>
        <v>UGR</v>
      </c>
      <c r="M824">
        <f t="shared" si="26"/>
        <v>11</v>
      </c>
    </row>
    <row r="825" spans="1:13" x14ac:dyDescent="0.25">
      <c r="A825" s="78">
        <v>45974</v>
      </c>
      <c r="B825" s="79" t="s">
        <v>81</v>
      </c>
      <c r="C825" s="80" t="s">
        <v>2030</v>
      </c>
      <c r="D825" s="81" t="s">
        <v>1027</v>
      </c>
      <c r="E825" s="26" t="s">
        <v>1028</v>
      </c>
      <c r="F825" s="82">
        <v>2</v>
      </c>
      <c r="G825" s="83" t="s">
        <v>622</v>
      </c>
      <c r="H825" s="84">
        <v>2</v>
      </c>
      <c r="I825" s="80" t="s">
        <v>98</v>
      </c>
      <c r="J825" s="80"/>
      <c r="K825">
        <f t="shared" si="25"/>
        <v>1</v>
      </c>
      <c r="L825" t="str">
        <f>IF(I825="UGR","UGR",_xlfn.XLOOKUP(D825,Lookup!O:O,Lookup!N:N,0))</f>
        <v>UGR</v>
      </c>
      <c r="M825">
        <f t="shared" si="26"/>
        <v>11</v>
      </c>
    </row>
    <row r="826" spans="1:13" hidden="1" x14ac:dyDescent="0.25">
      <c r="A826" s="78">
        <v>45993</v>
      </c>
      <c r="B826" s="79" t="s">
        <v>81</v>
      </c>
      <c r="C826" s="80" t="s">
        <v>2031</v>
      </c>
      <c r="D826" s="81" t="s">
        <v>1027</v>
      </c>
      <c r="E826" s="26" t="s">
        <v>1028</v>
      </c>
      <c r="F826" s="82">
        <v>50</v>
      </c>
      <c r="G826" s="83" t="s">
        <v>622</v>
      </c>
      <c r="H826" s="84">
        <v>50</v>
      </c>
      <c r="I826" s="80" t="s">
        <v>98</v>
      </c>
      <c r="J826" s="80"/>
      <c r="K826">
        <f t="shared" si="25"/>
        <v>1</v>
      </c>
      <c r="L826" t="str">
        <f>IF(I826="UGR","UGR",_xlfn.XLOOKUP(D826,Lookup!O:O,Lookup!N:N,0))</f>
        <v>UGR</v>
      </c>
      <c r="M826">
        <f t="shared" si="26"/>
        <v>12</v>
      </c>
    </row>
    <row r="827" spans="1:13" x14ac:dyDescent="0.25">
      <c r="A827" s="78">
        <v>45971</v>
      </c>
      <c r="B827" s="79" t="s">
        <v>81</v>
      </c>
      <c r="C827" s="80" t="s">
        <v>1211</v>
      </c>
      <c r="D827" s="81" t="s">
        <v>1212</v>
      </c>
      <c r="E827" s="26" t="s">
        <v>1213</v>
      </c>
      <c r="F827" s="82">
        <v>80</v>
      </c>
      <c r="G827" s="83" t="s">
        <v>622</v>
      </c>
      <c r="H827" s="84">
        <v>80</v>
      </c>
      <c r="I827" s="80" t="s">
        <v>98</v>
      </c>
      <c r="J827" s="80"/>
      <c r="K827">
        <f t="shared" si="25"/>
        <v>1</v>
      </c>
      <c r="L827" t="str">
        <f>IF(I827="UGR","UGR",_xlfn.XLOOKUP(D827,Lookup!O:O,Lookup!N:N,0))</f>
        <v>UGR</v>
      </c>
      <c r="M827">
        <f t="shared" si="26"/>
        <v>11</v>
      </c>
    </row>
    <row r="828" spans="1:13" x14ac:dyDescent="0.25">
      <c r="A828" s="78">
        <v>45974</v>
      </c>
      <c r="B828" s="79" t="s">
        <v>81</v>
      </c>
      <c r="C828" s="80" t="s">
        <v>2032</v>
      </c>
      <c r="D828" s="81" t="s">
        <v>802</v>
      </c>
      <c r="E828" s="26" t="s">
        <v>803</v>
      </c>
      <c r="F828" s="82">
        <v>4</v>
      </c>
      <c r="G828" s="83" t="s">
        <v>622</v>
      </c>
      <c r="H828" s="84">
        <v>4</v>
      </c>
      <c r="I828" s="80" t="s">
        <v>98</v>
      </c>
      <c r="J828" s="80"/>
      <c r="K828">
        <f t="shared" si="25"/>
        <v>1</v>
      </c>
      <c r="L828" t="str">
        <f>IF(I828="UGR","UGR",_xlfn.XLOOKUP(D828,Lookup!O:O,Lookup!N:N,0))</f>
        <v>UGR</v>
      </c>
      <c r="M828">
        <f t="shared" si="26"/>
        <v>11</v>
      </c>
    </row>
    <row r="829" spans="1:13" hidden="1" x14ac:dyDescent="0.25">
      <c r="A829" s="78">
        <v>45993</v>
      </c>
      <c r="B829" s="79" t="s">
        <v>81</v>
      </c>
      <c r="C829" s="80" t="s">
        <v>2033</v>
      </c>
      <c r="D829" s="81" t="s">
        <v>802</v>
      </c>
      <c r="E829" s="26" t="s">
        <v>803</v>
      </c>
      <c r="F829" s="82">
        <v>50</v>
      </c>
      <c r="G829" s="83" t="s">
        <v>622</v>
      </c>
      <c r="H829" s="84">
        <v>50</v>
      </c>
      <c r="I829" s="80" t="s">
        <v>98</v>
      </c>
      <c r="J829" s="80"/>
      <c r="K829">
        <f t="shared" si="25"/>
        <v>1</v>
      </c>
      <c r="L829" t="str">
        <f>IF(I829="UGR","UGR",_xlfn.XLOOKUP(D829,Lookup!O:O,Lookup!N:N,0))</f>
        <v>UGR</v>
      </c>
      <c r="M829">
        <f t="shared" si="26"/>
        <v>12</v>
      </c>
    </row>
    <row r="830" spans="1:13" x14ac:dyDescent="0.25">
      <c r="A830" s="78">
        <v>45971</v>
      </c>
      <c r="B830" s="79" t="s">
        <v>81</v>
      </c>
      <c r="C830" s="80" t="s">
        <v>1214</v>
      </c>
      <c r="D830" s="81" t="s">
        <v>1215</v>
      </c>
      <c r="E830" s="26" t="s">
        <v>1216</v>
      </c>
      <c r="F830" s="82">
        <v>80</v>
      </c>
      <c r="G830" s="83" t="s">
        <v>622</v>
      </c>
      <c r="H830" s="84">
        <v>80</v>
      </c>
      <c r="I830" s="80" t="s">
        <v>98</v>
      </c>
      <c r="J830" s="80"/>
      <c r="K830">
        <f t="shared" si="25"/>
        <v>1</v>
      </c>
      <c r="L830" t="str">
        <f>IF(I830="UGR","UGR",_xlfn.XLOOKUP(D830,Lookup!O:O,Lookup!N:N,0))</f>
        <v>UGR</v>
      </c>
      <c r="M830">
        <f t="shared" si="26"/>
        <v>11</v>
      </c>
    </row>
    <row r="831" spans="1:13" x14ac:dyDescent="0.25">
      <c r="A831" s="78">
        <v>45974</v>
      </c>
      <c r="B831" s="79" t="s">
        <v>81</v>
      </c>
      <c r="C831" s="80" t="s">
        <v>2034</v>
      </c>
      <c r="D831" s="81" t="s">
        <v>779</v>
      </c>
      <c r="E831" s="26" t="s">
        <v>780</v>
      </c>
      <c r="F831" s="82">
        <v>2</v>
      </c>
      <c r="G831" s="83" t="s">
        <v>622</v>
      </c>
      <c r="H831" s="84">
        <v>2</v>
      </c>
      <c r="I831" s="80" t="s">
        <v>98</v>
      </c>
      <c r="J831" s="80"/>
      <c r="K831">
        <f t="shared" si="25"/>
        <v>1</v>
      </c>
      <c r="L831" t="str">
        <f>IF(I831="UGR","UGR",_xlfn.XLOOKUP(D831,Lookup!O:O,Lookup!N:N,0))</f>
        <v>UGR</v>
      </c>
      <c r="M831">
        <f t="shared" si="26"/>
        <v>11</v>
      </c>
    </row>
    <row r="832" spans="1:13" hidden="1" x14ac:dyDescent="0.25">
      <c r="A832" s="78">
        <v>45993</v>
      </c>
      <c r="B832" s="79" t="s">
        <v>81</v>
      </c>
      <c r="C832" s="80" t="s">
        <v>2035</v>
      </c>
      <c r="D832" s="81" t="s">
        <v>779</v>
      </c>
      <c r="E832" s="26" t="s">
        <v>780</v>
      </c>
      <c r="F832" s="82">
        <v>100</v>
      </c>
      <c r="G832" s="83" t="s">
        <v>622</v>
      </c>
      <c r="H832" s="84">
        <v>100</v>
      </c>
      <c r="I832" s="80" t="s">
        <v>98</v>
      </c>
      <c r="J832" s="80"/>
      <c r="K832">
        <f t="shared" si="25"/>
        <v>1</v>
      </c>
      <c r="L832" t="str">
        <f>IF(I832="UGR","UGR",_xlfn.XLOOKUP(D832,Lookup!O:O,Lookup!N:N,0))</f>
        <v>UGR</v>
      </c>
      <c r="M832">
        <f t="shared" si="26"/>
        <v>12</v>
      </c>
    </row>
    <row r="833" spans="1:13" x14ac:dyDescent="0.25">
      <c r="A833" s="78">
        <v>45971</v>
      </c>
      <c r="B833" s="79" t="s">
        <v>81</v>
      </c>
      <c r="C833" s="80" t="s">
        <v>1217</v>
      </c>
      <c r="D833" s="81" t="s">
        <v>1218</v>
      </c>
      <c r="E833" s="26" t="s">
        <v>1219</v>
      </c>
      <c r="F833" s="82">
        <v>120</v>
      </c>
      <c r="G833" s="83" t="s">
        <v>622</v>
      </c>
      <c r="H833" s="84">
        <v>120</v>
      </c>
      <c r="I833" s="80" t="s">
        <v>98</v>
      </c>
      <c r="J833" s="80"/>
      <c r="K833">
        <f t="shared" si="25"/>
        <v>1</v>
      </c>
      <c r="L833" t="str">
        <f>IF(I833="UGR","UGR",_xlfn.XLOOKUP(D833,Lookup!O:O,Lookup!N:N,0))</f>
        <v>UGR</v>
      </c>
      <c r="M833">
        <f t="shared" si="26"/>
        <v>11</v>
      </c>
    </row>
    <row r="834" spans="1:13" x14ac:dyDescent="0.25">
      <c r="A834" s="78">
        <v>45974</v>
      </c>
      <c r="B834" s="79" t="s">
        <v>81</v>
      </c>
      <c r="C834" s="80" t="s">
        <v>2036</v>
      </c>
      <c r="D834" s="81" t="s">
        <v>814</v>
      </c>
      <c r="E834" s="26" t="s">
        <v>815</v>
      </c>
      <c r="F834" s="82">
        <v>2</v>
      </c>
      <c r="G834" s="83" t="s">
        <v>622</v>
      </c>
      <c r="H834" s="84">
        <v>2</v>
      </c>
      <c r="I834" s="80" t="s">
        <v>98</v>
      </c>
      <c r="J834" s="80"/>
      <c r="K834">
        <f t="shared" si="25"/>
        <v>1</v>
      </c>
      <c r="L834" t="str">
        <f>IF(I834="UGR","UGR",_xlfn.XLOOKUP(D834,Lookup!O:O,Lookup!N:N,0))</f>
        <v>UGR</v>
      </c>
      <c r="M834">
        <f t="shared" si="26"/>
        <v>11</v>
      </c>
    </row>
    <row r="835" spans="1:13" hidden="1" x14ac:dyDescent="0.25">
      <c r="A835" s="78">
        <v>45993</v>
      </c>
      <c r="B835" s="79" t="s">
        <v>81</v>
      </c>
      <c r="C835" s="80" t="s">
        <v>2037</v>
      </c>
      <c r="D835" s="81" t="s">
        <v>814</v>
      </c>
      <c r="E835" s="26" t="s">
        <v>815</v>
      </c>
      <c r="F835" s="82">
        <v>50</v>
      </c>
      <c r="G835" s="83" t="s">
        <v>622</v>
      </c>
      <c r="H835" s="84">
        <v>50</v>
      </c>
      <c r="I835" s="80" t="s">
        <v>98</v>
      </c>
      <c r="J835" s="80"/>
      <c r="K835">
        <f t="shared" ref="K835:K839" si="27">IF(AND(B835=B834,C835=C834),0,1)</f>
        <v>1</v>
      </c>
      <c r="L835" t="str">
        <f>IF(I835="UGR","UGR",_xlfn.XLOOKUP(D835,Lookup!O:O,Lookup!N:N,0))</f>
        <v>UGR</v>
      </c>
      <c r="M835">
        <f t="shared" ref="M835:M839" si="28">MONTH(A835)</f>
        <v>12</v>
      </c>
    </row>
    <row r="836" spans="1:13" x14ac:dyDescent="0.25">
      <c r="A836" s="78">
        <v>45971</v>
      </c>
      <c r="B836" s="79" t="s">
        <v>81</v>
      </c>
      <c r="C836" s="80" t="s">
        <v>1220</v>
      </c>
      <c r="D836" s="81" t="s">
        <v>1221</v>
      </c>
      <c r="E836" s="26" t="s">
        <v>1222</v>
      </c>
      <c r="F836" s="82">
        <v>80</v>
      </c>
      <c r="G836" s="83" t="s">
        <v>622</v>
      </c>
      <c r="H836" s="84">
        <v>80</v>
      </c>
      <c r="I836" s="80" t="s">
        <v>98</v>
      </c>
      <c r="J836" s="80"/>
      <c r="K836">
        <f t="shared" si="27"/>
        <v>1</v>
      </c>
      <c r="L836" t="str">
        <f>IF(I836="UGR","UGR",_xlfn.XLOOKUP(D836,Lookup!O:O,Lookup!N:N,0))</f>
        <v>UGR</v>
      </c>
      <c r="M836">
        <f t="shared" si="28"/>
        <v>11</v>
      </c>
    </row>
    <row r="837" spans="1:13" x14ac:dyDescent="0.25">
      <c r="A837" s="78">
        <v>45974</v>
      </c>
      <c r="B837" s="79" t="s">
        <v>81</v>
      </c>
      <c r="C837" s="80" t="s">
        <v>2038</v>
      </c>
      <c r="D837" s="81" t="s">
        <v>804</v>
      </c>
      <c r="E837" s="26" t="s">
        <v>805</v>
      </c>
      <c r="F837" s="82">
        <v>2</v>
      </c>
      <c r="G837" s="83" t="s">
        <v>622</v>
      </c>
      <c r="H837" s="84">
        <v>2</v>
      </c>
      <c r="I837" s="80" t="s">
        <v>98</v>
      </c>
      <c r="J837" s="80"/>
      <c r="K837">
        <f t="shared" si="27"/>
        <v>1</v>
      </c>
      <c r="L837" t="str">
        <f>IF(I837="UGR","UGR",_xlfn.XLOOKUP(D837,Lookup!O:O,Lookup!N:N,0))</f>
        <v>UGR</v>
      </c>
      <c r="M837">
        <f t="shared" si="28"/>
        <v>11</v>
      </c>
    </row>
    <row r="838" spans="1:13" hidden="1" x14ac:dyDescent="0.25">
      <c r="A838" s="78">
        <v>45993</v>
      </c>
      <c r="B838" s="79" t="s">
        <v>81</v>
      </c>
      <c r="C838" s="80" t="s">
        <v>2039</v>
      </c>
      <c r="D838" s="81" t="s">
        <v>804</v>
      </c>
      <c r="E838" s="26" t="s">
        <v>805</v>
      </c>
      <c r="F838" s="82">
        <v>50</v>
      </c>
      <c r="G838" s="83" t="s">
        <v>622</v>
      </c>
      <c r="H838" s="84">
        <v>50</v>
      </c>
      <c r="I838" s="80" t="s">
        <v>98</v>
      </c>
      <c r="J838" s="80"/>
      <c r="K838">
        <f t="shared" si="27"/>
        <v>1</v>
      </c>
      <c r="L838" t="str">
        <f>IF(I838="UGR","UGR",_xlfn.XLOOKUP(D838,Lookup!O:O,Lookup!N:N,0))</f>
        <v>UGR</v>
      </c>
      <c r="M838">
        <f t="shared" si="28"/>
        <v>12</v>
      </c>
    </row>
    <row r="839" spans="1:13" x14ac:dyDescent="0.25">
      <c r="A839" s="78">
        <v>45971</v>
      </c>
      <c r="B839" s="79" t="s">
        <v>81</v>
      </c>
      <c r="C839" s="80" t="s">
        <v>1223</v>
      </c>
      <c r="D839" s="81" t="s">
        <v>1224</v>
      </c>
      <c r="E839" s="26" t="s">
        <v>1225</v>
      </c>
      <c r="F839" s="82">
        <v>80</v>
      </c>
      <c r="G839" s="83" t="s">
        <v>622</v>
      </c>
      <c r="H839" s="84">
        <v>80</v>
      </c>
      <c r="I839" s="80" t="s">
        <v>98</v>
      </c>
      <c r="J839" s="80"/>
      <c r="K839">
        <f t="shared" si="27"/>
        <v>1</v>
      </c>
      <c r="L839" t="str">
        <f>IF(I839="UGR","UGR",_xlfn.XLOOKUP(D839,Lookup!O:O,Lookup!N:N,0))</f>
        <v>UGR</v>
      </c>
      <c r="M839">
        <f t="shared" si="28"/>
        <v>11</v>
      </c>
    </row>
    <row r="840" spans="1:13" hidden="1" x14ac:dyDescent="0.25">
      <c r="A840" s="78"/>
      <c r="B840" s="79"/>
      <c r="C840" s="80"/>
      <c r="D840" s="81"/>
      <c r="E840" s="26"/>
      <c r="F840" s="82"/>
      <c r="G840" s="83"/>
      <c r="H840" s="84"/>
      <c r="I840" s="80"/>
      <c r="J840" s="80"/>
    </row>
    <row r="841" spans="1:13" hidden="1" x14ac:dyDescent="0.25">
      <c r="A841" s="78"/>
      <c r="B841" s="79"/>
      <c r="C841" s="80"/>
      <c r="D841" s="81"/>
      <c r="E841" s="26"/>
      <c r="F841" s="82"/>
      <c r="G841" s="83"/>
      <c r="H841" s="84"/>
      <c r="I841" s="80"/>
      <c r="J841" s="80"/>
    </row>
    <row r="842" spans="1:13" hidden="1" x14ac:dyDescent="0.25">
      <c r="A842" s="78"/>
      <c r="B842" s="79"/>
      <c r="C842" s="80"/>
      <c r="D842" s="81"/>
      <c r="E842" s="26"/>
      <c r="F842" s="82"/>
      <c r="G842" s="83"/>
      <c r="H842" s="84"/>
      <c r="I842" s="80"/>
      <c r="J842" s="80"/>
    </row>
    <row r="843" spans="1:13" hidden="1" x14ac:dyDescent="0.25">
      <c r="A843" s="78"/>
      <c r="B843" s="79"/>
      <c r="C843" s="80"/>
      <c r="D843" s="81"/>
      <c r="E843" s="26"/>
      <c r="F843" s="82"/>
      <c r="G843" s="83"/>
      <c r="H843" s="84"/>
      <c r="I843" s="80"/>
      <c r="J843" s="80"/>
    </row>
    <row r="844" spans="1:13" hidden="1" x14ac:dyDescent="0.25">
      <c r="A844" s="78"/>
      <c r="B844" s="79"/>
      <c r="C844" s="80"/>
      <c r="D844" s="81"/>
      <c r="E844" s="26"/>
      <c r="F844" s="82"/>
      <c r="G844" s="83"/>
      <c r="H844" s="84"/>
      <c r="I844" s="80"/>
      <c r="J844" s="80"/>
    </row>
    <row r="845" spans="1:13" hidden="1" x14ac:dyDescent="0.25">
      <c r="A845" s="78"/>
      <c r="B845" s="79"/>
      <c r="C845" s="80"/>
      <c r="D845" s="81"/>
      <c r="E845" s="26"/>
      <c r="F845" s="82"/>
      <c r="G845" s="83"/>
      <c r="H845" s="84"/>
      <c r="I845" s="80"/>
      <c r="J845" s="80"/>
    </row>
    <row r="846" spans="1:13" hidden="1" x14ac:dyDescent="0.25">
      <c r="A846" s="78"/>
      <c r="B846" s="79"/>
      <c r="C846" s="80"/>
      <c r="D846" s="81"/>
      <c r="E846" s="26"/>
      <c r="F846" s="82"/>
      <c r="G846" s="83"/>
      <c r="H846" s="84"/>
      <c r="I846" s="80"/>
      <c r="J846" s="80"/>
    </row>
    <row r="847" spans="1:13" hidden="1" x14ac:dyDescent="0.25">
      <c r="A847" s="78"/>
      <c r="B847" s="79"/>
      <c r="C847" s="80"/>
      <c r="D847" s="81"/>
      <c r="E847" s="26"/>
      <c r="F847" s="82"/>
      <c r="G847" s="83"/>
      <c r="H847" s="84"/>
      <c r="I847" s="80"/>
      <c r="J847" s="80"/>
    </row>
    <row r="848" spans="1:13" hidden="1" x14ac:dyDescent="0.25">
      <c r="A848" s="78"/>
      <c r="B848" s="79"/>
      <c r="C848" s="80"/>
      <c r="D848" s="81"/>
      <c r="E848" s="26"/>
      <c r="F848" s="82"/>
      <c r="G848" s="83"/>
      <c r="H848" s="84"/>
      <c r="I848" s="80"/>
      <c r="J848" s="80"/>
    </row>
    <row r="849" spans="1:10" hidden="1" x14ac:dyDescent="0.25">
      <c r="A849" s="78"/>
      <c r="B849" s="79"/>
      <c r="C849" s="80"/>
      <c r="D849" s="81"/>
      <c r="E849" s="26"/>
      <c r="F849" s="82"/>
      <c r="G849" s="83"/>
      <c r="H849" s="84"/>
      <c r="I849" s="80"/>
      <c r="J849" s="80"/>
    </row>
    <row r="850" spans="1:10" hidden="1" x14ac:dyDescent="0.25">
      <c r="A850" s="78"/>
      <c r="B850" s="79"/>
      <c r="C850" s="80"/>
      <c r="D850" s="81"/>
      <c r="E850" s="26"/>
      <c r="F850" s="82"/>
      <c r="G850" s="83"/>
      <c r="H850" s="84"/>
      <c r="I850" s="80"/>
      <c r="J850" s="80"/>
    </row>
    <row r="851" spans="1:10" hidden="1" x14ac:dyDescent="0.25">
      <c r="A851" s="78"/>
      <c r="B851" s="79"/>
      <c r="C851" s="80"/>
      <c r="D851" s="81"/>
      <c r="E851" s="26"/>
      <c r="F851" s="82"/>
      <c r="G851" s="83"/>
      <c r="H851" s="84"/>
      <c r="I851" s="80"/>
      <c r="J851" s="80"/>
    </row>
    <row r="852" spans="1:10" hidden="1" x14ac:dyDescent="0.25">
      <c r="A852" s="78"/>
      <c r="B852" s="79"/>
      <c r="C852" s="80"/>
      <c r="D852" s="81"/>
      <c r="E852" s="26"/>
      <c r="F852" s="82"/>
      <c r="G852" s="83"/>
      <c r="H852" s="84"/>
      <c r="I852" s="80"/>
      <c r="J852" s="80"/>
    </row>
    <row r="853" spans="1:10" hidden="1" x14ac:dyDescent="0.25">
      <c r="A853" s="78"/>
      <c r="B853" s="79"/>
      <c r="C853" s="80"/>
      <c r="D853" s="81"/>
      <c r="E853" s="26"/>
      <c r="F853" s="82"/>
      <c r="G853" s="83"/>
      <c r="H853" s="84"/>
      <c r="I853" s="80"/>
      <c r="J853" s="80"/>
    </row>
    <row r="854" spans="1:10" hidden="1" x14ac:dyDescent="0.25">
      <c r="A854" s="78"/>
      <c r="B854" s="79"/>
      <c r="C854" s="80"/>
      <c r="D854" s="81"/>
      <c r="E854" s="26"/>
      <c r="F854" s="82"/>
      <c r="G854" s="83"/>
      <c r="H854" s="84"/>
      <c r="I854" s="80"/>
      <c r="J854" s="80"/>
    </row>
    <row r="855" spans="1:10" hidden="1" x14ac:dyDescent="0.25">
      <c r="A855" s="78"/>
      <c r="B855" s="79"/>
      <c r="C855" s="80"/>
      <c r="D855" s="81"/>
      <c r="E855" s="26"/>
      <c r="F855" s="82"/>
      <c r="G855" s="83"/>
      <c r="H855" s="84"/>
      <c r="I855" s="80"/>
      <c r="J855" s="80"/>
    </row>
    <row r="856" spans="1:10" hidden="1" x14ac:dyDescent="0.25">
      <c r="A856" s="78"/>
      <c r="B856" s="79"/>
      <c r="C856" s="80"/>
      <c r="D856" s="81"/>
      <c r="E856" s="26"/>
      <c r="F856" s="82"/>
      <c r="G856" s="83"/>
      <c r="H856" s="84"/>
      <c r="I856" s="80"/>
      <c r="J856" s="80"/>
    </row>
    <row r="857" spans="1:10" hidden="1" x14ac:dyDescent="0.25">
      <c r="A857" s="78"/>
      <c r="B857" s="79"/>
      <c r="C857" s="80"/>
      <c r="D857" s="81"/>
      <c r="E857" s="26"/>
      <c r="F857" s="82"/>
      <c r="G857" s="83"/>
      <c r="H857" s="84"/>
      <c r="I857" s="80"/>
      <c r="J857" s="80"/>
    </row>
    <row r="858" spans="1:10" hidden="1" x14ac:dyDescent="0.25">
      <c r="A858" s="78"/>
      <c r="B858" s="79"/>
      <c r="C858" s="80"/>
      <c r="D858" s="81"/>
      <c r="E858" s="26"/>
      <c r="F858" s="82"/>
      <c r="G858" s="83"/>
      <c r="H858" s="84"/>
      <c r="I858" s="80"/>
      <c r="J858" s="80"/>
    </row>
    <row r="859" spans="1:10" hidden="1" x14ac:dyDescent="0.25">
      <c r="A859" s="78"/>
      <c r="B859" s="79"/>
      <c r="C859" s="80"/>
      <c r="D859" s="81"/>
      <c r="E859" s="26"/>
      <c r="F859" s="82"/>
      <c r="G859" s="83"/>
      <c r="H859" s="84"/>
      <c r="I859" s="80"/>
      <c r="J859" s="80"/>
    </row>
    <row r="860" spans="1:10" hidden="1" x14ac:dyDescent="0.25">
      <c r="A860" s="78"/>
      <c r="B860" s="79"/>
      <c r="C860" s="80"/>
      <c r="D860" s="81"/>
      <c r="E860" s="26"/>
      <c r="F860" s="82"/>
      <c r="G860" s="83"/>
      <c r="H860" s="84"/>
      <c r="I860" s="80"/>
      <c r="J860" s="80"/>
    </row>
    <row r="861" spans="1:10" hidden="1" x14ac:dyDescent="0.25">
      <c r="A861" s="78"/>
      <c r="B861" s="79"/>
      <c r="C861" s="80"/>
      <c r="D861" s="81"/>
      <c r="E861" s="26"/>
      <c r="F861" s="82"/>
      <c r="G861" s="83"/>
      <c r="H861" s="84"/>
      <c r="I861" s="80"/>
      <c r="J861" s="80"/>
    </row>
    <row r="862" spans="1:10" hidden="1" x14ac:dyDescent="0.25">
      <c r="A862" s="78"/>
      <c r="B862" s="79"/>
      <c r="C862" s="80"/>
      <c r="D862" s="81"/>
      <c r="E862" s="26"/>
      <c r="F862" s="82"/>
      <c r="G862" s="83"/>
      <c r="H862" s="84"/>
      <c r="I862" s="80"/>
      <c r="J862" s="80"/>
    </row>
    <row r="863" spans="1:10" hidden="1" x14ac:dyDescent="0.25">
      <c r="A863" s="78"/>
      <c r="B863" s="79"/>
      <c r="C863" s="80"/>
      <c r="D863" s="81"/>
      <c r="E863" s="26"/>
      <c r="F863" s="82"/>
      <c r="G863" s="83"/>
      <c r="H863" s="84"/>
      <c r="I863" s="80"/>
      <c r="J863" s="80"/>
    </row>
    <row r="864" spans="1:10" hidden="1" x14ac:dyDescent="0.25">
      <c r="A864" s="78"/>
      <c r="B864" s="79"/>
      <c r="C864" s="80"/>
      <c r="D864" s="81"/>
      <c r="E864" s="26"/>
      <c r="F864" s="82"/>
      <c r="G864" s="83"/>
      <c r="H864" s="84"/>
      <c r="I864" s="80"/>
      <c r="J864" s="80"/>
    </row>
    <row r="865" spans="1:10" hidden="1" x14ac:dyDescent="0.25">
      <c r="A865" s="78"/>
      <c r="B865" s="79"/>
      <c r="C865" s="80"/>
      <c r="D865" s="81"/>
      <c r="E865" s="26"/>
      <c r="F865" s="82"/>
      <c r="G865" s="83"/>
      <c r="H865" s="84"/>
      <c r="I865" s="80"/>
      <c r="J865" s="80"/>
    </row>
    <row r="866" spans="1:10" hidden="1" x14ac:dyDescent="0.25">
      <c r="A866" s="78"/>
      <c r="B866" s="79"/>
      <c r="C866" s="80"/>
      <c r="D866" s="81"/>
      <c r="E866" s="26"/>
      <c r="F866" s="82"/>
      <c r="G866" s="83"/>
      <c r="H866" s="84"/>
      <c r="I866" s="80"/>
      <c r="J866" s="80"/>
    </row>
    <row r="867" spans="1:10" hidden="1" x14ac:dyDescent="0.25">
      <c r="A867" s="78"/>
      <c r="B867" s="79"/>
      <c r="C867" s="80"/>
      <c r="D867" s="81"/>
      <c r="E867" s="26"/>
      <c r="F867" s="82"/>
      <c r="G867" s="83"/>
      <c r="H867" s="84"/>
      <c r="I867" s="80"/>
      <c r="J867" s="80"/>
    </row>
    <row r="868" spans="1:10" hidden="1" x14ac:dyDescent="0.25">
      <c r="A868" s="78"/>
      <c r="B868" s="79"/>
      <c r="C868" s="80"/>
      <c r="D868" s="81"/>
      <c r="E868" s="26"/>
      <c r="F868" s="82"/>
      <c r="G868" s="83"/>
      <c r="H868" s="84"/>
      <c r="I868" s="80"/>
      <c r="J868" s="80"/>
    </row>
    <row r="869" spans="1:10" hidden="1" x14ac:dyDescent="0.25">
      <c r="A869" s="78"/>
      <c r="B869" s="79"/>
      <c r="C869" s="80"/>
      <c r="D869" s="81"/>
      <c r="E869" s="26"/>
      <c r="F869" s="82"/>
      <c r="G869" s="83"/>
      <c r="H869" s="84"/>
      <c r="I869" s="80"/>
      <c r="J869" s="80"/>
    </row>
    <row r="870" spans="1:10" hidden="1" x14ac:dyDescent="0.25">
      <c r="A870" s="78"/>
      <c r="B870" s="79"/>
      <c r="C870" s="80"/>
      <c r="D870" s="81"/>
      <c r="E870" s="26"/>
      <c r="F870" s="82"/>
      <c r="G870" s="83"/>
      <c r="H870" s="84"/>
      <c r="I870" s="80"/>
      <c r="J870" s="80"/>
    </row>
    <row r="871" spans="1:10" hidden="1" x14ac:dyDescent="0.25">
      <c r="A871" s="78"/>
      <c r="B871" s="79"/>
      <c r="C871" s="80"/>
      <c r="D871" s="81"/>
      <c r="E871" s="26"/>
      <c r="F871" s="82"/>
      <c r="G871" s="83"/>
      <c r="H871" s="84"/>
      <c r="I871" s="80"/>
      <c r="J871" s="80"/>
    </row>
    <row r="872" spans="1:10" hidden="1" x14ac:dyDescent="0.25">
      <c r="A872" s="78"/>
      <c r="B872" s="79"/>
      <c r="C872" s="80"/>
      <c r="D872" s="81"/>
      <c r="E872" s="26"/>
      <c r="F872" s="82"/>
      <c r="G872" s="83"/>
      <c r="H872" s="84"/>
      <c r="I872" s="80"/>
      <c r="J872" s="80"/>
    </row>
    <row r="873" spans="1:10" hidden="1" x14ac:dyDescent="0.25">
      <c r="A873" s="78"/>
      <c r="B873" s="79"/>
      <c r="C873" s="80"/>
      <c r="D873" s="81"/>
      <c r="E873" s="26"/>
      <c r="F873" s="82"/>
      <c r="G873" s="83"/>
      <c r="H873" s="84"/>
      <c r="I873" s="80"/>
      <c r="J873" s="80"/>
    </row>
    <row r="874" spans="1:10" hidden="1" x14ac:dyDescent="0.25">
      <c r="A874" s="78"/>
      <c r="B874" s="79"/>
      <c r="C874" s="80"/>
      <c r="D874" s="81"/>
      <c r="E874" s="26"/>
      <c r="F874" s="82"/>
      <c r="G874" s="83"/>
      <c r="H874" s="84"/>
      <c r="I874" s="80"/>
      <c r="J874" s="80"/>
    </row>
    <row r="875" spans="1:10" hidden="1" x14ac:dyDescent="0.25">
      <c r="A875" s="78"/>
      <c r="B875" s="79"/>
      <c r="C875" s="80"/>
      <c r="D875" s="81"/>
      <c r="E875" s="26"/>
      <c r="F875" s="82"/>
      <c r="G875" s="83"/>
      <c r="H875" s="84"/>
      <c r="I875" s="80"/>
      <c r="J875" s="80"/>
    </row>
    <row r="876" spans="1:10" hidden="1" x14ac:dyDescent="0.25">
      <c r="A876" s="78"/>
      <c r="B876" s="79"/>
      <c r="C876" s="80"/>
      <c r="D876" s="81"/>
      <c r="E876" s="26"/>
      <c r="F876" s="82"/>
      <c r="G876" s="83"/>
      <c r="H876" s="84"/>
      <c r="I876" s="80"/>
      <c r="J876" s="80"/>
    </row>
    <row r="877" spans="1:10" hidden="1" x14ac:dyDescent="0.25">
      <c r="A877" s="78"/>
      <c r="B877" s="79"/>
      <c r="C877" s="80"/>
      <c r="D877" s="81"/>
      <c r="E877" s="26"/>
      <c r="F877" s="82"/>
      <c r="G877" s="83"/>
      <c r="H877" s="84"/>
      <c r="I877" s="80"/>
      <c r="J877" s="80"/>
    </row>
    <row r="878" spans="1:10" hidden="1" x14ac:dyDescent="0.25">
      <c r="A878" s="78"/>
      <c r="B878" s="79"/>
      <c r="C878" s="80"/>
      <c r="D878" s="81"/>
      <c r="E878" s="26"/>
      <c r="F878" s="82"/>
      <c r="G878" s="83"/>
      <c r="H878" s="84"/>
      <c r="I878" s="80"/>
      <c r="J878" s="80"/>
    </row>
    <row r="879" spans="1:10" hidden="1" x14ac:dyDescent="0.25">
      <c r="A879" s="78"/>
      <c r="B879" s="79"/>
      <c r="C879" s="80"/>
      <c r="D879" s="81"/>
      <c r="E879" s="26"/>
      <c r="F879" s="82"/>
      <c r="G879" s="83"/>
      <c r="H879" s="84"/>
      <c r="I879" s="80"/>
      <c r="J879" s="80"/>
    </row>
    <row r="880" spans="1:10" hidden="1" x14ac:dyDescent="0.25">
      <c r="A880" s="78"/>
      <c r="B880" s="79"/>
      <c r="C880" s="80"/>
      <c r="D880" s="81"/>
      <c r="E880" s="26"/>
      <c r="F880" s="82"/>
      <c r="G880" s="83"/>
      <c r="H880" s="84"/>
      <c r="I880" s="80"/>
      <c r="J880" s="80"/>
    </row>
    <row r="881" spans="1:10" hidden="1" x14ac:dyDescent="0.25">
      <c r="A881" s="78"/>
      <c r="B881" s="79"/>
      <c r="C881" s="80"/>
      <c r="D881" s="81"/>
      <c r="E881" s="26"/>
      <c r="F881" s="82"/>
      <c r="G881" s="83"/>
      <c r="H881" s="84"/>
      <c r="I881" s="80"/>
      <c r="J881" s="80"/>
    </row>
    <row r="882" spans="1:10" hidden="1" x14ac:dyDescent="0.25">
      <c r="A882" s="78"/>
      <c r="B882" s="79"/>
      <c r="C882" s="80"/>
      <c r="D882" s="81"/>
      <c r="E882" s="26"/>
      <c r="F882" s="82"/>
      <c r="G882" s="83"/>
      <c r="H882" s="84"/>
      <c r="I882" s="80"/>
      <c r="J882" s="80"/>
    </row>
    <row r="883" spans="1:10" hidden="1" x14ac:dyDescent="0.25">
      <c r="A883" s="78"/>
      <c r="B883" s="79"/>
      <c r="C883" s="80"/>
      <c r="D883" s="81"/>
      <c r="E883" s="26"/>
      <c r="F883" s="82"/>
      <c r="G883" s="83"/>
      <c r="H883" s="84"/>
      <c r="I883" s="80"/>
      <c r="J883" s="80"/>
    </row>
    <row r="884" spans="1:10" hidden="1" x14ac:dyDescent="0.25">
      <c r="A884" s="78"/>
      <c r="B884" s="79"/>
      <c r="C884" s="80"/>
      <c r="D884" s="81"/>
      <c r="E884" s="26"/>
      <c r="F884" s="82"/>
      <c r="G884" s="83"/>
      <c r="H884" s="84"/>
      <c r="I884" s="80"/>
      <c r="J884" s="80"/>
    </row>
    <row r="885" spans="1:10" hidden="1" x14ac:dyDescent="0.25">
      <c r="A885" s="78"/>
      <c r="B885" s="79"/>
      <c r="C885" s="80"/>
      <c r="D885" s="81"/>
      <c r="E885" s="26"/>
      <c r="F885" s="82"/>
      <c r="G885" s="83"/>
      <c r="H885" s="84"/>
      <c r="I885" s="80"/>
      <c r="J885" s="80"/>
    </row>
    <row r="886" spans="1:10" hidden="1" x14ac:dyDescent="0.25">
      <c r="A886" s="78"/>
      <c r="B886" s="79"/>
      <c r="C886" s="80"/>
      <c r="D886" s="81"/>
      <c r="E886" s="26"/>
      <c r="F886" s="82"/>
      <c r="G886" s="83"/>
      <c r="H886" s="84"/>
      <c r="I886" s="80"/>
      <c r="J886" s="80"/>
    </row>
    <row r="887" spans="1:10" hidden="1" x14ac:dyDescent="0.25">
      <c r="A887" s="78"/>
      <c r="B887" s="79"/>
      <c r="C887" s="80"/>
      <c r="D887" s="81"/>
      <c r="E887" s="26"/>
      <c r="F887" s="82"/>
      <c r="G887" s="83"/>
      <c r="H887" s="84"/>
      <c r="I887" s="80"/>
      <c r="J887" s="80"/>
    </row>
    <row r="888" spans="1:10" hidden="1" x14ac:dyDescent="0.25">
      <c r="A888" s="78"/>
      <c r="B888" s="79"/>
      <c r="C888" s="80"/>
      <c r="D888" s="81"/>
      <c r="E888" s="26"/>
      <c r="F888" s="82"/>
      <c r="G888" s="83"/>
      <c r="H888" s="84"/>
      <c r="I888" s="80"/>
      <c r="J888" s="80"/>
    </row>
    <row r="889" spans="1:10" hidden="1" x14ac:dyDescent="0.25">
      <c r="A889" s="78"/>
      <c r="B889" s="79"/>
      <c r="C889" s="80"/>
      <c r="D889" s="81"/>
      <c r="E889" s="26"/>
      <c r="F889" s="82"/>
      <c r="G889" s="83"/>
      <c r="H889" s="84"/>
      <c r="I889" s="80"/>
      <c r="J889" s="80"/>
    </row>
    <row r="890" spans="1:10" hidden="1" x14ac:dyDescent="0.25">
      <c r="A890" s="78"/>
      <c r="B890" s="79"/>
      <c r="C890" s="80"/>
      <c r="D890" s="81"/>
      <c r="E890" s="26"/>
      <c r="F890" s="82"/>
      <c r="G890" s="83"/>
      <c r="H890" s="84"/>
      <c r="I890" s="80"/>
      <c r="J890" s="80"/>
    </row>
    <row r="891" spans="1:10" hidden="1" x14ac:dyDescent="0.25">
      <c r="A891" s="78"/>
      <c r="B891" s="79"/>
      <c r="C891" s="80"/>
      <c r="D891" s="81"/>
      <c r="E891" s="26"/>
      <c r="F891" s="82"/>
      <c r="G891" s="83"/>
      <c r="H891" s="84"/>
      <c r="I891" s="80"/>
      <c r="J891" s="80"/>
    </row>
    <row r="892" spans="1:10" hidden="1" x14ac:dyDescent="0.25">
      <c r="A892" s="78"/>
      <c r="B892" s="79"/>
      <c r="C892" s="80"/>
      <c r="D892" s="81"/>
      <c r="E892" s="26"/>
      <c r="F892" s="82"/>
      <c r="G892" s="83"/>
      <c r="H892" s="84"/>
      <c r="I892" s="80"/>
      <c r="J892" s="80"/>
    </row>
    <row r="893" spans="1:10" hidden="1" x14ac:dyDescent="0.25">
      <c r="A893" s="78"/>
      <c r="B893" s="79"/>
      <c r="C893" s="80"/>
      <c r="D893" s="81"/>
      <c r="E893" s="26"/>
      <c r="F893" s="82"/>
      <c r="G893" s="83"/>
      <c r="H893" s="84"/>
      <c r="I893" s="80"/>
      <c r="J893" s="80"/>
    </row>
    <row r="894" spans="1:10" hidden="1" x14ac:dyDescent="0.25">
      <c r="A894" s="78"/>
      <c r="B894" s="79"/>
      <c r="C894" s="80"/>
      <c r="D894" s="81"/>
      <c r="E894" s="26"/>
      <c r="F894" s="82"/>
      <c r="G894" s="83"/>
      <c r="H894" s="84"/>
      <c r="I894" s="80"/>
      <c r="J894" s="80"/>
    </row>
    <row r="895" spans="1:10" hidden="1" x14ac:dyDescent="0.25">
      <c r="A895" s="78"/>
      <c r="B895" s="79"/>
      <c r="C895" s="80"/>
      <c r="D895" s="81"/>
      <c r="E895" s="26"/>
      <c r="F895" s="82"/>
      <c r="G895" s="83"/>
      <c r="H895" s="84"/>
      <c r="I895" s="80"/>
      <c r="J895" s="80"/>
    </row>
    <row r="896" spans="1:10" hidden="1" x14ac:dyDescent="0.25">
      <c r="A896" s="78"/>
      <c r="B896" s="79"/>
      <c r="C896" s="80"/>
      <c r="D896" s="81"/>
      <c r="E896" s="26"/>
      <c r="F896" s="82"/>
      <c r="G896" s="83"/>
      <c r="H896" s="84"/>
      <c r="I896" s="80"/>
      <c r="J896" s="80"/>
    </row>
    <row r="897" spans="1:10" hidden="1" x14ac:dyDescent="0.25">
      <c r="A897" s="78"/>
      <c r="B897" s="79"/>
      <c r="C897" s="80"/>
      <c r="D897" s="81"/>
      <c r="E897" s="26"/>
      <c r="F897" s="82"/>
      <c r="G897" s="83"/>
      <c r="H897" s="84"/>
      <c r="I897" s="80"/>
      <c r="J897" s="80"/>
    </row>
    <row r="898" spans="1:10" hidden="1" x14ac:dyDescent="0.25">
      <c r="A898" s="78"/>
      <c r="B898" s="79"/>
      <c r="C898" s="80"/>
      <c r="D898" s="81"/>
      <c r="E898" s="26"/>
      <c r="F898" s="82"/>
      <c r="G898" s="83"/>
      <c r="H898" s="84"/>
      <c r="I898" s="80"/>
      <c r="J898" s="80"/>
    </row>
    <row r="899" spans="1:10" hidden="1" x14ac:dyDescent="0.25">
      <c r="A899" s="78"/>
      <c r="B899" s="79"/>
      <c r="C899" s="80"/>
      <c r="D899" s="81"/>
      <c r="E899" s="26"/>
      <c r="F899" s="82"/>
      <c r="G899" s="83"/>
      <c r="H899" s="84"/>
      <c r="I899" s="80"/>
      <c r="J899" s="80"/>
    </row>
    <row r="900" spans="1:10" hidden="1" x14ac:dyDescent="0.25">
      <c r="A900" s="78"/>
      <c r="B900" s="79"/>
      <c r="C900" s="80"/>
      <c r="D900" s="81"/>
      <c r="E900" s="26"/>
      <c r="F900" s="82"/>
      <c r="G900" s="83"/>
      <c r="H900" s="84"/>
      <c r="I900" s="80"/>
      <c r="J900" s="80"/>
    </row>
    <row r="901" spans="1:10" hidden="1" x14ac:dyDescent="0.25">
      <c r="A901" s="78"/>
      <c r="B901" s="79"/>
      <c r="C901" s="80"/>
      <c r="D901" s="81"/>
      <c r="E901" s="26"/>
      <c r="F901" s="82"/>
      <c r="G901" s="83"/>
      <c r="H901" s="84"/>
      <c r="I901" s="80"/>
      <c r="J901" s="80"/>
    </row>
    <row r="902" spans="1:10" hidden="1" x14ac:dyDescent="0.25">
      <c r="A902" s="78"/>
      <c r="B902" s="79"/>
      <c r="C902" s="80"/>
      <c r="D902" s="81"/>
      <c r="E902" s="26"/>
      <c r="F902" s="82"/>
      <c r="G902" s="83"/>
      <c r="H902" s="84"/>
      <c r="I902" s="80"/>
      <c r="J902" s="80"/>
    </row>
    <row r="903" spans="1:10" hidden="1" x14ac:dyDescent="0.25">
      <c r="A903" s="78"/>
      <c r="B903" s="79"/>
      <c r="C903" s="80"/>
      <c r="D903" s="81"/>
      <c r="E903" s="26"/>
      <c r="F903" s="82"/>
      <c r="G903" s="83"/>
      <c r="H903" s="84"/>
      <c r="I903" s="80"/>
      <c r="J903" s="80"/>
    </row>
    <row r="904" spans="1:10" hidden="1" x14ac:dyDescent="0.25">
      <c r="A904" s="78"/>
      <c r="B904" s="79"/>
      <c r="C904" s="80"/>
      <c r="D904" s="81"/>
      <c r="E904" s="26"/>
      <c r="F904" s="82"/>
      <c r="G904" s="83"/>
      <c r="H904" s="84"/>
      <c r="I904" s="80"/>
      <c r="J904" s="80"/>
    </row>
    <row r="905" spans="1:10" hidden="1" x14ac:dyDescent="0.25">
      <c r="A905" s="78"/>
      <c r="B905" s="79"/>
      <c r="C905" s="80"/>
      <c r="D905" s="81"/>
      <c r="E905" s="26"/>
      <c r="F905" s="82"/>
      <c r="G905" s="83"/>
      <c r="H905" s="84"/>
      <c r="I905" s="80"/>
      <c r="J905" s="80"/>
    </row>
    <row r="906" spans="1:10" hidden="1" x14ac:dyDescent="0.25">
      <c r="A906" s="78"/>
      <c r="B906" s="79"/>
      <c r="C906" s="80"/>
      <c r="D906" s="81"/>
      <c r="E906" s="26"/>
      <c r="F906" s="82"/>
      <c r="G906" s="83"/>
      <c r="H906" s="84"/>
      <c r="I906" s="80"/>
      <c r="J906" s="80"/>
    </row>
    <row r="907" spans="1:10" hidden="1" x14ac:dyDescent="0.25">
      <c r="A907" s="78"/>
      <c r="B907" s="79"/>
      <c r="C907" s="80"/>
      <c r="D907" s="81"/>
      <c r="E907" s="26"/>
      <c r="F907" s="82"/>
      <c r="G907" s="83"/>
      <c r="H907" s="84"/>
      <c r="I907" s="80"/>
      <c r="J907" s="80"/>
    </row>
    <row r="908" spans="1:10" hidden="1" x14ac:dyDescent="0.25">
      <c r="A908" s="78"/>
      <c r="B908" s="79"/>
      <c r="C908" s="80"/>
      <c r="D908" s="81"/>
      <c r="E908" s="26"/>
      <c r="F908" s="82"/>
      <c r="G908" s="83"/>
      <c r="H908" s="84"/>
      <c r="I908" s="80"/>
      <c r="J908" s="80"/>
    </row>
    <row r="909" spans="1:10" hidden="1" x14ac:dyDescent="0.25">
      <c r="A909" s="78"/>
      <c r="B909" s="79"/>
      <c r="C909" s="80"/>
      <c r="D909" s="81"/>
      <c r="E909" s="26"/>
      <c r="F909" s="82"/>
      <c r="G909" s="83"/>
      <c r="H909" s="84"/>
      <c r="I909" s="80"/>
      <c r="J909" s="80"/>
    </row>
    <row r="910" spans="1:10" hidden="1" x14ac:dyDescent="0.25">
      <c r="A910" s="78"/>
      <c r="B910" s="79"/>
      <c r="C910" s="80"/>
      <c r="D910" s="81"/>
      <c r="E910" s="26"/>
      <c r="F910" s="82"/>
      <c r="G910" s="83"/>
      <c r="H910" s="84"/>
      <c r="I910" s="80"/>
      <c r="J910" s="80"/>
    </row>
    <row r="911" spans="1:10" hidden="1" x14ac:dyDescent="0.25">
      <c r="A911" s="78"/>
      <c r="B911" s="79"/>
      <c r="C911" s="80"/>
      <c r="D911" s="81"/>
      <c r="E911" s="26"/>
      <c r="F911" s="82"/>
      <c r="G911" s="83"/>
      <c r="H911" s="84"/>
      <c r="I911" s="80"/>
      <c r="J911" s="80"/>
    </row>
    <row r="912" spans="1:10" hidden="1" x14ac:dyDescent="0.25">
      <c r="A912" s="78"/>
      <c r="B912" s="79"/>
      <c r="C912" s="80"/>
      <c r="D912" s="81"/>
      <c r="E912" s="26"/>
      <c r="F912" s="82"/>
      <c r="G912" s="83"/>
      <c r="H912" s="84"/>
      <c r="I912" s="80"/>
      <c r="J912" s="80"/>
    </row>
    <row r="913" spans="1:10" hidden="1" x14ac:dyDescent="0.25">
      <c r="A913" s="78"/>
      <c r="B913" s="79"/>
      <c r="C913" s="80"/>
      <c r="D913" s="81"/>
      <c r="E913" s="26"/>
      <c r="F913" s="82"/>
      <c r="G913" s="83"/>
      <c r="H913" s="84"/>
      <c r="I913" s="80"/>
      <c r="J913" s="80"/>
    </row>
    <row r="914" spans="1:10" hidden="1" x14ac:dyDescent="0.25">
      <c r="A914" s="78"/>
      <c r="B914" s="79"/>
      <c r="C914" s="80"/>
      <c r="D914" s="81"/>
      <c r="E914" s="26"/>
      <c r="F914" s="82"/>
      <c r="G914" s="83"/>
      <c r="H914" s="84"/>
      <c r="I914" s="80"/>
      <c r="J914" s="80"/>
    </row>
    <row r="915" spans="1:10" hidden="1" x14ac:dyDescent="0.25">
      <c r="A915" s="78"/>
      <c r="B915" s="79"/>
      <c r="C915" s="80"/>
      <c r="D915" s="81"/>
      <c r="E915" s="26"/>
      <c r="F915" s="82"/>
      <c r="G915" s="83"/>
      <c r="H915" s="84"/>
      <c r="I915" s="80"/>
      <c r="J915" s="80"/>
    </row>
    <row r="916" spans="1:10" hidden="1" x14ac:dyDescent="0.25">
      <c r="A916" s="78"/>
      <c r="B916" s="79"/>
      <c r="C916" s="80"/>
      <c r="D916" s="81"/>
      <c r="E916" s="26"/>
      <c r="F916" s="82"/>
      <c r="G916" s="83"/>
      <c r="H916" s="84"/>
      <c r="I916" s="80"/>
      <c r="J916" s="80"/>
    </row>
    <row r="917" spans="1:10" hidden="1" x14ac:dyDescent="0.25">
      <c r="A917" s="78"/>
      <c r="B917" s="79"/>
      <c r="C917" s="80"/>
      <c r="D917" s="81"/>
      <c r="E917" s="26"/>
      <c r="F917" s="82"/>
      <c r="G917" s="83"/>
      <c r="H917" s="84"/>
      <c r="I917" s="80"/>
      <c r="J917" s="80"/>
    </row>
    <row r="918" spans="1:10" hidden="1" x14ac:dyDescent="0.25">
      <c r="A918" s="78"/>
      <c r="B918" s="79"/>
      <c r="C918" s="80"/>
      <c r="D918" s="81"/>
      <c r="E918" s="26"/>
      <c r="F918" s="82"/>
      <c r="G918" s="83"/>
      <c r="H918" s="84"/>
      <c r="I918" s="80"/>
      <c r="J918" s="80"/>
    </row>
    <row r="919" spans="1:10" hidden="1" x14ac:dyDescent="0.25">
      <c r="A919" s="78"/>
      <c r="B919" s="79"/>
      <c r="C919" s="80"/>
      <c r="D919" s="81"/>
      <c r="E919" s="26"/>
      <c r="F919" s="82"/>
      <c r="G919" s="83"/>
      <c r="H919" s="84"/>
      <c r="I919" s="80"/>
      <c r="J919" s="80"/>
    </row>
    <row r="920" spans="1:10" hidden="1" x14ac:dyDescent="0.25">
      <c r="A920" s="78"/>
      <c r="B920" s="79"/>
      <c r="C920" s="80"/>
      <c r="D920" s="81"/>
      <c r="E920" s="26"/>
      <c r="F920" s="82"/>
      <c r="G920" s="83"/>
      <c r="H920" s="84"/>
      <c r="I920" s="80"/>
      <c r="J920" s="80"/>
    </row>
    <row r="921" spans="1:10" hidden="1" x14ac:dyDescent="0.25">
      <c r="A921" s="78"/>
      <c r="B921" s="79"/>
      <c r="C921" s="80"/>
      <c r="D921" s="81"/>
      <c r="E921" s="26"/>
      <c r="F921" s="82"/>
      <c r="G921" s="83"/>
      <c r="H921" s="84"/>
      <c r="I921" s="80"/>
      <c r="J921" s="80"/>
    </row>
    <row r="922" spans="1:10" hidden="1" x14ac:dyDescent="0.25">
      <c r="A922" s="78"/>
      <c r="B922" s="79"/>
      <c r="C922" s="80"/>
      <c r="D922" s="81"/>
      <c r="E922" s="26"/>
      <c r="F922" s="82"/>
      <c r="G922" s="83"/>
      <c r="H922" s="84"/>
      <c r="I922" s="80"/>
      <c r="J922" s="80"/>
    </row>
    <row r="923" spans="1:10" hidden="1" x14ac:dyDescent="0.25">
      <c r="A923" s="78"/>
      <c r="B923" s="79"/>
      <c r="C923" s="80"/>
      <c r="D923" s="81"/>
      <c r="E923" s="26"/>
      <c r="F923" s="82"/>
      <c r="G923" s="83"/>
      <c r="H923" s="84"/>
      <c r="I923" s="80"/>
      <c r="J923" s="80"/>
    </row>
    <row r="924" spans="1:10" hidden="1" x14ac:dyDescent="0.25">
      <c r="A924" s="78"/>
      <c r="B924" s="79"/>
      <c r="C924" s="80"/>
      <c r="D924" s="81"/>
      <c r="E924" s="26"/>
      <c r="F924" s="82"/>
      <c r="G924" s="83"/>
      <c r="H924" s="84"/>
      <c r="I924" s="80"/>
      <c r="J924" s="80"/>
    </row>
    <row r="925" spans="1:10" hidden="1" x14ac:dyDescent="0.25">
      <c r="A925" s="78"/>
      <c r="B925" s="79"/>
      <c r="C925" s="80"/>
      <c r="D925" s="81"/>
      <c r="E925" s="26"/>
      <c r="F925" s="82"/>
      <c r="G925" s="83"/>
      <c r="H925" s="84"/>
      <c r="I925" s="80"/>
      <c r="J925" s="80"/>
    </row>
    <row r="926" spans="1:10" hidden="1" x14ac:dyDescent="0.25">
      <c r="A926" s="78"/>
      <c r="B926" s="79"/>
      <c r="C926" s="80"/>
      <c r="D926" s="81"/>
      <c r="E926" s="26"/>
      <c r="F926" s="82"/>
      <c r="G926" s="83"/>
      <c r="H926" s="84"/>
      <c r="I926" s="80"/>
      <c r="J926" s="80"/>
    </row>
    <row r="927" spans="1:10" hidden="1" x14ac:dyDescent="0.25">
      <c r="A927" s="78"/>
      <c r="B927" s="79"/>
      <c r="C927" s="80"/>
      <c r="D927" s="81"/>
      <c r="E927" s="26"/>
      <c r="F927" s="82"/>
      <c r="G927" s="83"/>
      <c r="H927" s="84"/>
      <c r="I927" s="80"/>
      <c r="J927" s="80"/>
    </row>
    <row r="928" spans="1:10" hidden="1" x14ac:dyDescent="0.25">
      <c r="A928" s="78"/>
      <c r="B928" s="79"/>
      <c r="C928" s="80"/>
      <c r="D928" s="81"/>
      <c r="E928" s="26"/>
      <c r="F928" s="82"/>
      <c r="G928" s="83"/>
      <c r="H928" s="84"/>
      <c r="I928" s="80"/>
      <c r="J928" s="80"/>
    </row>
    <row r="929" spans="1:10" hidden="1" x14ac:dyDescent="0.25">
      <c r="A929" s="78"/>
      <c r="B929" s="79"/>
      <c r="C929" s="80"/>
      <c r="D929" s="81"/>
      <c r="E929" s="26"/>
      <c r="F929" s="82"/>
      <c r="G929" s="83"/>
      <c r="H929" s="84"/>
      <c r="I929" s="80"/>
      <c r="J929" s="80"/>
    </row>
    <row r="930" spans="1:10" hidden="1" x14ac:dyDescent="0.25">
      <c r="A930" s="78"/>
      <c r="B930" s="79"/>
      <c r="C930" s="80"/>
      <c r="D930" s="81"/>
      <c r="E930" s="26"/>
      <c r="F930" s="82"/>
      <c r="G930" s="83"/>
      <c r="H930" s="84"/>
      <c r="I930" s="80"/>
      <c r="J930" s="80"/>
    </row>
    <row r="931" spans="1:10" hidden="1" x14ac:dyDescent="0.25">
      <c r="A931" s="78"/>
      <c r="B931" s="79"/>
      <c r="C931" s="80"/>
      <c r="D931" s="81"/>
      <c r="E931" s="26"/>
      <c r="F931" s="82"/>
      <c r="G931" s="83"/>
      <c r="H931" s="84"/>
      <c r="I931" s="80"/>
      <c r="J931" s="80"/>
    </row>
    <row r="932" spans="1:10" hidden="1" x14ac:dyDescent="0.25">
      <c r="A932" s="78"/>
      <c r="B932" s="79"/>
      <c r="C932" s="80"/>
      <c r="D932" s="81"/>
      <c r="E932" s="26"/>
      <c r="F932" s="82"/>
      <c r="G932" s="83"/>
      <c r="H932" s="84"/>
      <c r="I932" s="80"/>
      <c r="J932" s="80"/>
    </row>
    <row r="933" spans="1:10" hidden="1" x14ac:dyDescent="0.25">
      <c r="A933" s="78"/>
      <c r="B933" s="79"/>
      <c r="C933" s="80"/>
      <c r="D933" s="81"/>
      <c r="E933" s="26"/>
      <c r="F933" s="82"/>
      <c r="G933" s="83"/>
      <c r="H933" s="84"/>
      <c r="I933" s="80"/>
      <c r="J933" s="80"/>
    </row>
    <row r="934" spans="1:10" hidden="1" x14ac:dyDescent="0.25">
      <c r="A934" s="78"/>
      <c r="B934" s="79"/>
      <c r="C934" s="80"/>
      <c r="D934" s="81"/>
      <c r="E934" s="26"/>
      <c r="F934" s="82"/>
      <c r="G934" s="83"/>
      <c r="H934" s="84"/>
      <c r="I934" s="80"/>
      <c r="J934" s="80"/>
    </row>
    <row r="935" spans="1:10" hidden="1" x14ac:dyDescent="0.25">
      <c r="A935" s="78"/>
      <c r="B935" s="79"/>
      <c r="C935" s="80"/>
      <c r="D935" s="81"/>
      <c r="E935" s="26"/>
      <c r="F935" s="82"/>
      <c r="G935" s="83"/>
      <c r="H935" s="84"/>
      <c r="I935" s="80"/>
      <c r="J935" s="80"/>
    </row>
    <row r="936" spans="1:10" hidden="1" x14ac:dyDescent="0.25">
      <c r="A936" s="78"/>
      <c r="B936" s="79"/>
      <c r="C936" s="80"/>
      <c r="D936" s="81"/>
      <c r="E936" s="26"/>
      <c r="F936" s="82"/>
      <c r="G936" s="83"/>
      <c r="H936" s="84"/>
      <c r="I936" s="80"/>
      <c r="J936" s="80"/>
    </row>
    <row r="937" spans="1:10" hidden="1" x14ac:dyDescent="0.25">
      <c r="A937" s="78"/>
      <c r="B937" s="79"/>
      <c r="C937" s="80"/>
      <c r="D937" s="81"/>
      <c r="E937" s="26"/>
      <c r="F937" s="82"/>
      <c r="G937" s="83"/>
      <c r="H937" s="84"/>
      <c r="I937" s="80"/>
      <c r="J937" s="80"/>
    </row>
    <row r="938" spans="1:10" hidden="1" x14ac:dyDescent="0.25">
      <c r="A938" s="78"/>
      <c r="B938" s="79"/>
      <c r="C938" s="80"/>
      <c r="D938" s="81"/>
      <c r="E938" s="26"/>
      <c r="F938" s="82"/>
      <c r="G938" s="83"/>
      <c r="H938" s="84"/>
      <c r="I938" s="80"/>
      <c r="J938" s="80"/>
    </row>
    <row r="939" spans="1:10" hidden="1" x14ac:dyDescent="0.25">
      <c r="A939" s="78"/>
      <c r="B939" s="79"/>
      <c r="C939" s="80"/>
      <c r="D939" s="81"/>
      <c r="E939" s="26"/>
      <c r="F939" s="82"/>
      <c r="G939" s="83"/>
      <c r="H939" s="84"/>
      <c r="I939" s="80"/>
      <c r="J939" s="80"/>
    </row>
    <row r="940" spans="1:10" hidden="1" x14ac:dyDescent="0.25">
      <c r="A940" s="78"/>
      <c r="B940" s="79"/>
      <c r="C940" s="80"/>
      <c r="D940" s="81"/>
      <c r="E940" s="26"/>
      <c r="F940" s="82"/>
      <c r="G940" s="83"/>
      <c r="H940" s="84"/>
      <c r="I940" s="80"/>
      <c r="J940" s="80"/>
    </row>
    <row r="941" spans="1:10" hidden="1" x14ac:dyDescent="0.25">
      <c r="A941" s="78"/>
      <c r="B941" s="79"/>
      <c r="C941" s="80"/>
      <c r="D941" s="81"/>
      <c r="E941" s="26"/>
      <c r="F941" s="82"/>
      <c r="G941" s="83"/>
      <c r="H941" s="84"/>
      <c r="I941" s="80"/>
      <c r="J941" s="80"/>
    </row>
    <row r="942" spans="1:10" hidden="1" x14ac:dyDescent="0.25">
      <c r="A942" s="78"/>
      <c r="B942" s="79"/>
      <c r="C942" s="80"/>
      <c r="D942" s="81"/>
      <c r="E942" s="26"/>
      <c r="F942" s="82"/>
      <c r="G942" s="83"/>
      <c r="H942" s="84"/>
      <c r="I942" s="80"/>
      <c r="J942" s="80"/>
    </row>
    <row r="943" spans="1:10" hidden="1" x14ac:dyDescent="0.25">
      <c r="A943" s="78"/>
      <c r="B943" s="79"/>
      <c r="C943" s="80"/>
      <c r="D943" s="81"/>
      <c r="E943" s="26"/>
      <c r="F943" s="82"/>
      <c r="G943" s="83"/>
      <c r="H943" s="84"/>
      <c r="I943" s="80"/>
      <c r="J943" s="80"/>
    </row>
    <row r="944" spans="1:10" hidden="1" x14ac:dyDescent="0.25">
      <c r="A944" s="78"/>
      <c r="B944" s="79"/>
      <c r="C944" s="80"/>
      <c r="D944" s="81"/>
      <c r="E944" s="26"/>
      <c r="F944" s="82"/>
      <c r="G944" s="83"/>
      <c r="H944" s="84"/>
      <c r="I944" s="80"/>
      <c r="J944" s="80"/>
    </row>
    <row r="945" spans="1:10" hidden="1" x14ac:dyDescent="0.25">
      <c r="A945" s="78"/>
      <c r="B945" s="79"/>
      <c r="C945" s="80"/>
      <c r="D945" s="81"/>
      <c r="E945" s="26"/>
      <c r="F945" s="82"/>
      <c r="G945" s="83"/>
      <c r="H945" s="84"/>
      <c r="I945" s="80"/>
      <c r="J945" s="80"/>
    </row>
    <row r="946" spans="1:10" hidden="1" x14ac:dyDescent="0.25">
      <c r="A946" s="78"/>
      <c r="B946" s="79"/>
      <c r="C946" s="80"/>
      <c r="D946" s="81"/>
      <c r="E946" s="26"/>
      <c r="F946" s="82"/>
      <c r="G946" s="83"/>
      <c r="H946" s="84"/>
      <c r="I946" s="80"/>
      <c r="J946" s="80"/>
    </row>
    <row r="947" spans="1:10" hidden="1" x14ac:dyDescent="0.25">
      <c r="A947" s="78"/>
      <c r="B947" s="79"/>
      <c r="C947" s="80"/>
      <c r="D947" s="81"/>
      <c r="E947" s="26"/>
      <c r="F947" s="82"/>
      <c r="G947" s="83"/>
      <c r="H947" s="84"/>
      <c r="I947" s="80"/>
      <c r="J947" s="80"/>
    </row>
    <row r="948" spans="1:10" hidden="1" x14ac:dyDescent="0.25">
      <c r="A948" s="78"/>
      <c r="B948" s="79"/>
      <c r="C948" s="80"/>
      <c r="D948" s="81"/>
      <c r="E948" s="26"/>
      <c r="F948" s="82"/>
      <c r="G948" s="83"/>
      <c r="H948" s="84"/>
      <c r="I948" s="80"/>
      <c r="J948" s="80"/>
    </row>
    <row r="949" spans="1:10" hidden="1" x14ac:dyDescent="0.25">
      <c r="A949" s="78"/>
      <c r="B949" s="79"/>
      <c r="C949" s="80"/>
      <c r="D949" s="81"/>
      <c r="E949" s="26"/>
      <c r="F949" s="82"/>
      <c r="G949" s="83"/>
      <c r="H949" s="84"/>
      <c r="I949" s="80"/>
      <c r="J949" s="80"/>
    </row>
    <row r="950" spans="1:10" hidden="1" x14ac:dyDescent="0.25">
      <c r="A950" s="78"/>
      <c r="B950" s="79"/>
      <c r="C950" s="80"/>
      <c r="D950" s="81"/>
      <c r="E950" s="26"/>
      <c r="F950" s="82"/>
      <c r="G950" s="83"/>
      <c r="H950" s="84"/>
      <c r="I950" s="80"/>
      <c r="J950" s="80"/>
    </row>
    <row r="951" spans="1:10" hidden="1" x14ac:dyDescent="0.25">
      <c r="A951" s="78"/>
      <c r="B951" s="79"/>
      <c r="C951" s="80"/>
      <c r="D951" s="81"/>
      <c r="E951" s="26"/>
      <c r="F951" s="82"/>
      <c r="G951" s="83"/>
      <c r="H951" s="84"/>
      <c r="I951" s="80"/>
      <c r="J951" s="80"/>
    </row>
    <row r="952" spans="1:10" hidden="1" x14ac:dyDescent="0.25">
      <c r="A952" s="78"/>
      <c r="B952" s="79"/>
      <c r="C952" s="80"/>
      <c r="D952" s="81"/>
      <c r="E952" s="26"/>
      <c r="F952" s="82"/>
      <c r="G952" s="83"/>
      <c r="H952" s="84"/>
      <c r="I952" s="80"/>
      <c r="J952" s="80"/>
    </row>
    <row r="953" spans="1:10" hidden="1" x14ac:dyDescent="0.25">
      <c r="A953" s="78"/>
      <c r="B953" s="79"/>
      <c r="C953" s="80"/>
      <c r="D953" s="81"/>
      <c r="E953" s="26"/>
      <c r="F953" s="82"/>
      <c r="G953" s="83"/>
      <c r="H953" s="84"/>
      <c r="I953" s="80"/>
      <c r="J953" s="80"/>
    </row>
    <row r="954" spans="1:10" hidden="1" x14ac:dyDescent="0.25">
      <c r="A954" s="78"/>
      <c r="B954" s="79"/>
      <c r="C954" s="80"/>
      <c r="D954" s="81"/>
      <c r="E954" s="26"/>
      <c r="F954" s="82"/>
      <c r="G954" s="83"/>
      <c r="H954" s="84"/>
      <c r="I954" s="80"/>
      <c r="J954" s="80"/>
    </row>
    <row r="955" spans="1:10" hidden="1" x14ac:dyDescent="0.25">
      <c r="A955" s="78"/>
      <c r="B955" s="79"/>
      <c r="C955" s="80"/>
      <c r="D955" s="81"/>
      <c r="E955" s="26"/>
      <c r="F955" s="82"/>
      <c r="G955" s="83"/>
      <c r="H955" s="84"/>
      <c r="I955" s="80"/>
      <c r="J955" s="80"/>
    </row>
    <row r="956" spans="1:10" hidden="1" x14ac:dyDescent="0.25">
      <c r="A956" s="78"/>
      <c r="B956" s="79"/>
      <c r="C956" s="80"/>
      <c r="D956" s="81"/>
      <c r="E956" s="26"/>
      <c r="F956" s="82"/>
      <c r="G956" s="83"/>
      <c r="H956" s="84"/>
      <c r="I956" s="80"/>
      <c r="J956" s="80"/>
    </row>
    <row r="957" spans="1:10" hidden="1" x14ac:dyDescent="0.25">
      <c r="A957" s="78"/>
      <c r="B957" s="79"/>
      <c r="C957" s="80"/>
      <c r="D957" s="81"/>
      <c r="E957" s="26"/>
      <c r="F957" s="82"/>
      <c r="G957" s="83"/>
      <c r="H957" s="84"/>
      <c r="I957" s="80"/>
      <c r="J957" s="80"/>
    </row>
    <row r="958" spans="1:10" hidden="1" x14ac:dyDescent="0.25">
      <c r="A958" s="78"/>
      <c r="B958" s="79"/>
      <c r="C958" s="80"/>
      <c r="D958" s="81"/>
      <c r="E958" s="26"/>
      <c r="F958" s="82"/>
      <c r="G958" s="83"/>
      <c r="H958" s="84"/>
      <c r="I958" s="80"/>
      <c r="J958" s="80"/>
    </row>
    <row r="959" spans="1:10" hidden="1" x14ac:dyDescent="0.25">
      <c r="A959" s="78"/>
      <c r="B959" s="79"/>
      <c r="C959" s="80"/>
      <c r="D959" s="81"/>
      <c r="E959" s="26"/>
      <c r="F959" s="82"/>
      <c r="G959" s="83"/>
      <c r="H959" s="84"/>
      <c r="I959" s="80"/>
      <c r="J959" s="80"/>
    </row>
    <row r="960" spans="1:10" hidden="1" x14ac:dyDescent="0.25">
      <c r="A960" s="78"/>
      <c r="B960" s="79"/>
      <c r="C960" s="80"/>
      <c r="D960" s="81"/>
      <c r="E960" s="26"/>
      <c r="F960" s="82"/>
      <c r="G960" s="83"/>
      <c r="H960" s="84"/>
      <c r="I960" s="80"/>
      <c r="J960" s="80"/>
    </row>
    <row r="961" spans="1:10" hidden="1" x14ac:dyDescent="0.25">
      <c r="A961" s="78"/>
      <c r="B961" s="79"/>
      <c r="C961" s="80"/>
      <c r="D961" s="81"/>
      <c r="E961" s="26"/>
      <c r="F961" s="82"/>
      <c r="G961" s="83"/>
      <c r="H961" s="84"/>
      <c r="I961" s="80"/>
      <c r="J961" s="80"/>
    </row>
    <row r="962" spans="1:10" hidden="1" x14ac:dyDescent="0.25">
      <c r="A962" s="78"/>
      <c r="B962" s="79"/>
      <c r="C962" s="80"/>
      <c r="D962" s="81"/>
      <c r="E962" s="26"/>
      <c r="F962" s="82"/>
      <c r="G962" s="83"/>
      <c r="H962" s="84"/>
      <c r="I962" s="80"/>
      <c r="J962" s="80"/>
    </row>
    <row r="963" spans="1:10" hidden="1" x14ac:dyDescent="0.25">
      <c r="A963" s="78"/>
      <c r="B963" s="79"/>
      <c r="C963" s="80"/>
      <c r="D963" s="81"/>
      <c r="E963" s="26"/>
      <c r="F963" s="82"/>
      <c r="G963" s="83"/>
      <c r="H963" s="84"/>
      <c r="I963" s="80"/>
      <c r="J963" s="80"/>
    </row>
    <row r="964" spans="1:10" hidden="1" x14ac:dyDescent="0.25">
      <c r="A964" s="78"/>
      <c r="B964" s="79"/>
      <c r="C964" s="80"/>
      <c r="D964" s="81"/>
      <c r="E964" s="26"/>
      <c r="F964" s="82"/>
      <c r="G964" s="83"/>
      <c r="H964" s="84"/>
      <c r="I964" s="80"/>
      <c r="J964" s="80"/>
    </row>
    <row r="965" spans="1:10" hidden="1" x14ac:dyDescent="0.25">
      <c r="A965" s="78"/>
      <c r="B965" s="79"/>
      <c r="C965" s="80"/>
      <c r="D965" s="81"/>
      <c r="E965" s="26"/>
      <c r="F965" s="82"/>
      <c r="G965" s="83"/>
      <c r="H965" s="84"/>
      <c r="I965" s="80"/>
      <c r="J965" s="80"/>
    </row>
    <row r="966" spans="1:10" hidden="1" x14ac:dyDescent="0.25">
      <c r="A966" s="78"/>
      <c r="B966" s="79"/>
      <c r="C966" s="80"/>
      <c r="D966" s="81"/>
      <c r="E966" s="26"/>
      <c r="F966" s="82"/>
      <c r="G966" s="83"/>
      <c r="H966" s="84"/>
      <c r="I966" s="80"/>
      <c r="J966" s="80"/>
    </row>
    <row r="967" spans="1:10" hidden="1" x14ac:dyDescent="0.25">
      <c r="A967" s="78"/>
      <c r="B967" s="79"/>
      <c r="C967" s="80"/>
      <c r="D967" s="81"/>
      <c r="E967" s="26"/>
      <c r="F967" s="82"/>
      <c r="G967" s="83"/>
      <c r="H967" s="84"/>
      <c r="I967" s="80"/>
      <c r="J967" s="80"/>
    </row>
    <row r="968" spans="1:10" hidden="1" x14ac:dyDescent="0.25">
      <c r="A968" s="78"/>
      <c r="B968" s="79"/>
      <c r="C968" s="80"/>
      <c r="D968" s="81"/>
      <c r="E968" s="26"/>
      <c r="F968" s="82"/>
      <c r="G968" s="83"/>
      <c r="H968" s="84"/>
      <c r="I968" s="80"/>
      <c r="J968" s="80"/>
    </row>
    <row r="969" spans="1:10" hidden="1" x14ac:dyDescent="0.25">
      <c r="A969" s="78"/>
      <c r="B969" s="79"/>
      <c r="C969" s="80"/>
      <c r="D969" s="81"/>
      <c r="E969" s="26"/>
      <c r="F969" s="82"/>
      <c r="G969" s="83"/>
      <c r="H969" s="84"/>
      <c r="I969" s="80"/>
      <c r="J969" s="80"/>
    </row>
    <row r="970" spans="1:10" hidden="1" x14ac:dyDescent="0.25">
      <c r="A970" s="78"/>
      <c r="B970" s="79"/>
      <c r="C970" s="80"/>
      <c r="D970" s="81"/>
      <c r="E970" s="26"/>
      <c r="F970" s="82"/>
      <c r="G970" s="83"/>
      <c r="H970" s="84"/>
      <c r="I970" s="80"/>
      <c r="J970" s="80"/>
    </row>
    <row r="971" spans="1:10" hidden="1" x14ac:dyDescent="0.25">
      <c r="A971" s="78"/>
      <c r="B971" s="79"/>
      <c r="C971" s="80"/>
      <c r="D971" s="81"/>
      <c r="E971" s="26"/>
      <c r="F971" s="82"/>
      <c r="G971" s="83"/>
      <c r="H971" s="84"/>
      <c r="I971" s="80"/>
      <c r="J971" s="80"/>
    </row>
    <row r="972" spans="1:10" hidden="1" x14ac:dyDescent="0.25">
      <c r="A972" s="78"/>
      <c r="B972" s="79"/>
      <c r="C972" s="80"/>
      <c r="D972" s="81"/>
      <c r="E972" s="26"/>
      <c r="F972" s="82"/>
      <c r="G972" s="83"/>
      <c r="H972" s="84"/>
      <c r="I972" s="80"/>
      <c r="J972" s="80"/>
    </row>
    <row r="973" spans="1:10" hidden="1" x14ac:dyDescent="0.25">
      <c r="A973" s="78"/>
      <c r="B973" s="79"/>
      <c r="C973" s="80"/>
      <c r="D973" s="81"/>
      <c r="E973" s="26"/>
      <c r="F973" s="82"/>
      <c r="G973" s="83"/>
      <c r="H973" s="84"/>
      <c r="I973" s="80"/>
      <c r="J973" s="80"/>
    </row>
    <row r="974" spans="1:10" hidden="1" x14ac:dyDescent="0.25">
      <c r="A974" s="78"/>
      <c r="B974" s="79"/>
      <c r="C974" s="80"/>
      <c r="D974" s="81"/>
      <c r="E974" s="26"/>
      <c r="F974" s="82"/>
      <c r="G974" s="83"/>
      <c r="H974" s="84"/>
      <c r="I974" s="80"/>
      <c r="J974" s="80"/>
    </row>
    <row r="975" spans="1:10" hidden="1" x14ac:dyDescent="0.25">
      <c r="A975" s="78"/>
      <c r="B975" s="79"/>
      <c r="C975" s="80"/>
      <c r="D975" s="81"/>
      <c r="E975" s="26"/>
      <c r="F975" s="82"/>
      <c r="G975" s="83"/>
      <c r="H975" s="84"/>
      <c r="I975" s="80"/>
      <c r="J975" s="80"/>
    </row>
    <row r="976" spans="1:10" hidden="1" x14ac:dyDescent="0.25">
      <c r="A976" s="78"/>
      <c r="B976" s="79"/>
      <c r="C976" s="80"/>
      <c r="D976" s="81"/>
      <c r="E976" s="26"/>
      <c r="F976" s="82"/>
      <c r="G976" s="83"/>
      <c r="H976" s="84"/>
      <c r="I976" s="80"/>
      <c r="J976" s="80"/>
    </row>
    <row r="977" spans="1:10" hidden="1" x14ac:dyDescent="0.25">
      <c r="A977" s="78"/>
      <c r="B977" s="79"/>
      <c r="C977" s="80"/>
      <c r="D977" s="81"/>
      <c r="E977" s="26"/>
      <c r="F977" s="82"/>
      <c r="G977" s="83"/>
      <c r="H977" s="84"/>
      <c r="I977" s="80"/>
      <c r="J977" s="80"/>
    </row>
    <row r="978" spans="1:10" hidden="1" x14ac:dyDescent="0.25">
      <c r="A978" s="78"/>
      <c r="B978" s="79"/>
      <c r="C978" s="80"/>
      <c r="D978" s="81"/>
      <c r="E978" s="26"/>
      <c r="F978" s="82"/>
      <c r="G978" s="83"/>
      <c r="H978" s="84"/>
      <c r="I978" s="80"/>
      <c r="J978" s="80"/>
    </row>
    <row r="979" spans="1:10" hidden="1" x14ac:dyDescent="0.25">
      <c r="A979" s="78"/>
      <c r="B979" s="79"/>
      <c r="C979" s="80"/>
      <c r="D979" s="81"/>
      <c r="E979" s="26"/>
      <c r="F979" s="82"/>
      <c r="G979" s="83"/>
      <c r="H979" s="84"/>
      <c r="I979" s="80"/>
      <c r="J979" s="80"/>
    </row>
    <row r="980" spans="1:10" hidden="1" x14ac:dyDescent="0.25">
      <c r="A980" s="78"/>
      <c r="B980" s="79"/>
      <c r="C980" s="80"/>
      <c r="D980" s="81"/>
      <c r="E980" s="26"/>
      <c r="F980" s="82"/>
      <c r="G980" s="83"/>
      <c r="H980" s="84"/>
      <c r="I980" s="80"/>
      <c r="J980" s="80"/>
    </row>
    <row r="981" spans="1:10" hidden="1" x14ac:dyDescent="0.25">
      <c r="A981" s="78"/>
      <c r="B981" s="79"/>
      <c r="C981" s="80"/>
      <c r="D981" s="81"/>
      <c r="E981" s="26"/>
      <c r="F981" s="82"/>
      <c r="G981" s="83"/>
      <c r="H981" s="84"/>
      <c r="I981" s="80"/>
      <c r="J981" s="80"/>
    </row>
    <row r="982" spans="1:10" hidden="1" x14ac:dyDescent="0.25">
      <c r="A982" s="78"/>
      <c r="B982" s="79"/>
      <c r="C982" s="80"/>
      <c r="D982" s="81"/>
      <c r="E982" s="26"/>
      <c r="F982" s="82"/>
      <c r="G982" s="83"/>
      <c r="H982" s="84"/>
      <c r="I982" s="80"/>
      <c r="J982" s="80"/>
    </row>
    <row r="983" spans="1:10" hidden="1" x14ac:dyDescent="0.25">
      <c r="A983" s="78"/>
      <c r="B983" s="79"/>
      <c r="C983" s="80"/>
      <c r="D983" s="81"/>
      <c r="E983" s="26"/>
      <c r="F983" s="82"/>
      <c r="G983" s="83"/>
      <c r="H983" s="84"/>
      <c r="I983" s="80"/>
      <c r="J983" s="80"/>
    </row>
    <row r="984" spans="1:10" hidden="1" x14ac:dyDescent="0.25">
      <c r="A984" s="78"/>
      <c r="B984" s="79"/>
      <c r="C984" s="80"/>
      <c r="D984" s="81"/>
      <c r="E984" s="26"/>
      <c r="F984" s="82"/>
      <c r="G984" s="83"/>
      <c r="H984" s="84"/>
      <c r="I984" s="80"/>
      <c r="J984" s="80"/>
    </row>
    <row r="985" spans="1:10" hidden="1" x14ac:dyDescent="0.25">
      <c r="A985" s="78"/>
      <c r="B985" s="79"/>
      <c r="C985" s="80"/>
      <c r="D985" s="81"/>
      <c r="E985" s="26"/>
      <c r="F985" s="82"/>
      <c r="G985" s="83"/>
      <c r="H985" s="84"/>
      <c r="I985" s="80"/>
      <c r="J985" s="80"/>
    </row>
    <row r="986" spans="1:10" hidden="1" x14ac:dyDescent="0.25">
      <c r="A986" s="78"/>
      <c r="B986" s="79"/>
      <c r="C986" s="80"/>
      <c r="D986" s="81"/>
      <c r="E986" s="26"/>
      <c r="F986" s="82"/>
      <c r="G986" s="83"/>
      <c r="H986" s="84"/>
      <c r="I986" s="80"/>
      <c r="J986" s="80"/>
    </row>
    <row r="987" spans="1:10" hidden="1" x14ac:dyDescent="0.25">
      <c r="A987" s="78"/>
      <c r="B987" s="79"/>
      <c r="C987" s="80"/>
      <c r="D987" s="81"/>
      <c r="E987" s="26"/>
      <c r="F987" s="82"/>
      <c r="G987" s="83"/>
      <c r="H987" s="84"/>
      <c r="I987" s="80"/>
      <c r="J987" s="80"/>
    </row>
    <row r="988" spans="1:10" hidden="1" x14ac:dyDescent="0.25">
      <c r="A988" s="78"/>
      <c r="B988" s="79"/>
      <c r="C988" s="80"/>
      <c r="D988" s="81"/>
      <c r="E988" s="26"/>
      <c r="F988" s="82"/>
      <c r="G988" s="83"/>
      <c r="H988" s="84"/>
      <c r="I988" s="80"/>
      <c r="J988" s="80"/>
    </row>
    <row r="989" spans="1:10" hidden="1" x14ac:dyDescent="0.25">
      <c r="A989" s="78"/>
      <c r="B989" s="79"/>
      <c r="C989" s="80"/>
      <c r="D989" s="81"/>
      <c r="E989" s="26"/>
      <c r="F989" s="82"/>
      <c r="G989" s="83"/>
      <c r="H989" s="84"/>
      <c r="I989" s="80"/>
      <c r="J989" s="80"/>
    </row>
    <row r="990" spans="1:10" hidden="1" x14ac:dyDescent="0.25">
      <c r="A990" s="78"/>
      <c r="B990" s="79"/>
      <c r="C990" s="80"/>
      <c r="D990" s="81"/>
      <c r="E990" s="26"/>
      <c r="F990" s="82"/>
      <c r="G990" s="83"/>
      <c r="H990" s="84"/>
      <c r="I990" s="80"/>
      <c r="J990" s="80"/>
    </row>
    <row r="991" spans="1:10" hidden="1" x14ac:dyDescent="0.25">
      <c r="A991" s="78"/>
      <c r="B991" s="79"/>
      <c r="C991" s="80"/>
      <c r="D991" s="81"/>
      <c r="E991" s="26"/>
      <c r="F991" s="82"/>
      <c r="G991" s="83"/>
      <c r="H991" s="84"/>
      <c r="I991" s="80"/>
      <c r="J991" s="80"/>
    </row>
    <row r="992" spans="1:10" hidden="1" x14ac:dyDescent="0.25">
      <c r="A992" s="78"/>
      <c r="B992" s="79"/>
      <c r="C992" s="80"/>
      <c r="D992" s="81"/>
      <c r="E992" s="26"/>
      <c r="F992" s="82"/>
      <c r="G992" s="83"/>
      <c r="H992" s="84"/>
      <c r="I992" s="80"/>
      <c r="J992" s="80"/>
    </row>
    <row r="993" spans="1:10" hidden="1" x14ac:dyDescent="0.25">
      <c r="A993" s="78"/>
      <c r="B993" s="79"/>
      <c r="C993" s="80"/>
      <c r="D993" s="81"/>
      <c r="E993" s="26"/>
      <c r="F993" s="82"/>
      <c r="G993" s="83"/>
      <c r="H993" s="84"/>
      <c r="I993" s="80"/>
      <c r="J993" s="80"/>
    </row>
    <row r="994" spans="1:10" hidden="1" x14ac:dyDescent="0.25">
      <c r="A994" s="78"/>
      <c r="B994" s="79"/>
      <c r="C994" s="80"/>
      <c r="D994" s="81"/>
      <c r="E994" s="26"/>
      <c r="F994" s="82"/>
      <c r="G994" s="83"/>
      <c r="H994" s="84"/>
      <c r="I994" s="80"/>
      <c r="J994" s="80"/>
    </row>
    <row r="995" spans="1:10" hidden="1" x14ac:dyDescent="0.25">
      <c r="A995" s="78"/>
      <c r="B995" s="79"/>
      <c r="C995" s="80"/>
      <c r="D995" s="81"/>
      <c r="E995" s="26"/>
      <c r="F995" s="82"/>
      <c r="G995" s="83"/>
      <c r="H995" s="84"/>
      <c r="I995" s="80"/>
      <c r="J995" s="80"/>
    </row>
    <row r="996" spans="1:10" hidden="1" x14ac:dyDescent="0.25">
      <c r="A996" s="78"/>
      <c r="B996" s="79"/>
      <c r="C996" s="80"/>
      <c r="D996" s="81"/>
      <c r="E996" s="26"/>
      <c r="F996" s="82"/>
      <c r="G996" s="83"/>
      <c r="H996" s="84"/>
      <c r="I996" s="80"/>
      <c r="J996" s="80"/>
    </row>
    <row r="997" spans="1:10" hidden="1" x14ac:dyDescent="0.25">
      <c r="A997" s="78"/>
      <c r="B997" s="79"/>
      <c r="C997" s="80"/>
      <c r="D997" s="81"/>
      <c r="E997" s="26"/>
      <c r="F997" s="82"/>
      <c r="G997" s="83"/>
      <c r="H997" s="84"/>
      <c r="I997" s="80"/>
      <c r="J997" s="80"/>
    </row>
    <row r="998" spans="1:10" hidden="1" x14ac:dyDescent="0.25">
      <c r="A998" s="78"/>
      <c r="B998" s="79"/>
      <c r="C998" s="80"/>
      <c r="D998" s="81"/>
      <c r="E998" s="26"/>
      <c r="F998" s="82"/>
      <c r="G998" s="83"/>
      <c r="H998" s="84"/>
      <c r="I998" s="80"/>
      <c r="J998" s="80"/>
    </row>
    <row r="999" spans="1:10" hidden="1" x14ac:dyDescent="0.25">
      <c r="A999" s="78"/>
      <c r="B999" s="79"/>
      <c r="C999" s="80"/>
      <c r="D999" s="81"/>
      <c r="E999" s="26"/>
      <c r="F999" s="82"/>
      <c r="G999" s="83"/>
      <c r="H999" s="84"/>
      <c r="I999" s="80"/>
      <c r="J999" s="80"/>
    </row>
    <row r="1000" spans="1:10" hidden="1" x14ac:dyDescent="0.25">
      <c r="A1000" s="78"/>
      <c r="B1000" s="79"/>
      <c r="C1000" s="80"/>
      <c r="D1000" s="81"/>
      <c r="E1000" s="26"/>
      <c r="F1000" s="82"/>
      <c r="G1000" s="83"/>
      <c r="H1000" s="84"/>
      <c r="I1000" s="80"/>
      <c r="J1000" s="80"/>
    </row>
    <row r="1001" spans="1:10" hidden="1" x14ac:dyDescent="0.25">
      <c r="A1001" s="78"/>
      <c r="B1001" s="79"/>
      <c r="C1001" s="80"/>
      <c r="D1001" s="81"/>
      <c r="E1001" s="26"/>
      <c r="F1001" s="82"/>
      <c r="G1001" s="83"/>
      <c r="H1001" s="84"/>
      <c r="I1001" s="80"/>
      <c r="J1001" s="80"/>
    </row>
    <row r="1002" spans="1:10" hidden="1" x14ac:dyDescent="0.25">
      <c r="A1002" s="78"/>
      <c r="B1002" s="79"/>
      <c r="C1002" s="80"/>
      <c r="D1002" s="81"/>
      <c r="E1002" s="26"/>
      <c r="F1002" s="82"/>
      <c r="G1002" s="83"/>
      <c r="H1002" s="84"/>
      <c r="I1002" s="80"/>
      <c r="J1002" s="80"/>
    </row>
    <row r="1003" spans="1:10" hidden="1" x14ac:dyDescent="0.25">
      <c r="A1003" s="78"/>
      <c r="B1003" s="79"/>
      <c r="C1003" s="80"/>
      <c r="D1003" s="81"/>
      <c r="E1003" s="26"/>
      <c r="F1003" s="82"/>
      <c r="G1003" s="83"/>
      <c r="H1003" s="84"/>
      <c r="I1003" s="80"/>
      <c r="J1003" s="80"/>
    </row>
    <row r="1004" spans="1:10" hidden="1" x14ac:dyDescent="0.25">
      <c r="A1004" s="78"/>
      <c r="B1004" s="79"/>
      <c r="C1004" s="80"/>
      <c r="D1004" s="81"/>
      <c r="E1004" s="26"/>
      <c r="F1004" s="82"/>
      <c r="G1004" s="83"/>
      <c r="H1004" s="84"/>
      <c r="I1004" s="80"/>
      <c r="J1004" s="80"/>
    </row>
    <row r="1005" spans="1:10" hidden="1" x14ac:dyDescent="0.25">
      <c r="A1005" s="78"/>
      <c r="B1005" s="79"/>
      <c r="C1005" s="80"/>
      <c r="D1005" s="81"/>
      <c r="E1005" s="26"/>
      <c r="F1005" s="82"/>
      <c r="G1005" s="83"/>
      <c r="H1005" s="84"/>
      <c r="I1005" s="80"/>
      <c r="J1005" s="80"/>
    </row>
    <row r="1006" spans="1:10" hidden="1" x14ac:dyDescent="0.25">
      <c r="A1006" s="78"/>
      <c r="B1006" s="79"/>
      <c r="C1006" s="80"/>
      <c r="D1006" s="81"/>
      <c r="E1006" s="26"/>
      <c r="F1006" s="82"/>
      <c r="G1006" s="83"/>
      <c r="H1006" s="84"/>
      <c r="I1006" s="80"/>
      <c r="J1006" s="80"/>
    </row>
    <row r="1007" spans="1:10" hidden="1" x14ac:dyDescent="0.25">
      <c r="A1007" s="78"/>
      <c r="B1007" s="79"/>
      <c r="C1007" s="80"/>
      <c r="D1007" s="81"/>
      <c r="E1007" s="26"/>
      <c r="F1007" s="82"/>
      <c r="G1007" s="83"/>
      <c r="H1007" s="84"/>
      <c r="I1007" s="80"/>
      <c r="J1007" s="80"/>
    </row>
    <row r="1008" spans="1:10" hidden="1" x14ac:dyDescent="0.25">
      <c r="A1008" s="78"/>
      <c r="B1008" s="79"/>
      <c r="C1008" s="80"/>
      <c r="D1008" s="81"/>
      <c r="E1008" s="26"/>
      <c r="F1008" s="82"/>
      <c r="G1008" s="83"/>
      <c r="H1008" s="84"/>
      <c r="I1008" s="80"/>
      <c r="J1008" s="80"/>
    </row>
    <row r="1009" spans="1:10" hidden="1" x14ac:dyDescent="0.25">
      <c r="A1009" s="78"/>
      <c r="B1009" s="79"/>
      <c r="C1009" s="80"/>
      <c r="D1009" s="81"/>
      <c r="E1009" s="26"/>
      <c r="F1009" s="82"/>
      <c r="G1009" s="83"/>
      <c r="H1009" s="84"/>
      <c r="I1009" s="80"/>
      <c r="J1009" s="80"/>
    </row>
    <row r="1010" spans="1:10" hidden="1" x14ac:dyDescent="0.25">
      <c r="A1010" s="78"/>
      <c r="B1010" s="79"/>
      <c r="C1010" s="80"/>
      <c r="D1010" s="81"/>
      <c r="E1010" s="26"/>
      <c r="F1010" s="82"/>
      <c r="G1010" s="83"/>
      <c r="H1010" s="84"/>
      <c r="I1010" s="80"/>
      <c r="J1010" s="80"/>
    </row>
    <row r="1011" spans="1:10" hidden="1" x14ac:dyDescent="0.25">
      <c r="A1011" s="78"/>
      <c r="B1011" s="79"/>
      <c r="C1011" s="80"/>
      <c r="D1011" s="81"/>
      <c r="E1011" s="26"/>
      <c r="F1011" s="82"/>
      <c r="G1011" s="83"/>
      <c r="H1011" s="84"/>
      <c r="I1011" s="80"/>
      <c r="J1011" s="80"/>
    </row>
    <row r="1012" spans="1:10" hidden="1" x14ac:dyDescent="0.25">
      <c r="A1012" s="78"/>
      <c r="B1012" s="79"/>
      <c r="C1012" s="80"/>
      <c r="D1012" s="81"/>
      <c r="E1012" s="26"/>
      <c r="F1012" s="82"/>
      <c r="G1012" s="83"/>
      <c r="H1012" s="84"/>
      <c r="I1012" s="80"/>
      <c r="J1012" s="80"/>
    </row>
    <row r="1013" spans="1:10" hidden="1" x14ac:dyDescent="0.25">
      <c r="A1013" s="78"/>
      <c r="B1013" s="79"/>
      <c r="C1013" s="80"/>
      <c r="D1013" s="81"/>
      <c r="E1013" s="26"/>
      <c r="F1013" s="82"/>
      <c r="G1013" s="83"/>
      <c r="H1013" s="84"/>
      <c r="I1013" s="80"/>
      <c r="J1013" s="80"/>
    </row>
    <row r="1014" spans="1:10" hidden="1" x14ac:dyDescent="0.25">
      <c r="A1014" s="78"/>
      <c r="B1014" s="79"/>
      <c r="C1014" s="80"/>
      <c r="D1014" s="81"/>
      <c r="E1014" s="26"/>
      <c r="F1014" s="82"/>
      <c r="G1014" s="83"/>
      <c r="H1014" s="84"/>
      <c r="I1014" s="80"/>
      <c r="J1014" s="80"/>
    </row>
    <row r="1015" spans="1:10" hidden="1" x14ac:dyDescent="0.25">
      <c r="A1015" s="78"/>
      <c r="B1015" s="79"/>
      <c r="C1015" s="80"/>
      <c r="D1015" s="81"/>
      <c r="E1015" s="26"/>
      <c r="F1015" s="82"/>
      <c r="G1015" s="83"/>
      <c r="H1015" s="84"/>
      <c r="I1015" s="80"/>
      <c r="J1015" s="80"/>
    </row>
    <row r="1016" spans="1:10" hidden="1" x14ac:dyDescent="0.25">
      <c r="A1016" s="78"/>
      <c r="B1016" s="79"/>
      <c r="C1016" s="80"/>
      <c r="D1016" s="81"/>
      <c r="E1016" s="26"/>
      <c r="F1016" s="82"/>
      <c r="G1016" s="83"/>
      <c r="H1016" s="84"/>
      <c r="I1016" s="80"/>
      <c r="J1016" s="80"/>
    </row>
    <row r="1017" spans="1:10" hidden="1" x14ac:dyDescent="0.25">
      <c r="A1017" s="78"/>
      <c r="B1017" s="79"/>
      <c r="C1017" s="80"/>
      <c r="D1017" s="81"/>
      <c r="E1017" s="26"/>
      <c r="F1017" s="82"/>
      <c r="G1017" s="83"/>
      <c r="H1017" s="84"/>
      <c r="I1017" s="80"/>
      <c r="J1017" s="80"/>
    </row>
    <row r="1018" spans="1:10" hidden="1" x14ac:dyDescent="0.25">
      <c r="A1018" s="78"/>
      <c r="B1018" s="79"/>
      <c r="C1018" s="80"/>
      <c r="D1018" s="81"/>
      <c r="E1018" s="26"/>
      <c r="F1018" s="82"/>
      <c r="G1018" s="83"/>
      <c r="H1018" s="84"/>
      <c r="I1018" s="80"/>
      <c r="J1018" s="80"/>
    </row>
    <row r="1019" spans="1:10" hidden="1" x14ac:dyDescent="0.25">
      <c r="A1019" s="78"/>
      <c r="B1019" s="79"/>
      <c r="C1019" s="80"/>
      <c r="D1019" s="81"/>
      <c r="E1019" s="26"/>
      <c r="F1019" s="82"/>
      <c r="G1019" s="83"/>
      <c r="H1019" s="84"/>
      <c r="I1019" s="80"/>
      <c r="J1019" s="80"/>
    </row>
    <row r="1020" spans="1:10" hidden="1" x14ac:dyDescent="0.25">
      <c r="A1020" s="78"/>
      <c r="B1020" s="79"/>
      <c r="C1020" s="80"/>
      <c r="D1020" s="81"/>
      <c r="E1020" s="26"/>
      <c r="F1020" s="82"/>
      <c r="G1020" s="83"/>
      <c r="H1020" s="84"/>
      <c r="I1020" s="80"/>
      <c r="J1020" s="80"/>
    </row>
    <row r="1021" spans="1:10" hidden="1" x14ac:dyDescent="0.25">
      <c r="A1021" s="78"/>
      <c r="B1021" s="79"/>
      <c r="C1021" s="80"/>
      <c r="D1021" s="81"/>
      <c r="E1021" s="26"/>
      <c r="F1021" s="82"/>
      <c r="G1021" s="83"/>
      <c r="H1021" s="84"/>
      <c r="I1021" s="80"/>
      <c r="J1021" s="80"/>
    </row>
    <row r="1022" spans="1:10" hidden="1" x14ac:dyDescent="0.25">
      <c r="A1022" s="78"/>
      <c r="B1022" s="79"/>
      <c r="C1022" s="80"/>
      <c r="D1022" s="81"/>
      <c r="E1022" s="26"/>
      <c r="F1022" s="82"/>
      <c r="G1022" s="83"/>
      <c r="H1022" s="84"/>
      <c r="I1022" s="80"/>
      <c r="J1022" s="80"/>
    </row>
    <row r="1023" spans="1:10" hidden="1" x14ac:dyDescent="0.25">
      <c r="A1023" s="78"/>
      <c r="B1023" s="79"/>
      <c r="C1023" s="80"/>
      <c r="D1023" s="81"/>
      <c r="E1023" s="26"/>
      <c r="F1023" s="82"/>
      <c r="G1023" s="83"/>
      <c r="H1023" s="84"/>
      <c r="I1023" s="80"/>
      <c r="J1023" s="80"/>
    </row>
    <row r="1024" spans="1:10" hidden="1" x14ac:dyDescent="0.25">
      <c r="A1024" s="78"/>
      <c r="B1024" s="79"/>
      <c r="C1024" s="80"/>
      <c r="D1024" s="81"/>
      <c r="E1024" s="26"/>
      <c r="F1024" s="82"/>
      <c r="G1024" s="83"/>
      <c r="H1024" s="84"/>
      <c r="I1024" s="80"/>
      <c r="J1024" s="80"/>
    </row>
    <row r="1025" spans="1:10" hidden="1" x14ac:dyDescent="0.25">
      <c r="A1025" s="78"/>
      <c r="B1025" s="79"/>
      <c r="C1025" s="80"/>
      <c r="D1025" s="81"/>
      <c r="E1025" s="26"/>
      <c r="F1025" s="82"/>
      <c r="G1025" s="83"/>
      <c r="H1025" s="84"/>
      <c r="I1025" s="80"/>
      <c r="J1025" s="80"/>
    </row>
    <row r="1026" spans="1:10" hidden="1" x14ac:dyDescent="0.25">
      <c r="A1026" s="78"/>
      <c r="B1026" s="79"/>
      <c r="C1026" s="80"/>
      <c r="D1026" s="81"/>
      <c r="E1026" s="26"/>
      <c r="F1026" s="82"/>
      <c r="G1026" s="83"/>
      <c r="H1026" s="84"/>
      <c r="I1026" s="80"/>
      <c r="J1026" s="80"/>
    </row>
    <row r="1027" spans="1:10" hidden="1" x14ac:dyDescent="0.25">
      <c r="A1027" s="78"/>
      <c r="B1027" s="79"/>
      <c r="C1027" s="80"/>
      <c r="D1027" s="81"/>
      <c r="E1027" s="26"/>
      <c r="F1027" s="82"/>
      <c r="G1027" s="83"/>
      <c r="H1027" s="84"/>
      <c r="I1027" s="80"/>
      <c r="J1027" s="80"/>
    </row>
    <row r="1028" spans="1:10" hidden="1" x14ac:dyDescent="0.25">
      <c r="A1028" s="78"/>
      <c r="B1028" s="79"/>
      <c r="C1028" s="80"/>
      <c r="D1028" s="81"/>
      <c r="E1028" s="26"/>
      <c r="F1028" s="82"/>
      <c r="G1028" s="83"/>
      <c r="H1028" s="84"/>
      <c r="I1028" s="80"/>
      <c r="J1028" s="80"/>
    </row>
    <row r="1029" spans="1:10" hidden="1" x14ac:dyDescent="0.25">
      <c r="A1029" s="78"/>
      <c r="B1029" s="79"/>
      <c r="C1029" s="80"/>
      <c r="D1029" s="81"/>
      <c r="E1029" s="26"/>
      <c r="F1029" s="82"/>
      <c r="G1029" s="83"/>
      <c r="H1029" s="84"/>
      <c r="I1029" s="80"/>
      <c r="J1029" s="80"/>
    </row>
    <row r="1030" spans="1:10" hidden="1" x14ac:dyDescent="0.25">
      <c r="A1030" s="78"/>
      <c r="B1030" s="79"/>
      <c r="C1030" s="80"/>
      <c r="D1030" s="81"/>
      <c r="E1030" s="26"/>
      <c r="F1030" s="82"/>
      <c r="G1030" s="83"/>
      <c r="H1030" s="84"/>
      <c r="I1030" s="80"/>
      <c r="J1030" s="80"/>
    </row>
    <row r="1031" spans="1:10" hidden="1" x14ac:dyDescent="0.25">
      <c r="A1031" s="78"/>
      <c r="B1031" s="79"/>
      <c r="C1031" s="80"/>
      <c r="D1031" s="81"/>
      <c r="E1031" s="26"/>
      <c r="F1031" s="82"/>
      <c r="G1031" s="83"/>
      <c r="H1031" s="84"/>
      <c r="I1031" s="80"/>
      <c r="J1031" s="80"/>
    </row>
    <row r="1032" spans="1:10" hidden="1" x14ac:dyDescent="0.25">
      <c r="A1032" s="78"/>
      <c r="B1032" s="79"/>
      <c r="C1032" s="80"/>
      <c r="D1032" s="81"/>
      <c r="E1032" s="26"/>
      <c r="F1032" s="82"/>
      <c r="G1032" s="83"/>
      <c r="H1032" s="84"/>
      <c r="I1032" s="80"/>
      <c r="J1032" s="80"/>
    </row>
    <row r="1033" spans="1:10" hidden="1" x14ac:dyDescent="0.25">
      <c r="A1033" s="78"/>
      <c r="B1033" s="79"/>
      <c r="C1033" s="80"/>
      <c r="D1033" s="81"/>
      <c r="E1033" s="26"/>
      <c r="F1033" s="82"/>
      <c r="G1033" s="83"/>
      <c r="H1033" s="84"/>
      <c r="I1033" s="80"/>
      <c r="J1033" s="80"/>
    </row>
    <row r="1034" spans="1:10" hidden="1" x14ac:dyDescent="0.25">
      <c r="A1034" s="78"/>
      <c r="B1034" s="79"/>
      <c r="C1034" s="80"/>
      <c r="D1034" s="81"/>
      <c r="E1034" s="26"/>
      <c r="F1034" s="82"/>
      <c r="G1034" s="83"/>
      <c r="H1034" s="84"/>
      <c r="I1034" s="80"/>
      <c r="J1034" s="80"/>
    </row>
    <row r="1035" spans="1:10" hidden="1" x14ac:dyDescent="0.25">
      <c r="A1035" s="78"/>
      <c r="B1035" s="79"/>
      <c r="C1035" s="80"/>
      <c r="D1035" s="81"/>
      <c r="E1035" s="26"/>
      <c r="F1035" s="82"/>
      <c r="G1035" s="83"/>
      <c r="H1035" s="84"/>
      <c r="I1035" s="80"/>
      <c r="J1035" s="80"/>
    </row>
    <row r="1036" spans="1:10" hidden="1" x14ac:dyDescent="0.25">
      <c r="A1036" s="78"/>
      <c r="B1036" s="79"/>
      <c r="C1036" s="80"/>
      <c r="D1036" s="81"/>
      <c r="E1036" s="26"/>
      <c r="F1036" s="82"/>
      <c r="G1036" s="83"/>
      <c r="H1036" s="84"/>
      <c r="I1036" s="80"/>
      <c r="J1036" s="80"/>
    </row>
    <row r="1037" spans="1:10" hidden="1" x14ac:dyDescent="0.25">
      <c r="A1037" s="78"/>
      <c r="B1037" s="79"/>
      <c r="C1037" s="80"/>
      <c r="D1037" s="81"/>
      <c r="E1037" s="26"/>
      <c r="F1037" s="82"/>
      <c r="G1037" s="83"/>
      <c r="H1037" s="84"/>
      <c r="I1037" s="80"/>
      <c r="J1037" s="80"/>
    </row>
    <row r="1038" spans="1:10" hidden="1" x14ac:dyDescent="0.25">
      <c r="A1038" s="78"/>
      <c r="B1038" s="79"/>
      <c r="C1038" s="80"/>
      <c r="D1038" s="81"/>
      <c r="E1038" s="26"/>
      <c r="F1038" s="82"/>
      <c r="G1038" s="83"/>
      <c r="H1038" s="84"/>
      <c r="I1038" s="80"/>
      <c r="J1038" s="80"/>
    </row>
    <row r="1039" spans="1:10" hidden="1" x14ac:dyDescent="0.25">
      <c r="A1039" s="78"/>
      <c r="B1039" s="79"/>
      <c r="C1039" s="80"/>
      <c r="D1039" s="81"/>
      <c r="E1039" s="26"/>
      <c r="F1039" s="82"/>
      <c r="G1039" s="83"/>
      <c r="H1039" s="84"/>
      <c r="I1039" s="80"/>
      <c r="J1039" s="80"/>
    </row>
    <row r="1040" spans="1:10" hidden="1" x14ac:dyDescent="0.25">
      <c r="A1040" s="78"/>
      <c r="B1040" s="79"/>
      <c r="C1040" s="80"/>
      <c r="D1040" s="81"/>
      <c r="E1040" s="26"/>
      <c r="F1040" s="82"/>
      <c r="G1040" s="83"/>
      <c r="H1040" s="84"/>
      <c r="I1040" s="80"/>
      <c r="J1040" s="80"/>
    </row>
    <row r="1041" spans="1:10" hidden="1" x14ac:dyDescent="0.25">
      <c r="A1041" s="78"/>
      <c r="B1041" s="79"/>
      <c r="C1041" s="80"/>
      <c r="D1041" s="81"/>
      <c r="E1041" s="26"/>
      <c r="F1041" s="82"/>
      <c r="G1041" s="83"/>
      <c r="H1041" s="84"/>
      <c r="I1041" s="80"/>
      <c r="J1041" s="80"/>
    </row>
    <row r="1042" spans="1:10" hidden="1" x14ac:dyDescent="0.25">
      <c r="A1042" s="78"/>
      <c r="B1042" s="79"/>
      <c r="C1042" s="80"/>
      <c r="D1042" s="81"/>
      <c r="E1042" s="26"/>
      <c r="F1042" s="82"/>
      <c r="G1042" s="83"/>
      <c r="H1042" s="84"/>
      <c r="I1042" s="80"/>
      <c r="J1042" s="80"/>
    </row>
    <row r="1043" spans="1:10" hidden="1" x14ac:dyDescent="0.25">
      <c r="A1043" s="78"/>
      <c r="B1043" s="79"/>
      <c r="C1043" s="80"/>
      <c r="D1043" s="81"/>
      <c r="E1043" s="26"/>
      <c r="F1043" s="82"/>
      <c r="G1043" s="83"/>
      <c r="H1043" s="84"/>
      <c r="I1043" s="80"/>
      <c r="J1043" s="80"/>
    </row>
    <row r="1044" spans="1:10" hidden="1" x14ac:dyDescent="0.25">
      <c r="A1044" s="78"/>
      <c r="B1044" s="79"/>
      <c r="C1044" s="80"/>
      <c r="D1044" s="81"/>
      <c r="E1044" s="26"/>
      <c r="F1044" s="82"/>
      <c r="G1044" s="83"/>
      <c r="H1044" s="84"/>
      <c r="I1044" s="80"/>
      <c r="J1044" s="80"/>
    </row>
    <row r="1045" spans="1:10" hidden="1" x14ac:dyDescent="0.25">
      <c r="A1045" s="78"/>
      <c r="B1045" s="79"/>
      <c r="C1045" s="80"/>
      <c r="D1045" s="81"/>
      <c r="E1045" s="26"/>
      <c r="F1045" s="82"/>
      <c r="G1045" s="83"/>
      <c r="H1045" s="84"/>
      <c r="I1045" s="80"/>
      <c r="J1045" s="80"/>
    </row>
    <row r="1046" spans="1:10" hidden="1" x14ac:dyDescent="0.25">
      <c r="A1046" s="78"/>
      <c r="B1046" s="79"/>
      <c r="C1046" s="80"/>
      <c r="D1046" s="81"/>
      <c r="E1046" s="26"/>
      <c r="F1046" s="82"/>
      <c r="G1046" s="83"/>
      <c r="H1046" s="84"/>
      <c r="I1046" s="80"/>
      <c r="J1046" s="80"/>
    </row>
    <row r="1047" spans="1:10" hidden="1" x14ac:dyDescent="0.25">
      <c r="A1047" s="78"/>
      <c r="B1047" s="79"/>
      <c r="C1047" s="80"/>
      <c r="D1047" s="81"/>
      <c r="E1047" s="26"/>
      <c r="F1047" s="82"/>
      <c r="G1047" s="83"/>
      <c r="H1047" s="84"/>
      <c r="I1047" s="80"/>
      <c r="J1047" s="80"/>
    </row>
    <row r="1048" spans="1:10" hidden="1" x14ac:dyDescent="0.25">
      <c r="A1048" s="78"/>
      <c r="B1048" s="79"/>
      <c r="C1048" s="80"/>
      <c r="D1048" s="81"/>
      <c r="E1048" s="26"/>
      <c r="F1048" s="82"/>
      <c r="G1048" s="83"/>
      <c r="H1048" s="84"/>
      <c r="I1048" s="80"/>
      <c r="J1048" s="80"/>
    </row>
    <row r="1049" spans="1:10" hidden="1" x14ac:dyDescent="0.25">
      <c r="A1049" s="78"/>
      <c r="B1049" s="79"/>
      <c r="C1049" s="80"/>
      <c r="D1049" s="81"/>
      <c r="E1049" s="26"/>
      <c r="F1049" s="82"/>
      <c r="G1049" s="83"/>
      <c r="H1049" s="84"/>
      <c r="I1049" s="80"/>
      <c r="J1049" s="80"/>
    </row>
    <row r="1050" spans="1:10" hidden="1" x14ac:dyDescent="0.25">
      <c r="A1050" s="78"/>
      <c r="B1050" s="79"/>
      <c r="C1050" s="80"/>
      <c r="D1050" s="81"/>
      <c r="E1050" s="26"/>
      <c r="F1050" s="82"/>
      <c r="G1050" s="83"/>
      <c r="H1050" s="84"/>
      <c r="I1050" s="80"/>
      <c r="J1050" s="80"/>
    </row>
    <row r="1051" spans="1:10" hidden="1" x14ac:dyDescent="0.25">
      <c r="A1051" s="78"/>
      <c r="B1051" s="79"/>
      <c r="C1051" s="80"/>
      <c r="D1051" s="81"/>
      <c r="E1051" s="26"/>
      <c r="F1051" s="82"/>
      <c r="G1051" s="83"/>
      <c r="H1051" s="84"/>
      <c r="I1051" s="80"/>
      <c r="J1051" s="80"/>
    </row>
    <row r="1052" spans="1:10" hidden="1" x14ac:dyDescent="0.25">
      <c r="A1052" s="78"/>
      <c r="B1052" s="79"/>
      <c r="C1052" s="80"/>
      <c r="D1052" s="81"/>
      <c r="E1052" s="26"/>
      <c r="F1052" s="82"/>
      <c r="G1052" s="83"/>
      <c r="H1052" s="84"/>
      <c r="I1052" s="80"/>
      <c r="J1052" s="80"/>
    </row>
    <row r="1053" spans="1:10" hidden="1" x14ac:dyDescent="0.25">
      <c r="A1053" s="78"/>
      <c r="B1053" s="79"/>
      <c r="C1053" s="80"/>
      <c r="D1053" s="81"/>
      <c r="E1053" s="26"/>
      <c r="F1053" s="82"/>
      <c r="G1053" s="83"/>
      <c r="H1053" s="84"/>
      <c r="I1053" s="80"/>
      <c r="J1053" s="80"/>
    </row>
    <row r="1054" spans="1:10" hidden="1" x14ac:dyDescent="0.25">
      <c r="A1054" s="78"/>
      <c r="B1054" s="79"/>
      <c r="C1054" s="80"/>
      <c r="D1054" s="81"/>
      <c r="E1054" s="26"/>
      <c r="F1054" s="82"/>
      <c r="G1054" s="83"/>
      <c r="H1054" s="84"/>
      <c r="I1054" s="80"/>
      <c r="J1054" s="80"/>
    </row>
    <row r="1055" spans="1:10" hidden="1" x14ac:dyDescent="0.25">
      <c r="A1055" s="78"/>
      <c r="B1055" s="79"/>
      <c r="C1055" s="80"/>
      <c r="D1055" s="81"/>
      <c r="E1055" s="26"/>
      <c r="F1055" s="82"/>
      <c r="G1055" s="83"/>
      <c r="H1055" s="84"/>
      <c r="I1055" s="80"/>
      <c r="J1055" s="80"/>
    </row>
    <row r="1056" spans="1:10" hidden="1" x14ac:dyDescent="0.25">
      <c r="A1056" s="78"/>
      <c r="B1056" s="79"/>
      <c r="C1056" s="80"/>
      <c r="D1056" s="81"/>
      <c r="E1056" s="26"/>
      <c r="F1056" s="82"/>
      <c r="G1056" s="83"/>
      <c r="H1056" s="84"/>
      <c r="I1056" s="80"/>
      <c r="J1056" s="80"/>
    </row>
    <row r="1057" spans="1:10" hidden="1" x14ac:dyDescent="0.25">
      <c r="A1057" s="78"/>
      <c r="B1057" s="79"/>
      <c r="C1057" s="80"/>
      <c r="D1057" s="81"/>
      <c r="E1057" s="26"/>
      <c r="F1057" s="82"/>
      <c r="G1057" s="83"/>
      <c r="H1057" s="84"/>
      <c r="I1057" s="80"/>
      <c r="J1057" s="80"/>
    </row>
    <row r="1058" spans="1:10" hidden="1" x14ac:dyDescent="0.25">
      <c r="A1058" s="78"/>
      <c r="B1058" s="79"/>
      <c r="C1058" s="80"/>
      <c r="D1058" s="81"/>
      <c r="E1058" s="26"/>
      <c r="F1058" s="82"/>
      <c r="G1058" s="83"/>
      <c r="H1058" s="84"/>
      <c r="I1058" s="80"/>
      <c r="J1058" s="80"/>
    </row>
    <row r="1059" spans="1:10" hidden="1" x14ac:dyDescent="0.25">
      <c r="A1059" s="78"/>
      <c r="B1059" s="79"/>
      <c r="C1059" s="80"/>
      <c r="D1059" s="81"/>
      <c r="E1059" s="26"/>
      <c r="F1059" s="82"/>
      <c r="G1059" s="83"/>
      <c r="H1059" s="84"/>
      <c r="I1059" s="80"/>
      <c r="J1059" s="80"/>
    </row>
    <row r="1060" spans="1:10" hidden="1" x14ac:dyDescent="0.25">
      <c r="A1060" s="78"/>
      <c r="B1060" s="79"/>
      <c r="C1060" s="80"/>
      <c r="D1060" s="81"/>
      <c r="E1060" s="26"/>
      <c r="F1060" s="82"/>
      <c r="G1060" s="83"/>
      <c r="H1060" s="84"/>
      <c r="I1060" s="80"/>
      <c r="J1060" s="80"/>
    </row>
    <row r="1061" spans="1:10" hidden="1" x14ac:dyDescent="0.25">
      <c r="A1061" s="78"/>
      <c r="B1061" s="79"/>
      <c r="C1061" s="80"/>
      <c r="D1061" s="81"/>
      <c r="E1061" s="26"/>
      <c r="F1061" s="82"/>
      <c r="G1061" s="83"/>
      <c r="H1061" s="84"/>
      <c r="I1061" s="80"/>
      <c r="J1061" s="80"/>
    </row>
    <row r="1062" spans="1:10" hidden="1" x14ac:dyDescent="0.25">
      <c r="A1062" s="78"/>
      <c r="B1062" s="79"/>
      <c r="C1062" s="80"/>
      <c r="D1062" s="81"/>
      <c r="E1062" s="26"/>
      <c r="F1062" s="82"/>
      <c r="G1062" s="83"/>
      <c r="H1062" s="84"/>
      <c r="I1062" s="80"/>
      <c r="J1062" s="80"/>
    </row>
    <row r="1063" spans="1:10" hidden="1" x14ac:dyDescent="0.25">
      <c r="A1063" s="78"/>
      <c r="B1063" s="79"/>
      <c r="C1063" s="80"/>
      <c r="D1063" s="81"/>
      <c r="E1063" s="26"/>
      <c r="F1063" s="82"/>
      <c r="G1063" s="83"/>
      <c r="H1063" s="84"/>
      <c r="I1063" s="80"/>
      <c r="J1063" s="80"/>
    </row>
    <row r="1064" spans="1:10" hidden="1" x14ac:dyDescent="0.25">
      <c r="A1064" s="78"/>
      <c r="B1064" s="79"/>
      <c r="C1064" s="80"/>
      <c r="D1064" s="81"/>
      <c r="E1064" s="26"/>
      <c r="F1064" s="82"/>
      <c r="G1064" s="83"/>
      <c r="H1064" s="84"/>
      <c r="I1064" s="80"/>
      <c r="J1064" s="80"/>
    </row>
    <row r="1065" spans="1:10" hidden="1" x14ac:dyDescent="0.25">
      <c r="A1065" s="78"/>
      <c r="B1065" s="79"/>
      <c r="C1065" s="80"/>
      <c r="D1065" s="81"/>
      <c r="E1065" s="26"/>
      <c r="F1065" s="82"/>
      <c r="G1065" s="83"/>
      <c r="H1065" s="84"/>
      <c r="I1065" s="80"/>
      <c r="J1065" s="80"/>
    </row>
    <row r="1066" spans="1:10" hidden="1" x14ac:dyDescent="0.25">
      <c r="A1066" s="78"/>
      <c r="B1066" s="79"/>
      <c r="C1066" s="80"/>
      <c r="D1066" s="81"/>
      <c r="E1066" s="26"/>
      <c r="F1066" s="82"/>
      <c r="G1066" s="83"/>
      <c r="H1066" s="84"/>
      <c r="I1066" s="80"/>
      <c r="J1066" s="80"/>
    </row>
    <row r="1067" spans="1:10" hidden="1" x14ac:dyDescent="0.25">
      <c r="A1067" s="78"/>
      <c r="B1067" s="79"/>
      <c r="C1067" s="80"/>
      <c r="D1067" s="81"/>
      <c r="E1067" s="26"/>
      <c r="F1067" s="82"/>
      <c r="G1067" s="83"/>
      <c r="H1067" s="84"/>
      <c r="I1067" s="80"/>
      <c r="J1067" s="80"/>
    </row>
    <row r="1068" spans="1:10" hidden="1" x14ac:dyDescent="0.25">
      <c r="A1068" s="78"/>
      <c r="B1068" s="79"/>
      <c r="C1068" s="80"/>
      <c r="D1068" s="81"/>
      <c r="E1068" s="26"/>
      <c r="F1068" s="82"/>
      <c r="G1068" s="83"/>
      <c r="H1068" s="84"/>
      <c r="I1068" s="80"/>
      <c r="J1068" s="80"/>
    </row>
    <row r="1069" spans="1:10" hidden="1" x14ac:dyDescent="0.25">
      <c r="A1069" s="78"/>
      <c r="B1069" s="79"/>
      <c r="C1069" s="80"/>
      <c r="D1069" s="81"/>
      <c r="E1069" s="26"/>
      <c r="F1069" s="82"/>
      <c r="G1069" s="83"/>
      <c r="H1069" s="84"/>
      <c r="I1069" s="80"/>
      <c r="J1069" s="80"/>
    </row>
    <row r="1070" spans="1:10" hidden="1" x14ac:dyDescent="0.25">
      <c r="A1070" s="78"/>
      <c r="B1070" s="79"/>
      <c r="C1070" s="80"/>
      <c r="D1070" s="81"/>
      <c r="E1070" s="26"/>
      <c r="F1070" s="82"/>
      <c r="G1070" s="83"/>
      <c r="H1070" s="84"/>
      <c r="I1070" s="80"/>
      <c r="J1070" s="80"/>
    </row>
    <row r="1071" spans="1:10" hidden="1" x14ac:dyDescent="0.25">
      <c r="A1071" s="78"/>
      <c r="B1071" s="79"/>
      <c r="C1071" s="80"/>
      <c r="D1071" s="81"/>
      <c r="E1071" s="26"/>
      <c r="F1071" s="82"/>
      <c r="G1071" s="83"/>
      <c r="H1071" s="84"/>
      <c r="I1071" s="80"/>
      <c r="J1071" s="80"/>
    </row>
    <row r="1072" spans="1:10" hidden="1" x14ac:dyDescent="0.25">
      <c r="A1072" s="78"/>
      <c r="B1072" s="79"/>
      <c r="C1072" s="80"/>
      <c r="D1072" s="81"/>
      <c r="E1072" s="26"/>
      <c r="F1072" s="82"/>
      <c r="G1072" s="83"/>
      <c r="H1072" s="84"/>
      <c r="I1072" s="80"/>
      <c r="J1072" s="80"/>
    </row>
    <row r="1073" spans="1:10" hidden="1" x14ac:dyDescent="0.25">
      <c r="A1073" s="78"/>
      <c r="B1073" s="79"/>
      <c r="C1073" s="80"/>
      <c r="D1073" s="81"/>
      <c r="E1073" s="26"/>
      <c r="F1073" s="82"/>
      <c r="G1073" s="83"/>
      <c r="H1073" s="84"/>
      <c r="I1073" s="80"/>
      <c r="J1073" s="80"/>
    </row>
    <row r="1074" spans="1:10" hidden="1" x14ac:dyDescent="0.25">
      <c r="A1074" s="78"/>
      <c r="B1074" s="79"/>
      <c r="C1074" s="80"/>
      <c r="D1074" s="81"/>
      <c r="E1074" s="26"/>
      <c r="F1074" s="82"/>
      <c r="G1074" s="83"/>
      <c r="H1074" s="84"/>
      <c r="I1074" s="80"/>
      <c r="J1074" s="80"/>
    </row>
    <row r="1075" spans="1:10" hidden="1" x14ac:dyDescent="0.25">
      <c r="A1075" s="78"/>
      <c r="B1075" s="79"/>
      <c r="C1075" s="80"/>
      <c r="D1075" s="81"/>
      <c r="E1075" s="26"/>
      <c r="F1075" s="82"/>
      <c r="G1075" s="83"/>
      <c r="H1075" s="84"/>
      <c r="I1075" s="80"/>
      <c r="J1075" s="80"/>
    </row>
    <row r="1076" spans="1:10" hidden="1" x14ac:dyDescent="0.25">
      <c r="A1076" s="78"/>
      <c r="B1076" s="79"/>
      <c r="C1076" s="80"/>
      <c r="D1076" s="81"/>
      <c r="E1076" s="26"/>
      <c r="F1076" s="82"/>
      <c r="G1076" s="83"/>
      <c r="H1076" s="84"/>
      <c r="I1076" s="80"/>
      <c r="J1076" s="80"/>
    </row>
    <row r="1077" spans="1:10" hidden="1" x14ac:dyDescent="0.25">
      <c r="A1077" s="78"/>
      <c r="B1077" s="79"/>
      <c r="C1077" s="80"/>
      <c r="D1077" s="81"/>
      <c r="E1077" s="26"/>
      <c r="F1077" s="82"/>
      <c r="G1077" s="83"/>
      <c r="H1077" s="84"/>
      <c r="I1077" s="80"/>
      <c r="J1077" s="80"/>
    </row>
    <row r="1078" spans="1:10" hidden="1" x14ac:dyDescent="0.25">
      <c r="A1078" s="78"/>
      <c r="B1078" s="79"/>
      <c r="C1078" s="80"/>
      <c r="D1078" s="81"/>
      <c r="E1078" s="26"/>
      <c r="F1078" s="82"/>
      <c r="G1078" s="83"/>
      <c r="H1078" s="84"/>
      <c r="I1078" s="80"/>
      <c r="J1078" s="80"/>
    </row>
    <row r="1079" spans="1:10" hidden="1" x14ac:dyDescent="0.25">
      <c r="A1079" s="78"/>
      <c r="B1079" s="79"/>
      <c r="C1079" s="80"/>
      <c r="D1079" s="81"/>
      <c r="E1079" s="26"/>
      <c r="F1079" s="82"/>
      <c r="G1079" s="83"/>
      <c r="H1079" s="84"/>
      <c r="I1079" s="80"/>
      <c r="J1079" s="80"/>
    </row>
    <row r="1080" spans="1:10" hidden="1" x14ac:dyDescent="0.25">
      <c r="A1080" s="78"/>
      <c r="B1080" s="79"/>
      <c r="C1080" s="80"/>
      <c r="D1080" s="81"/>
      <c r="E1080" s="26"/>
      <c r="F1080" s="82"/>
      <c r="G1080" s="83"/>
      <c r="H1080" s="84"/>
      <c r="I1080" s="80"/>
      <c r="J1080" s="80"/>
    </row>
    <row r="1081" spans="1:10" hidden="1" x14ac:dyDescent="0.25">
      <c r="A1081" s="78"/>
      <c r="B1081" s="79"/>
      <c r="C1081" s="80"/>
      <c r="D1081" s="81"/>
      <c r="E1081" s="26"/>
      <c r="F1081" s="82"/>
      <c r="G1081" s="83"/>
      <c r="H1081" s="84"/>
      <c r="I1081" s="80"/>
      <c r="J1081" s="80"/>
    </row>
    <row r="1082" spans="1:10" hidden="1" x14ac:dyDescent="0.25">
      <c r="A1082" s="78"/>
      <c r="B1082" s="79"/>
      <c r="C1082" s="80"/>
      <c r="D1082" s="81"/>
      <c r="E1082" s="26"/>
      <c r="F1082" s="82"/>
      <c r="G1082" s="83"/>
      <c r="H1082" s="84"/>
      <c r="I1082" s="80"/>
      <c r="J1082" s="80"/>
    </row>
    <row r="1083" spans="1:10" hidden="1" x14ac:dyDescent="0.25">
      <c r="A1083" s="78"/>
      <c r="B1083" s="79"/>
      <c r="C1083" s="80"/>
      <c r="D1083" s="81"/>
      <c r="E1083" s="26"/>
      <c r="F1083" s="82"/>
      <c r="G1083" s="83"/>
      <c r="H1083" s="84"/>
      <c r="I1083" s="80"/>
      <c r="J1083" s="80"/>
    </row>
    <row r="1084" spans="1:10" hidden="1" x14ac:dyDescent="0.25">
      <c r="A1084" s="78"/>
      <c r="B1084" s="79"/>
      <c r="C1084" s="80"/>
      <c r="D1084" s="81"/>
      <c r="E1084" s="26"/>
      <c r="F1084" s="82"/>
      <c r="G1084" s="83"/>
      <c r="H1084" s="84"/>
      <c r="I1084" s="80"/>
      <c r="J1084" s="80"/>
    </row>
    <row r="1085" spans="1:10" hidden="1" x14ac:dyDescent="0.25">
      <c r="A1085" s="78"/>
      <c r="B1085" s="79"/>
      <c r="C1085" s="80"/>
      <c r="D1085" s="81"/>
      <c r="E1085" s="26"/>
      <c r="F1085" s="82"/>
      <c r="G1085" s="83"/>
      <c r="H1085" s="84"/>
      <c r="I1085" s="80"/>
      <c r="J1085" s="80"/>
    </row>
    <row r="1086" spans="1:10" hidden="1" x14ac:dyDescent="0.25">
      <c r="A1086" s="78"/>
      <c r="B1086" s="79"/>
      <c r="C1086" s="80"/>
      <c r="D1086" s="81"/>
      <c r="E1086" s="26"/>
      <c r="F1086" s="82"/>
      <c r="G1086" s="83"/>
      <c r="H1086" s="84"/>
      <c r="I1086" s="80"/>
      <c r="J1086" s="80"/>
    </row>
    <row r="1087" spans="1:10" hidden="1" x14ac:dyDescent="0.25">
      <c r="A1087" s="78"/>
      <c r="B1087" s="79"/>
      <c r="C1087" s="80"/>
      <c r="D1087" s="81"/>
      <c r="E1087" s="26"/>
      <c r="F1087" s="82"/>
      <c r="G1087" s="83"/>
      <c r="H1087" s="84"/>
      <c r="I1087" s="80"/>
      <c r="J1087" s="80"/>
    </row>
    <row r="1088" spans="1:10" hidden="1" x14ac:dyDescent="0.25">
      <c r="A1088" s="78"/>
      <c r="B1088" s="79"/>
      <c r="C1088" s="80"/>
      <c r="D1088" s="81"/>
      <c r="E1088" s="26"/>
      <c r="F1088" s="82"/>
      <c r="G1088" s="83"/>
      <c r="H1088" s="84"/>
      <c r="I1088" s="80"/>
      <c r="J1088" s="80"/>
    </row>
    <row r="1089" spans="1:10" hidden="1" x14ac:dyDescent="0.25">
      <c r="A1089" s="78"/>
      <c r="B1089" s="79"/>
      <c r="C1089" s="80"/>
      <c r="D1089" s="81"/>
      <c r="E1089" s="26"/>
      <c r="F1089" s="82"/>
      <c r="G1089" s="83"/>
      <c r="H1089" s="84"/>
      <c r="I1089" s="80"/>
      <c r="J1089" s="80"/>
    </row>
    <row r="1090" spans="1:10" hidden="1" x14ac:dyDescent="0.25">
      <c r="A1090" s="78"/>
      <c r="B1090" s="79"/>
      <c r="C1090" s="80"/>
      <c r="D1090" s="81"/>
      <c r="E1090" s="26"/>
      <c r="F1090" s="82"/>
      <c r="G1090" s="83"/>
      <c r="H1090" s="84"/>
      <c r="I1090" s="80"/>
      <c r="J1090" s="80"/>
    </row>
    <row r="1091" spans="1:10" hidden="1" x14ac:dyDescent="0.25">
      <c r="A1091" s="78"/>
      <c r="B1091" s="79"/>
      <c r="C1091" s="80"/>
      <c r="D1091" s="81"/>
      <c r="E1091" s="26"/>
      <c r="F1091" s="82"/>
      <c r="G1091" s="83"/>
      <c r="H1091" s="84"/>
      <c r="I1091" s="80"/>
      <c r="J1091" s="80"/>
    </row>
    <row r="1092" spans="1:10" hidden="1" x14ac:dyDescent="0.25">
      <c r="A1092" s="78"/>
      <c r="B1092" s="79"/>
      <c r="C1092" s="80"/>
      <c r="D1092" s="81"/>
      <c r="E1092" s="26"/>
      <c r="F1092" s="82"/>
      <c r="G1092" s="83"/>
      <c r="H1092" s="84"/>
      <c r="I1092" s="80"/>
      <c r="J1092" s="80"/>
    </row>
    <row r="1093" spans="1:10" hidden="1" x14ac:dyDescent="0.25">
      <c r="A1093" s="78"/>
      <c r="B1093" s="79"/>
      <c r="C1093" s="80"/>
      <c r="D1093" s="81"/>
      <c r="E1093" s="26"/>
      <c r="F1093" s="82"/>
      <c r="G1093" s="83"/>
      <c r="H1093" s="84"/>
      <c r="I1093" s="80"/>
      <c r="J1093" s="80"/>
    </row>
    <row r="1094" spans="1:10" hidden="1" x14ac:dyDescent="0.25">
      <c r="A1094" s="78"/>
      <c r="B1094" s="79"/>
      <c r="C1094" s="80"/>
      <c r="D1094" s="81"/>
      <c r="E1094" s="26"/>
      <c r="F1094" s="82"/>
      <c r="G1094" s="83"/>
      <c r="H1094" s="84"/>
      <c r="I1094" s="80"/>
      <c r="J1094" s="80"/>
    </row>
    <row r="1095" spans="1:10" hidden="1" x14ac:dyDescent="0.25">
      <c r="A1095" s="78"/>
      <c r="B1095" s="79"/>
      <c r="C1095" s="80"/>
      <c r="D1095" s="81"/>
      <c r="E1095" s="26"/>
      <c r="F1095" s="82"/>
      <c r="G1095" s="83"/>
      <c r="H1095" s="84"/>
      <c r="I1095" s="80"/>
      <c r="J1095" s="80"/>
    </row>
    <row r="1096" spans="1:10" hidden="1" x14ac:dyDescent="0.25">
      <c r="A1096" s="78"/>
      <c r="B1096" s="79"/>
      <c r="C1096" s="80"/>
      <c r="D1096" s="81"/>
      <c r="E1096" s="26"/>
      <c r="F1096" s="82"/>
      <c r="G1096" s="83"/>
      <c r="H1096" s="84"/>
      <c r="I1096" s="80"/>
      <c r="J1096" s="80"/>
    </row>
    <row r="1097" spans="1:10" hidden="1" x14ac:dyDescent="0.25">
      <c r="A1097" s="78"/>
      <c r="B1097" s="79"/>
      <c r="C1097" s="80"/>
      <c r="D1097" s="81"/>
      <c r="E1097" s="26"/>
      <c r="F1097" s="82"/>
      <c r="G1097" s="83"/>
      <c r="H1097" s="84"/>
      <c r="I1097" s="80"/>
      <c r="J1097" s="80"/>
    </row>
    <row r="1098" spans="1:10" hidden="1" x14ac:dyDescent="0.25">
      <c r="A1098" s="78"/>
      <c r="B1098" s="79"/>
      <c r="C1098" s="80"/>
      <c r="D1098" s="81"/>
      <c r="E1098" s="26"/>
      <c r="F1098" s="82"/>
      <c r="G1098" s="83"/>
      <c r="H1098" s="84"/>
      <c r="I1098" s="80"/>
      <c r="J1098" s="80"/>
    </row>
    <row r="1099" spans="1:10" hidden="1" x14ac:dyDescent="0.25">
      <c r="A1099" s="78"/>
      <c r="B1099" s="79"/>
      <c r="C1099" s="80"/>
      <c r="D1099" s="81"/>
      <c r="E1099" s="26"/>
      <c r="F1099" s="82"/>
      <c r="G1099" s="83"/>
      <c r="H1099" s="84"/>
      <c r="I1099" s="80"/>
      <c r="J1099" s="80"/>
    </row>
    <row r="1100" spans="1:10" hidden="1" x14ac:dyDescent="0.25">
      <c r="A1100" s="78"/>
      <c r="B1100" s="79"/>
      <c r="C1100" s="80"/>
      <c r="D1100" s="81"/>
      <c r="E1100" s="26"/>
      <c r="F1100" s="82"/>
      <c r="G1100" s="83"/>
      <c r="H1100" s="84"/>
      <c r="I1100" s="80"/>
      <c r="J1100" s="80"/>
    </row>
    <row r="1101" spans="1:10" hidden="1" x14ac:dyDescent="0.25">
      <c r="A1101" s="78"/>
      <c r="B1101" s="79"/>
      <c r="C1101" s="80"/>
      <c r="D1101" s="81"/>
      <c r="E1101" s="26"/>
      <c r="F1101" s="82"/>
      <c r="G1101" s="83"/>
      <c r="H1101" s="84"/>
      <c r="I1101" s="80"/>
      <c r="J1101" s="80"/>
    </row>
    <row r="1102" spans="1:10" hidden="1" x14ac:dyDescent="0.25">
      <c r="A1102" s="78"/>
      <c r="B1102" s="79"/>
      <c r="C1102" s="80"/>
      <c r="D1102" s="81"/>
      <c r="E1102" s="26"/>
      <c r="F1102" s="82"/>
      <c r="G1102" s="83"/>
      <c r="H1102" s="84"/>
      <c r="I1102" s="80"/>
      <c r="J1102" s="80"/>
    </row>
    <row r="1103" spans="1:10" hidden="1" x14ac:dyDescent="0.25">
      <c r="A1103" s="78"/>
      <c r="B1103" s="79"/>
      <c r="C1103" s="80"/>
      <c r="D1103" s="81"/>
      <c r="E1103" s="26"/>
      <c r="F1103" s="82"/>
      <c r="G1103" s="83"/>
      <c r="H1103" s="84"/>
      <c r="I1103" s="80"/>
      <c r="J1103" s="80"/>
    </row>
    <row r="1104" spans="1:10" hidden="1" x14ac:dyDescent="0.25">
      <c r="A1104" s="78"/>
      <c r="B1104" s="79"/>
      <c r="C1104" s="80"/>
      <c r="D1104" s="81"/>
      <c r="E1104" s="26"/>
      <c r="F1104" s="82"/>
      <c r="G1104" s="83"/>
      <c r="H1104" s="84"/>
      <c r="I1104" s="80"/>
      <c r="J1104" s="80"/>
    </row>
    <row r="1105" spans="1:10" hidden="1" x14ac:dyDescent="0.25">
      <c r="A1105" s="78"/>
      <c r="B1105" s="79"/>
      <c r="C1105" s="80"/>
      <c r="D1105" s="81"/>
      <c r="E1105" s="26"/>
      <c r="F1105" s="82"/>
      <c r="G1105" s="83"/>
      <c r="H1105" s="84"/>
      <c r="I1105" s="80"/>
      <c r="J1105" s="80"/>
    </row>
    <row r="1106" spans="1:10" hidden="1" x14ac:dyDescent="0.25">
      <c r="A1106" s="78"/>
      <c r="B1106" s="79"/>
      <c r="C1106" s="80"/>
      <c r="D1106" s="81"/>
      <c r="E1106" s="26"/>
      <c r="F1106" s="82"/>
      <c r="G1106" s="83"/>
      <c r="H1106" s="84"/>
      <c r="I1106" s="80"/>
      <c r="J1106" s="80"/>
    </row>
    <row r="1107" spans="1:10" hidden="1" x14ac:dyDescent="0.25">
      <c r="A1107" s="78"/>
      <c r="B1107" s="79"/>
      <c r="C1107" s="80"/>
      <c r="D1107" s="81"/>
      <c r="E1107" s="26"/>
      <c r="F1107" s="82"/>
      <c r="G1107" s="83"/>
      <c r="H1107" s="84"/>
      <c r="I1107" s="80"/>
      <c r="J1107" s="80"/>
    </row>
    <row r="1108" spans="1:10" hidden="1" x14ac:dyDescent="0.25">
      <c r="A1108" s="78"/>
      <c r="B1108" s="79"/>
      <c r="C1108" s="80"/>
      <c r="D1108" s="81"/>
      <c r="E1108" s="26"/>
      <c r="F1108" s="82"/>
      <c r="G1108" s="83"/>
      <c r="H1108" s="84"/>
      <c r="I1108" s="80"/>
      <c r="J1108" s="80"/>
    </row>
    <row r="1109" spans="1:10" hidden="1" x14ac:dyDescent="0.25">
      <c r="A1109" s="78"/>
      <c r="B1109" s="79"/>
      <c r="C1109" s="80"/>
      <c r="D1109" s="81"/>
      <c r="E1109" s="26"/>
      <c r="F1109" s="82"/>
      <c r="G1109" s="83"/>
      <c r="H1109" s="84"/>
      <c r="I1109" s="80"/>
      <c r="J1109" s="80"/>
    </row>
    <row r="1110" spans="1:10" hidden="1" x14ac:dyDescent="0.25">
      <c r="A1110" s="78"/>
      <c r="B1110" s="79"/>
      <c r="C1110" s="80"/>
      <c r="D1110" s="81"/>
      <c r="E1110" s="26"/>
      <c r="F1110" s="82"/>
      <c r="G1110" s="83"/>
      <c r="H1110" s="84"/>
      <c r="I1110" s="80"/>
      <c r="J1110" s="80"/>
    </row>
    <row r="1111" spans="1:10" hidden="1" x14ac:dyDescent="0.25">
      <c r="A1111" s="78"/>
      <c r="B1111" s="79"/>
      <c r="C1111" s="80"/>
      <c r="D1111" s="81"/>
      <c r="E1111" s="26"/>
      <c r="F1111" s="82"/>
      <c r="G1111" s="83"/>
      <c r="H1111" s="84"/>
      <c r="I1111" s="80"/>
      <c r="J1111" s="80"/>
    </row>
    <row r="1112" spans="1:10" hidden="1" x14ac:dyDescent="0.25">
      <c r="A1112" s="78"/>
      <c r="B1112" s="79"/>
      <c r="C1112" s="80"/>
      <c r="D1112" s="81"/>
      <c r="E1112" s="26"/>
      <c r="F1112" s="82"/>
      <c r="G1112" s="83"/>
      <c r="H1112" s="84"/>
      <c r="I1112" s="80"/>
      <c r="J1112" s="80"/>
    </row>
    <row r="1113" spans="1:10" hidden="1" x14ac:dyDescent="0.25">
      <c r="A1113" s="78"/>
      <c r="B1113" s="79"/>
      <c r="C1113" s="80"/>
      <c r="D1113" s="81"/>
      <c r="E1113" s="26"/>
      <c r="F1113" s="82"/>
      <c r="G1113" s="83"/>
      <c r="H1113" s="84"/>
      <c r="I1113" s="80"/>
      <c r="J1113" s="80"/>
    </row>
    <row r="1114" spans="1:10" hidden="1" x14ac:dyDescent="0.25">
      <c r="A1114" s="78"/>
      <c r="B1114" s="79"/>
      <c r="C1114" s="80"/>
      <c r="D1114" s="81"/>
      <c r="E1114" s="26"/>
      <c r="F1114" s="82"/>
      <c r="G1114" s="83"/>
      <c r="H1114" s="84"/>
      <c r="I1114" s="80"/>
      <c r="J1114" s="80"/>
    </row>
    <row r="1115" spans="1:10" hidden="1" x14ac:dyDescent="0.25">
      <c r="A1115" s="78"/>
      <c r="B1115" s="79"/>
      <c r="C1115" s="80"/>
      <c r="D1115" s="81"/>
      <c r="E1115" s="26"/>
      <c r="F1115" s="82"/>
      <c r="G1115" s="83"/>
      <c r="H1115" s="84"/>
      <c r="I1115" s="80"/>
      <c r="J1115" s="80"/>
    </row>
    <row r="1116" spans="1:10" hidden="1" x14ac:dyDescent="0.25">
      <c r="A1116" s="78"/>
      <c r="B1116" s="79"/>
      <c r="C1116" s="80"/>
      <c r="D1116" s="81"/>
      <c r="E1116" s="26"/>
      <c r="F1116" s="82"/>
      <c r="G1116" s="83"/>
      <c r="H1116" s="84"/>
      <c r="I1116" s="80"/>
      <c r="J1116" s="80"/>
    </row>
    <row r="1117" spans="1:10" hidden="1" x14ac:dyDescent="0.25">
      <c r="A1117" s="78"/>
      <c r="B1117" s="79"/>
      <c r="C1117" s="80"/>
      <c r="D1117" s="81"/>
      <c r="E1117" s="26"/>
      <c r="F1117" s="82"/>
      <c r="G1117" s="83"/>
      <c r="H1117" s="84"/>
      <c r="I1117" s="80"/>
      <c r="J1117" s="80"/>
    </row>
    <row r="1118" spans="1:10" hidden="1" x14ac:dyDescent="0.25">
      <c r="A1118" s="78"/>
      <c r="B1118" s="79"/>
      <c r="C1118" s="80"/>
      <c r="D1118" s="81"/>
      <c r="E1118" s="26"/>
      <c r="F1118" s="82"/>
      <c r="G1118" s="83"/>
      <c r="H1118" s="84"/>
      <c r="I1118" s="80"/>
      <c r="J1118" s="80"/>
    </row>
    <row r="1119" spans="1:10" hidden="1" x14ac:dyDescent="0.25">
      <c r="A1119" s="78"/>
      <c r="B1119" s="79"/>
      <c r="C1119" s="80"/>
      <c r="D1119" s="81"/>
      <c r="E1119" s="26"/>
      <c r="F1119" s="82"/>
      <c r="G1119" s="83"/>
      <c r="H1119" s="84"/>
      <c r="I1119" s="80"/>
      <c r="J1119" s="80"/>
    </row>
    <row r="1120" spans="1:10" hidden="1" x14ac:dyDescent="0.25">
      <c r="A1120" s="78"/>
      <c r="B1120" s="79"/>
      <c r="C1120" s="80"/>
      <c r="D1120" s="81"/>
      <c r="E1120" s="26"/>
      <c r="F1120" s="82"/>
      <c r="G1120" s="83"/>
      <c r="H1120" s="84"/>
      <c r="I1120" s="80"/>
      <c r="J1120" s="80"/>
    </row>
    <row r="1121" spans="1:10" hidden="1" x14ac:dyDescent="0.25">
      <c r="A1121" s="78"/>
      <c r="B1121" s="79"/>
      <c r="C1121" s="80"/>
      <c r="D1121" s="81"/>
      <c r="E1121" s="26"/>
      <c r="F1121" s="82"/>
      <c r="G1121" s="83"/>
      <c r="H1121" s="84"/>
      <c r="I1121" s="80"/>
      <c r="J1121" s="80"/>
    </row>
    <row r="1122" spans="1:10" hidden="1" x14ac:dyDescent="0.25">
      <c r="A1122" s="78"/>
      <c r="B1122" s="79"/>
      <c r="C1122" s="80"/>
      <c r="D1122" s="81"/>
      <c r="E1122" s="26"/>
      <c r="F1122" s="82"/>
      <c r="G1122" s="83"/>
      <c r="H1122" s="84"/>
      <c r="I1122" s="80"/>
      <c r="J1122" s="80"/>
    </row>
    <row r="1123" spans="1:10" hidden="1" x14ac:dyDescent="0.25">
      <c r="A1123" s="78"/>
      <c r="B1123" s="79"/>
      <c r="C1123" s="80"/>
      <c r="D1123" s="81"/>
      <c r="E1123" s="26"/>
      <c r="F1123" s="82"/>
      <c r="G1123" s="83"/>
      <c r="H1123" s="84"/>
      <c r="I1123" s="80"/>
      <c r="J1123" s="80"/>
    </row>
    <row r="1124" spans="1:10" hidden="1" x14ac:dyDescent="0.25">
      <c r="A1124" s="78"/>
      <c r="B1124" s="79"/>
      <c r="C1124" s="80"/>
      <c r="D1124" s="81"/>
      <c r="E1124" s="26"/>
      <c r="F1124" s="82"/>
      <c r="G1124" s="83"/>
      <c r="H1124" s="84"/>
      <c r="I1124" s="80"/>
      <c r="J1124" s="80"/>
    </row>
    <row r="1125" spans="1:10" hidden="1" x14ac:dyDescent="0.25">
      <c r="A1125" s="78"/>
      <c r="B1125" s="79"/>
      <c r="C1125" s="80"/>
      <c r="D1125" s="81"/>
      <c r="E1125" s="26"/>
      <c r="F1125" s="82"/>
      <c r="G1125" s="83"/>
      <c r="H1125" s="84"/>
      <c r="I1125" s="80"/>
      <c r="J1125" s="80"/>
    </row>
    <row r="1126" spans="1:10" hidden="1" x14ac:dyDescent="0.25">
      <c r="A1126" s="78"/>
      <c r="B1126" s="79"/>
      <c r="C1126" s="80"/>
      <c r="D1126" s="81"/>
      <c r="E1126" s="26"/>
      <c r="F1126" s="82"/>
      <c r="G1126" s="83"/>
      <c r="H1126" s="84"/>
      <c r="I1126" s="80"/>
      <c r="J1126" s="80"/>
    </row>
    <row r="1127" spans="1:10" hidden="1" x14ac:dyDescent="0.25">
      <c r="A1127" s="78"/>
      <c r="B1127" s="79"/>
      <c r="C1127" s="80"/>
      <c r="D1127" s="81"/>
      <c r="E1127" s="26"/>
      <c r="F1127" s="82"/>
      <c r="G1127" s="83"/>
      <c r="H1127" s="84"/>
      <c r="I1127" s="80"/>
      <c r="J1127" s="80"/>
    </row>
    <row r="1128" spans="1:10" hidden="1" x14ac:dyDescent="0.25">
      <c r="A1128" s="78"/>
      <c r="B1128" s="79"/>
      <c r="C1128" s="80"/>
      <c r="D1128" s="81"/>
      <c r="E1128" s="26"/>
      <c r="F1128" s="82"/>
      <c r="G1128" s="83"/>
      <c r="H1128" s="84"/>
      <c r="I1128" s="80"/>
      <c r="J1128" s="80"/>
    </row>
    <row r="1129" spans="1:10" hidden="1" x14ac:dyDescent="0.25">
      <c r="A1129" s="78"/>
      <c r="B1129" s="79"/>
      <c r="C1129" s="80"/>
      <c r="D1129" s="81"/>
      <c r="E1129" s="26"/>
      <c r="F1129" s="82"/>
      <c r="G1129" s="83"/>
      <c r="H1129" s="84"/>
      <c r="I1129" s="80"/>
      <c r="J1129" s="80"/>
    </row>
    <row r="1130" spans="1:10" hidden="1" x14ac:dyDescent="0.25">
      <c r="A1130" s="78"/>
      <c r="B1130" s="79"/>
      <c r="C1130" s="80"/>
      <c r="D1130" s="81"/>
      <c r="E1130" s="26"/>
      <c r="F1130" s="82"/>
      <c r="G1130" s="83"/>
      <c r="H1130" s="84"/>
      <c r="I1130" s="80"/>
      <c r="J1130" s="80"/>
    </row>
    <row r="1131" spans="1:10" hidden="1" x14ac:dyDescent="0.25">
      <c r="A1131" s="78"/>
      <c r="B1131" s="79"/>
      <c r="C1131" s="80"/>
      <c r="D1131" s="81"/>
      <c r="E1131" s="26"/>
      <c r="F1131" s="82"/>
      <c r="G1131" s="83"/>
      <c r="H1131" s="84"/>
      <c r="I1131" s="80"/>
      <c r="J1131" s="80"/>
    </row>
    <row r="1132" spans="1:10" hidden="1" x14ac:dyDescent="0.25">
      <c r="A1132" s="78"/>
      <c r="B1132" s="79"/>
      <c r="C1132" s="80"/>
      <c r="D1132" s="81"/>
      <c r="E1132" s="26"/>
      <c r="F1132" s="82"/>
      <c r="G1132" s="83"/>
      <c r="H1132" s="84"/>
      <c r="I1132" s="80"/>
      <c r="J1132" s="80"/>
    </row>
    <row r="1133" spans="1:10" hidden="1" x14ac:dyDescent="0.25">
      <c r="A1133" s="78"/>
      <c r="B1133" s="79"/>
      <c r="C1133" s="80"/>
      <c r="D1133" s="81"/>
      <c r="E1133" s="26"/>
      <c r="F1133" s="82"/>
      <c r="G1133" s="83"/>
      <c r="H1133" s="84"/>
      <c r="I1133" s="80"/>
      <c r="J1133" s="80"/>
    </row>
    <row r="1134" spans="1:10" hidden="1" x14ac:dyDescent="0.25">
      <c r="A1134" s="78"/>
      <c r="B1134" s="79"/>
      <c r="C1134" s="80"/>
      <c r="D1134" s="81"/>
      <c r="E1134" s="26"/>
      <c r="F1134" s="82"/>
      <c r="G1134" s="83"/>
      <c r="H1134" s="84"/>
      <c r="I1134" s="80"/>
      <c r="J1134" s="80"/>
    </row>
    <row r="1135" spans="1:10" hidden="1" x14ac:dyDescent="0.25">
      <c r="A1135" s="78"/>
      <c r="B1135" s="79"/>
      <c r="C1135" s="80"/>
      <c r="D1135" s="81"/>
      <c r="E1135" s="26"/>
      <c r="F1135" s="82"/>
      <c r="G1135" s="83"/>
      <c r="H1135" s="84"/>
      <c r="I1135" s="80"/>
      <c r="J1135" s="80"/>
    </row>
    <row r="1136" spans="1:10" hidden="1" x14ac:dyDescent="0.25">
      <c r="A1136" s="78"/>
      <c r="B1136" s="79"/>
      <c r="C1136" s="80"/>
      <c r="D1136" s="81"/>
      <c r="E1136" s="26"/>
      <c r="F1136" s="82"/>
      <c r="G1136" s="83"/>
      <c r="H1136" s="84"/>
      <c r="I1136" s="80"/>
      <c r="J1136" s="80"/>
    </row>
    <row r="1137" spans="1:10" hidden="1" x14ac:dyDescent="0.25">
      <c r="A1137" s="78"/>
      <c r="B1137" s="79"/>
      <c r="C1137" s="80"/>
      <c r="D1137" s="81"/>
      <c r="E1137" s="26"/>
      <c r="F1137" s="82"/>
      <c r="G1137" s="83"/>
      <c r="H1137" s="84"/>
      <c r="I1137" s="80"/>
      <c r="J1137" s="80"/>
    </row>
    <row r="1138" spans="1:10" hidden="1" x14ac:dyDescent="0.25">
      <c r="A1138" s="78"/>
      <c r="B1138" s="79"/>
      <c r="C1138" s="80"/>
      <c r="D1138" s="81"/>
      <c r="E1138" s="26"/>
      <c r="F1138" s="82"/>
      <c r="G1138" s="83"/>
      <c r="H1138" s="84"/>
      <c r="I1138" s="80"/>
      <c r="J1138" s="80"/>
    </row>
    <row r="1139" spans="1:10" hidden="1" x14ac:dyDescent="0.25">
      <c r="A1139" s="78"/>
      <c r="B1139" s="79"/>
      <c r="C1139" s="80"/>
      <c r="D1139" s="81"/>
      <c r="E1139" s="26"/>
      <c r="F1139" s="82"/>
      <c r="G1139" s="83"/>
      <c r="H1139" s="84"/>
      <c r="I1139" s="80"/>
      <c r="J1139" s="80"/>
    </row>
    <row r="1140" spans="1:10" hidden="1" x14ac:dyDescent="0.25">
      <c r="A1140" s="78"/>
      <c r="B1140" s="79"/>
      <c r="C1140" s="80"/>
      <c r="D1140" s="81"/>
      <c r="E1140" s="26"/>
      <c r="F1140" s="82"/>
      <c r="G1140" s="83"/>
      <c r="H1140" s="84"/>
      <c r="I1140" s="80"/>
      <c r="J1140" s="80"/>
    </row>
    <row r="1141" spans="1:10" hidden="1" x14ac:dyDescent="0.25">
      <c r="A1141" s="78"/>
      <c r="B1141" s="79"/>
      <c r="C1141" s="80"/>
      <c r="D1141" s="81"/>
      <c r="E1141" s="26"/>
      <c r="F1141" s="82"/>
      <c r="G1141" s="83"/>
      <c r="H1141" s="84"/>
      <c r="I1141" s="80"/>
      <c r="J1141" s="80"/>
    </row>
    <row r="1142" spans="1:10" hidden="1" x14ac:dyDescent="0.25">
      <c r="A1142" s="78"/>
      <c r="B1142" s="79"/>
      <c r="C1142" s="80"/>
      <c r="D1142" s="81"/>
      <c r="E1142" s="26"/>
      <c r="F1142" s="82"/>
      <c r="G1142" s="83"/>
      <c r="H1142" s="84"/>
      <c r="I1142" s="80"/>
      <c r="J1142" s="80"/>
    </row>
    <row r="1143" spans="1:10" hidden="1" x14ac:dyDescent="0.25">
      <c r="A1143" s="78"/>
      <c r="B1143" s="79"/>
      <c r="C1143" s="80"/>
      <c r="D1143" s="81"/>
      <c r="E1143" s="26"/>
      <c r="F1143" s="82"/>
      <c r="G1143" s="83"/>
      <c r="H1143" s="84"/>
      <c r="I1143" s="80"/>
      <c r="J1143" s="80"/>
    </row>
    <row r="1144" spans="1:10" hidden="1" x14ac:dyDescent="0.25">
      <c r="A1144" s="78"/>
      <c r="B1144" s="79"/>
      <c r="C1144" s="80"/>
      <c r="D1144" s="81"/>
      <c r="E1144" s="26"/>
      <c r="F1144" s="82"/>
      <c r="G1144" s="83"/>
      <c r="H1144" s="84"/>
      <c r="I1144" s="80"/>
      <c r="J1144" s="80"/>
    </row>
    <row r="1145" spans="1:10" hidden="1" x14ac:dyDescent="0.25">
      <c r="A1145" s="78"/>
      <c r="B1145" s="79"/>
      <c r="C1145" s="80"/>
      <c r="D1145" s="81"/>
      <c r="E1145" s="26"/>
      <c r="F1145" s="82"/>
      <c r="G1145" s="83"/>
      <c r="H1145" s="84"/>
      <c r="I1145" s="80"/>
      <c r="J1145" s="80"/>
    </row>
    <row r="1146" spans="1:10" hidden="1" x14ac:dyDescent="0.25">
      <c r="A1146" s="78"/>
      <c r="B1146" s="79"/>
      <c r="C1146" s="80"/>
      <c r="D1146" s="81"/>
      <c r="E1146" s="26"/>
      <c r="F1146" s="82"/>
      <c r="G1146" s="83"/>
      <c r="H1146" s="84"/>
      <c r="I1146" s="80"/>
      <c r="J1146" s="80"/>
    </row>
    <row r="1147" spans="1:10" hidden="1" x14ac:dyDescent="0.25">
      <c r="A1147" s="78"/>
      <c r="B1147" s="79"/>
      <c r="C1147" s="80"/>
      <c r="D1147" s="81"/>
      <c r="E1147" s="26"/>
      <c r="F1147" s="82"/>
      <c r="G1147" s="83"/>
      <c r="H1147" s="84"/>
      <c r="I1147" s="80"/>
      <c r="J1147" s="80"/>
    </row>
    <row r="1148" spans="1:10" hidden="1" x14ac:dyDescent="0.25">
      <c r="A1148" s="78"/>
      <c r="B1148" s="79"/>
      <c r="C1148" s="80"/>
      <c r="D1148" s="81"/>
      <c r="E1148" s="26"/>
      <c r="F1148" s="82"/>
      <c r="G1148" s="83"/>
      <c r="H1148" s="84"/>
      <c r="I1148" s="80"/>
      <c r="J1148" s="80"/>
    </row>
    <row r="1149" spans="1:10" hidden="1" x14ac:dyDescent="0.25">
      <c r="A1149" s="78"/>
      <c r="B1149" s="79"/>
      <c r="C1149" s="80"/>
      <c r="D1149" s="81"/>
      <c r="E1149" s="26"/>
      <c r="F1149" s="82"/>
      <c r="G1149" s="83"/>
      <c r="H1149" s="84"/>
      <c r="I1149" s="80"/>
      <c r="J1149" s="80"/>
    </row>
    <row r="1150" spans="1:10" hidden="1" x14ac:dyDescent="0.25">
      <c r="A1150" s="78"/>
      <c r="B1150" s="79"/>
      <c r="C1150" s="80"/>
      <c r="D1150" s="81"/>
      <c r="E1150" s="26"/>
      <c r="F1150" s="82"/>
      <c r="G1150" s="83"/>
      <c r="H1150" s="84"/>
      <c r="I1150" s="80"/>
      <c r="J1150" s="80"/>
    </row>
    <row r="1151" spans="1:10" hidden="1" x14ac:dyDescent="0.25">
      <c r="A1151" s="78"/>
      <c r="B1151" s="79"/>
      <c r="C1151" s="80"/>
      <c r="D1151" s="81"/>
      <c r="E1151" s="26"/>
      <c r="F1151" s="82"/>
      <c r="G1151" s="83"/>
      <c r="H1151" s="84"/>
      <c r="I1151" s="80"/>
      <c r="J1151" s="80"/>
    </row>
    <row r="1152" spans="1:10" hidden="1" x14ac:dyDescent="0.25">
      <c r="A1152" s="78"/>
      <c r="B1152" s="79"/>
      <c r="C1152" s="80"/>
      <c r="D1152" s="81"/>
      <c r="E1152" s="26"/>
      <c r="F1152" s="82"/>
      <c r="G1152" s="83"/>
      <c r="H1152" s="84"/>
      <c r="I1152" s="80"/>
      <c r="J1152" s="80"/>
    </row>
    <row r="1153" spans="1:10" hidden="1" x14ac:dyDescent="0.25">
      <c r="A1153" s="78"/>
      <c r="B1153" s="79"/>
      <c r="C1153" s="80"/>
      <c r="D1153" s="81"/>
      <c r="E1153" s="26"/>
      <c r="F1153" s="82"/>
      <c r="G1153" s="83"/>
      <c r="H1153" s="84"/>
      <c r="I1153" s="80"/>
      <c r="J1153" s="80"/>
    </row>
    <row r="1154" spans="1:10" hidden="1" x14ac:dyDescent="0.25">
      <c r="A1154" s="78"/>
      <c r="B1154" s="79"/>
      <c r="C1154" s="80"/>
      <c r="D1154" s="81"/>
      <c r="E1154" s="26"/>
      <c r="F1154" s="82"/>
      <c r="G1154" s="83"/>
      <c r="H1154" s="84"/>
      <c r="I1154" s="80"/>
      <c r="J1154" s="80"/>
    </row>
    <row r="1155" spans="1:10" hidden="1" x14ac:dyDescent="0.25">
      <c r="A1155" s="78"/>
      <c r="B1155" s="79"/>
      <c r="C1155" s="80"/>
      <c r="D1155" s="81"/>
      <c r="E1155" s="26"/>
      <c r="F1155" s="82"/>
      <c r="G1155" s="83"/>
      <c r="H1155" s="84"/>
      <c r="I1155" s="80"/>
      <c r="J1155" s="80"/>
    </row>
    <row r="1156" spans="1:10" hidden="1" x14ac:dyDescent="0.25">
      <c r="A1156" s="78"/>
      <c r="B1156" s="79"/>
      <c r="C1156" s="80"/>
      <c r="D1156" s="81"/>
      <c r="E1156" s="26"/>
      <c r="F1156" s="82"/>
      <c r="G1156" s="83"/>
      <c r="H1156" s="84"/>
      <c r="I1156" s="80"/>
      <c r="J1156" s="80"/>
    </row>
    <row r="1157" spans="1:10" hidden="1" x14ac:dyDescent="0.25">
      <c r="A1157" s="78"/>
      <c r="B1157" s="79"/>
      <c r="C1157" s="80"/>
      <c r="D1157" s="81"/>
      <c r="E1157" s="26"/>
      <c r="F1157" s="82"/>
      <c r="G1157" s="83"/>
      <c r="H1157" s="84"/>
      <c r="I1157" s="80"/>
      <c r="J1157" s="80"/>
    </row>
    <row r="1158" spans="1:10" hidden="1" x14ac:dyDescent="0.25">
      <c r="A1158" s="78"/>
      <c r="B1158" s="79"/>
      <c r="C1158" s="80"/>
      <c r="D1158" s="81"/>
      <c r="E1158" s="26"/>
      <c r="F1158" s="82"/>
      <c r="G1158" s="83"/>
      <c r="H1158" s="84"/>
      <c r="I1158" s="80"/>
      <c r="J1158" s="80"/>
    </row>
    <row r="1159" spans="1:10" hidden="1" x14ac:dyDescent="0.25">
      <c r="A1159" s="78"/>
      <c r="B1159" s="79"/>
      <c r="C1159" s="80"/>
      <c r="D1159" s="81"/>
      <c r="E1159" s="26"/>
      <c r="F1159" s="82"/>
      <c r="G1159" s="83"/>
      <c r="H1159" s="84"/>
      <c r="I1159" s="80"/>
      <c r="J1159" s="80"/>
    </row>
    <row r="1160" spans="1:10" hidden="1" x14ac:dyDescent="0.25">
      <c r="A1160" s="78"/>
      <c r="B1160" s="79"/>
      <c r="C1160" s="80"/>
      <c r="D1160" s="81"/>
      <c r="E1160" s="26"/>
      <c r="F1160" s="82"/>
      <c r="G1160" s="83"/>
      <c r="H1160" s="84"/>
      <c r="I1160" s="80"/>
      <c r="J1160" s="80"/>
    </row>
    <row r="1161" spans="1:10" hidden="1" x14ac:dyDescent="0.25">
      <c r="A1161" s="78"/>
      <c r="B1161" s="79"/>
      <c r="C1161" s="80"/>
      <c r="D1161" s="81"/>
      <c r="E1161" s="26"/>
      <c r="F1161" s="82"/>
      <c r="G1161" s="83"/>
      <c r="H1161" s="84"/>
      <c r="I1161" s="80"/>
      <c r="J1161" s="80"/>
    </row>
    <row r="1162" spans="1:10" hidden="1" x14ac:dyDescent="0.25">
      <c r="A1162" s="78"/>
      <c r="B1162" s="79"/>
      <c r="C1162" s="80"/>
      <c r="D1162" s="81"/>
      <c r="E1162" s="26"/>
      <c r="F1162" s="82"/>
      <c r="G1162" s="83"/>
      <c r="H1162" s="84"/>
      <c r="I1162" s="80"/>
      <c r="J1162" s="80"/>
    </row>
    <row r="1163" spans="1:10" hidden="1" x14ac:dyDescent="0.25">
      <c r="A1163" s="78"/>
      <c r="B1163" s="79"/>
      <c r="C1163" s="80"/>
      <c r="D1163" s="81"/>
      <c r="E1163" s="26"/>
      <c r="F1163" s="82"/>
      <c r="G1163" s="83"/>
      <c r="H1163" s="84"/>
      <c r="I1163" s="80"/>
      <c r="J1163" s="80"/>
    </row>
    <row r="1164" spans="1:10" hidden="1" x14ac:dyDescent="0.25">
      <c r="A1164" s="78"/>
      <c r="B1164" s="79"/>
      <c r="C1164" s="80"/>
      <c r="D1164" s="81"/>
      <c r="E1164" s="26"/>
      <c r="F1164" s="82"/>
      <c r="G1164" s="83"/>
      <c r="H1164" s="84"/>
      <c r="I1164" s="80"/>
      <c r="J1164" s="80"/>
    </row>
    <row r="1165" spans="1:10" hidden="1" x14ac:dyDescent="0.25">
      <c r="A1165" s="78"/>
      <c r="B1165" s="79"/>
      <c r="C1165" s="80"/>
      <c r="D1165" s="81"/>
      <c r="E1165" s="26"/>
      <c r="F1165" s="82"/>
      <c r="G1165" s="83"/>
      <c r="H1165" s="84"/>
      <c r="I1165" s="80"/>
      <c r="J1165" s="80"/>
    </row>
    <row r="1166" spans="1:10" hidden="1" x14ac:dyDescent="0.25">
      <c r="A1166" s="78"/>
      <c r="B1166" s="79"/>
      <c r="C1166" s="80"/>
      <c r="D1166" s="81"/>
      <c r="E1166" s="26"/>
      <c r="F1166" s="82"/>
      <c r="G1166" s="83"/>
      <c r="H1166" s="84"/>
      <c r="I1166" s="80"/>
      <c r="J1166" s="80"/>
    </row>
    <row r="1167" spans="1:10" hidden="1" x14ac:dyDescent="0.25">
      <c r="A1167" s="78"/>
      <c r="B1167" s="79"/>
      <c r="C1167" s="80"/>
      <c r="D1167" s="81"/>
      <c r="E1167" s="26"/>
      <c r="F1167" s="82"/>
      <c r="G1167" s="83"/>
      <c r="H1167" s="84"/>
      <c r="I1167" s="80"/>
      <c r="J1167" s="80"/>
    </row>
    <row r="1168" spans="1:10" hidden="1" x14ac:dyDescent="0.25">
      <c r="A1168" s="78"/>
      <c r="B1168" s="79"/>
      <c r="C1168" s="80"/>
      <c r="D1168" s="81"/>
      <c r="E1168" s="26"/>
      <c r="F1168" s="82"/>
      <c r="G1168" s="83"/>
      <c r="H1168" s="84"/>
      <c r="I1168" s="80"/>
      <c r="J1168" s="80"/>
    </row>
    <row r="1169" spans="1:10" hidden="1" x14ac:dyDescent="0.25">
      <c r="A1169" s="78"/>
      <c r="B1169" s="79"/>
      <c r="C1169" s="80"/>
      <c r="D1169" s="81"/>
      <c r="E1169" s="26"/>
      <c r="F1169" s="82"/>
      <c r="G1169" s="83"/>
      <c r="H1169" s="84"/>
      <c r="I1169" s="80"/>
      <c r="J1169" s="80"/>
    </row>
    <row r="1170" spans="1:10" hidden="1" x14ac:dyDescent="0.25">
      <c r="A1170" s="78"/>
      <c r="B1170" s="79"/>
      <c r="C1170" s="80"/>
      <c r="D1170" s="81"/>
      <c r="E1170" s="26"/>
      <c r="F1170" s="82"/>
      <c r="G1170" s="83"/>
      <c r="H1170" s="84"/>
      <c r="I1170" s="80"/>
      <c r="J1170" s="80"/>
    </row>
    <row r="1171" spans="1:10" hidden="1" x14ac:dyDescent="0.25">
      <c r="A1171" s="78"/>
      <c r="B1171" s="79"/>
      <c r="C1171" s="80"/>
      <c r="D1171" s="81"/>
      <c r="E1171" s="26"/>
      <c r="F1171" s="82"/>
      <c r="G1171" s="83"/>
      <c r="H1171" s="84"/>
      <c r="I1171" s="80"/>
      <c r="J1171" s="80"/>
    </row>
    <row r="1172" spans="1:10" hidden="1" x14ac:dyDescent="0.25">
      <c r="A1172" s="78"/>
      <c r="B1172" s="79"/>
      <c r="C1172" s="80"/>
      <c r="D1172" s="81"/>
      <c r="E1172" s="26"/>
      <c r="F1172" s="82"/>
      <c r="G1172" s="83"/>
      <c r="H1172" s="84"/>
      <c r="I1172" s="80"/>
      <c r="J1172" s="80"/>
    </row>
    <row r="1173" spans="1:10" hidden="1" x14ac:dyDescent="0.25">
      <c r="A1173" s="78"/>
      <c r="B1173" s="79"/>
      <c r="C1173" s="80"/>
      <c r="D1173" s="81"/>
      <c r="E1173" s="26"/>
      <c r="F1173" s="82"/>
      <c r="G1173" s="83"/>
      <c r="H1173" s="84"/>
      <c r="I1173" s="80"/>
      <c r="J1173" s="80"/>
    </row>
    <row r="1174" spans="1:10" hidden="1" x14ac:dyDescent="0.25">
      <c r="A1174" s="78"/>
      <c r="B1174" s="79"/>
      <c r="C1174" s="80"/>
      <c r="D1174" s="81"/>
      <c r="E1174" s="26"/>
      <c r="F1174" s="82"/>
      <c r="G1174" s="83"/>
      <c r="H1174" s="84"/>
      <c r="I1174" s="80"/>
      <c r="J1174" s="80"/>
    </row>
    <row r="1175" spans="1:10" hidden="1" x14ac:dyDescent="0.25">
      <c r="A1175" s="78"/>
      <c r="B1175" s="79"/>
      <c r="C1175" s="80"/>
      <c r="D1175" s="81"/>
      <c r="E1175" s="26"/>
      <c r="F1175" s="82"/>
      <c r="G1175" s="83"/>
      <c r="H1175" s="84"/>
      <c r="I1175" s="80"/>
      <c r="J1175" s="80"/>
    </row>
    <row r="1176" spans="1:10" hidden="1" x14ac:dyDescent="0.25">
      <c r="A1176" s="78"/>
      <c r="B1176" s="79"/>
      <c r="C1176" s="80"/>
      <c r="D1176" s="81"/>
      <c r="E1176" s="26"/>
      <c r="F1176" s="82"/>
      <c r="G1176" s="83"/>
      <c r="H1176" s="84"/>
      <c r="I1176" s="80"/>
      <c r="J1176" s="80"/>
    </row>
    <row r="1177" spans="1:10" hidden="1" x14ac:dyDescent="0.25">
      <c r="A1177" s="78"/>
      <c r="B1177" s="79"/>
      <c r="C1177" s="80"/>
      <c r="D1177" s="81"/>
      <c r="E1177" s="26"/>
      <c r="F1177" s="82"/>
      <c r="G1177" s="83"/>
      <c r="H1177" s="84"/>
      <c r="I1177" s="80"/>
      <c r="J1177" s="80"/>
    </row>
    <row r="1178" spans="1:10" hidden="1" x14ac:dyDescent="0.25">
      <c r="A1178" s="78"/>
      <c r="B1178" s="79"/>
      <c r="C1178" s="80"/>
      <c r="D1178" s="81"/>
      <c r="E1178" s="26"/>
      <c r="F1178" s="82"/>
      <c r="G1178" s="83"/>
      <c r="H1178" s="84"/>
      <c r="I1178" s="80"/>
      <c r="J1178" s="80"/>
    </row>
    <row r="1179" spans="1:10" hidden="1" x14ac:dyDescent="0.25">
      <c r="A1179" s="78"/>
      <c r="B1179" s="79"/>
      <c r="C1179" s="80"/>
      <c r="D1179" s="81"/>
      <c r="E1179" s="26"/>
      <c r="F1179" s="82"/>
      <c r="G1179" s="83"/>
      <c r="H1179" s="84"/>
      <c r="I1179" s="80"/>
      <c r="J1179" s="80"/>
    </row>
    <row r="1180" spans="1:10" hidden="1" x14ac:dyDescent="0.25">
      <c r="A1180" s="78"/>
      <c r="B1180" s="79"/>
      <c r="C1180" s="80"/>
      <c r="D1180" s="81"/>
      <c r="E1180" s="26"/>
      <c r="F1180" s="82"/>
      <c r="G1180" s="83"/>
      <c r="H1180" s="84"/>
      <c r="I1180" s="80"/>
      <c r="J1180" s="80"/>
    </row>
    <row r="1181" spans="1:10" hidden="1" x14ac:dyDescent="0.25">
      <c r="A1181" s="78"/>
      <c r="B1181" s="79"/>
      <c r="C1181" s="80"/>
      <c r="D1181" s="81"/>
      <c r="E1181" s="26"/>
      <c r="F1181" s="82"/>
      <c r="G1181" s="83"/>
      <c r="H1181" s="84"/>
      <c r="I1181" s="80"/>
      <c r="J1181" s="80"/>
    </row>
    <row r="1182" spans="1:10" hidden="1" x14ac:dyDescent="0.25">
      <c r="A1182" s="78"/>
      <c r="B1182" s="79"/>
      <c r="C1182" s="80"/>
      <c r="D1182" s="81"/>
      <c r="E1182" s="26"/>
      <c r="F1182" s="82"/>
      <c r="G1182" s="83"/>
      <c r="H1182" s="84"/>
      <c r="I1182" s="80"/>
      <c r="J1182" s="80"/>
    </row>
    <row r="1183" spans="1:10" hidden="1" x14ac:dyDescent="0.25">
      <c r="A1183" s="78"/>
      <c r="B1183" s="79"/>
      <c r="C1183" s="80"/>
      <c r="D1183" s="81"/>
      <c r="E1183" s="26"/>
      <c r="F1183" s="82"/>
      <c r="G1183" s="83"/>
      <c r="H1183" s="84"/>
      <c r="I1183" s="80"/>
      <c r="J1183" s="80"/>
    </row>
    <row r="1184" spans="1:10" hidden="1" x14ac:dyDescent="0.25">
      <c r="A1184" s="78"/>
      <c r="B1184" s="79"/>
      <c r="C1184" s="80"/>
      <c r="D1184" s="81"/>
      <c r="E1184" s="26"/>
      <c r="F1184" s="82"/>
      <c r="G1184" s="83"/>
      <c r="H1184" s="84"/>
      <c r="I1184" s="80"/>
      <c r="J1184" s="80"/>
    </row>
    <row r="1185" spans="1:10" hidden="1" x14ac:dyDescent="0.25">
      <c r="A1185" s="78"/>
      <c r="B1185" s="79"/>
      <c r="C1185" s="80"/>
      <c r="D1185" s="81"/>
      <c r="E1185" s="26"/>
      <c r="F1185" s="82"/>
      <c r="G1185" s="83"/>
      <c r="H1185" s="84"/>
      <c r="I1185" s="80"/>
      <c r="J1185" s="80"/>
    </row>
    <row r="1186" spans="1:10" hidden="1" x14ac:dyDescent="0.25">
      <c r="A1186" s="78"/>
      <c r="B1186" s="79"/>
      <c r="C1186" s="80"/>
      <c r="D1186" s="81"/>
      <c r="E1186" s="26"/>
      <c r="F1186" s="82"/>
      <c r="G1186" s="83"/>
      <c r="H1186" s="84"/>
      <c r="I1186" s="80"/>
      <c r="J1186" s="80"/>
    </row>
    <row r="1187" spans="1:10" hidden="1" x14ac:dyDescent="0.25">
      <c r="A1187" s="78"/>
      <c r="B1187" s="79"/>
      <c r="C1187" s="80"/>
      <c r="D1187" s="81"/>
      <c r="E1187" s="26"/>
      <c r="F1187" s="82"/>
      <c r="G1187" s="83"/>
      <c r="H1187" s="84"/>
      <c r="I1187" s="80"/>
      <c r="J1187" s="80"/>
    </row>
    <row r="1188" spans="1:10" hidden="1" x14ac:dyDescent="0.25">
      <c r="A1188" s="78"/>
      <c r="B1188" s="79"/>
      <c r="C1188" s="80"/>
      <c r="D1188" s="81"/>
      <c r="E1188" s="26"/>
      <c r="F1188" s="82"/>
      <c r="G1188" s="83"/>
      <c r="H1188" s="84"/>
      <c r="I1188" s="80"/>
      <c r="J1188" s="80"/>
    </row>
    <row r="1189" spans="1:10" hidden="1" x14ac:dyDescent="0.25">
      <c r="A1189" s="78"/>
      <c r="B1189" s="79"/>
      <c r="C1189" s="80"/>
      <c r="D1189" s="81"/>
      <c r="E1189" s="26"/>
      <c r="F1189" s="82"/>
      <c r="G1189" s="83"/>
      <c r="H1189" s="84"/>
      <c r="I1189" s="80"/>
      <c r="J1189" s="80"/>
    </row>
    <row r="1190" spans="1:10" hidden="1" x14ac:dyDescent="0.25">
      <c r="A1190" s="78"/>
      <c r="B1190" s="79"/>
      <c r="C1190" s="80"/>
      <c r="D1190" s="81"/>
      <c r="E1190" s="26"/>
      <c r="F1190" s="82"/>
      <c r="G1190" s="83"/>
      <c r="H1190" s="84"/>
      <c r="I1190" s="80"/>
      <c r="J1190" s="80"/>
    </row>
    <row r="1191" spans="1:10" hidden="1" x14ac:dyDescent="0.25">
      <c r="A1191" s="78"/>
      <c r="B1191" s="79"/>
      <c r="C1191" s="80"/>
      <c r="D1191" s="81"/>
      <c r="E1191" s="26"/>
      <c r="F1191" s="82"/>
      <c r="G1191" s="83"/>
      <c r="H1191" s="84"/>
      <c r="I1191" s="80"/>
      <c r="J1191" s="80"/>
    </row>
    <row r="1192" spans="1:10" hidden="1" x14ac:dyDescent="0.25">
      <c r="A1192" s="78"/>
      <c r="B1192" s="79"/>
      <c r="C1192" s="80"/>
      <c r="D1192" s="81"/>
      <c r="E1192" s="26"/>
      <c r="F1192" s="82"/>
      <c r="G1192" s="83"/>
      <c r="H1192" s="84"/>
      <c r="I1192" s="80"/>
      <c r="J1192" s="80"/>
    </row>
    <row r="1193" spans="1:10" hidden="1" x14ac:dyDescent="0.25">
      <c r="A1193" s="78"/>
      <c r="B1193" s="79"/>
      <c r="C1193" s="80"/>
      <c r="D1193" s="81"/>
      <c r="E1193" s="26"/>
      <c r="F1193" s="82"/>
      <c r="G1193" s="83"/>
      <c r="H1193" s="84"/>
      <c r="I1193" s="80"/>
      <c r="J1193" s="80"/>
    </row>
    <row r="1194" spans="1:10" hidden="1" x14ac:dyDescent="0.25">
      <c r="A1194" s="78"/>
      <c r="B1194" s="79"/>
      <c r="C1194" s="80"/>
      <c r="D1194" s="81"/>
      <c r="E1194" s="26"/>
      <c r="F1194" s="82"/>
      <c r="G1194" s="83"/>
      <c r="H1194" s="84"/>
      <c r="I1194" s="80"/>
      <c r="J1194" s="80"/>
    </row>
    <row r="1195" spans="1:10" hidden="1" x14ac:dyDescent="0.25">
      <c r="A1195" s="78"/>
      <c r="B1195" s="79"/>
      <c r="C1195" s="80"/>
      <c r="D1195" s="81"/>
      <c r="E1195" s="26"/>
      <c r="F1195" s="82"/>
      <c r="G1195" s="83"/>
      <c r="H1195" s="84"/>
      <c r="I1195" s="80"/>
      <c r="J1195" s="80"/>
    </row>
    <row r="1196" spans="1:10" hidden="1" x14ac:dyDescent="0.25">
      <c r="A1196" s="78"/>
      <c r="B1196" s="79"/>
      <c r="C1196" s="80"/>
      <c r="D1196" s="81"/>
      <c r="E1196" s="26"/>
      <c r="F1196" s="82"/>
      <c r="G1196" s="83"/>
      <c r="H1196" s="84"/>
      <c r="I1196" s="80"/>
      <c r="J1196" s="80"/>
    </row>
    <row r="1197" spans="1:10" hidden="1" x14ac:dyDescent="0.25">
      <c r="A1197" s="78"/>
      <c r="B1197" s="79"/>
      <c r="C1197" s="80"/>
      <c r="D1197" s="81"/>
      <c r="E1197" s="26"/>
      <c r="F1197" s="82"/>
      <c r="G1197" s="83"/>
      <c r="H1197" s="84"/>
      <c r="I1197" s="80"/>
      <c r="J1197" s="80"/>
    </row>
    <row r="1198" spans="1:10" hidden="1" x14ac:dyDescent="0.25">
      <c r="A1198" s="78"/>
      <c r="B1198" s="79"/>
      <c r="C1198" s="80"/>
      <c r="D1198" s="81"/>
      <c r="E1198" s="26"/>
      <c r="F1198" s="82"/>
      <c r="G1198" s="83"/>
      <c r="H1198" s="84"/>
      <c r="I1198" s="80"/>
      <c r="J1198" s="80"/>
    </row>
    <row r="1199" spans="1:10" hidden="1" x14ac:dyDescent="0.25">
      <c r="A1199" s="78"/>
      <c r="B1199" s="79"/>
      <c r="C1199" s="80"/>
      <c r="D1199" s="81"/>
      <c r="E1199" s="26"/>
      <c r="F1199" s="82"/>
      <c r="G1199" s="83"/>
      <c r="H1199" s="84"/>
      <c r="I1199" s="80"/>
      <c r="J1199" s="80"/>
    </row>
    <row r="1200" spans="1:10" hidden="1" x14ac:dyDescent="0.25">
      <c r="A1200" s="78"/>
      <c r="B1200" s="79"/>
      <c r="C1200" s="80"/>
      <c r="D1200" s="81"/>
      <c r="E1200" s="26"/>
      <c r="F1200" s="82"/>
      <c r="G1200" s="83"/>
      <c r="H1200" s="84"/>
      <c r="I1200" s="80"/>
      <c r="J1200" s="80"/>
    </row>
    <row r="1201" spans="1:10" hidden="1" x14ac:dyDescent="0.25">
      <c r="A1201" s="78"/>
      <c r="B1201" s="79"/>
      <c r="C1201" s="80"/>
      <c r="D1201" s="81"/>
      <c r="E1201" s="26"/>
      <c r="F1201" s="82"/>
      <c r="G1201" s="83"/>
      <c r="H1201" s="84"/>
      <c r="I1201" s="80"/>
      <c r="J1201" s="80"/>
    </row>
    <row r="1202" spans="1:10" hidden="1" x14ac:dyDescent="0.25">
      <c r="A1202" s="78"/>
      <c r="B1202" s="79"/>
      <c r="C1202" s="80"/>
      <c r="D1202" s="81"/>
      <c r="E1202" s="26"/>
      <c r="F1202" s="82"/>
      <c r="G1202" s="83"/>
      <c r="H1202" s="84"/>
      <c r="I1202" s="80"/>
      <c r="J1202" s="80"/>
    </row>
    <row r="1203" spans="1:10" hidden="1" x14ac:dyDescent="0.25">
      <c r="A1203" s="78"/>
      <c r="B1203" s="79"/>
      <c r="C1203" s="80"/>
      <c r="D1203" s="81"/>
      <c r="E1203" s="26"/>
      <c r="F1203" s="82"/>
      <c r="G1203" s="83"/>
      <c r="H1203" s="84"/>
      <c r="I1203" s="80"/>
      <c r="J1203" s="80"/>
    </row>
    <row r="1204" spans="1:10" hidden="1" x14ac:dyDescent="0.25">
      <c r="A1204" s="78"/>
      <c r="B1204" s="79"/>
      <c r="C1204" s="80"/>
      <c r="D1204" s="81"/>
      <c r="E1204" s="26"/>
      <c r="F1204" s="82"/>
      <c r="G1204" s="83"/>
      <c r="H1204" s="84"/>
      <c r="I1204" s="80"/>
      <c r="J1204" s="80"/>
    </row>
    <row r="1205" spans="1:10" hidden="1" x14ac:dyDescent="0.25">
      <c r="A1205" s="78"/>
      <c r="B1205" s="79"/>
      <c r="C1205" s="80"/>
      <c r="D1205" s="81"/>
      <c r="E1205" s="26"/>
      <c r="F1205" s="82"/>
      <c r="G1205" s="83"/>
      <c r="H1205" s="84"/>
      <c r="I1205" s="80"/>
      <c r="J1205" s="80"/>
    </row>
    <row r="1206" spans="1:10" hidden="1" x14ac:dyDescent="0.25">
      <c r="A1206" s="78"/>
      <c r="B1206" s="79"/>
      <c r="C1206" s="80"/>
      <c r="D1206" s="81"/>
      <c r="E1206" s="26"/>
      <c r="F1206" s="82"/>
      <c r="G1206" s="83"/>
      <c r="H1206" s="84"/>
      <c r="I1206" s="80"/>
      <c r="J1206" s="80"/>
    </row>
    <row r="1207" spans="1:10" hidden="1" x14ac:dyDescent="0.25">
      <c r="A1207" s="78"/>
      <c r="B1207" s="79"/>
      <c r="C1207" s="80"/>
      <c r="D1207" s="81"/>
      <c r="E1207" s="26"/>
      <c r="F1207" s="82"/>
      <c r="G1207" s="83"/>
      <c r="H1207" s="84"/>
      <c r="I1207" s="80"/>
      <c r="J1207" s="80"/>
    </row>
    <row r="1208" spans="1:10" hidden="1" x14ac:dyDescent="0.25">
      <c r="A1208" s="78"/>
      <c r="B1208" s="79"/>
      <c r="C1208" s="80"/>
      <c r="D1208" s="81"/>
      <c r="E1208" s="26"/>
      <c r="F1208" s="82"/>
      <c r="G1208" s="83"/>
      <c r="H1208" s="84"/>
      <c r="I1208" s="80"/>
      <c r="J1208" s="80"/>
    </row>
    <row r="1209" spans="1:10" hidden="1" x14ac:dyDescent="0.25">
      <c r="A1209" s="78"/>
      <c r="B1209" s="79"/>
      <c r="C1209" s="80"/>
      <c r="D1209" s="81"/>
      <c r="E1209" s="26"/>
      <c r="F1209" s="82"/>
      <c r="G1209" s="83"/>
      <c r="H1209" s="84"/>
      <c r="I1209" s="80"/>
      <c r="J1209" s="80"/>
    </row>
    <row r="1210" spans="1:10" hidden="1" x14ac:dyDescent="0.25">
      <c r="A1210" s="78"/>
      <c r="B1210" s="79"/>
      <c r="C1210" s="80"/>
      <c r="D1210" s="81"/>
      <c r="E1210" s="26"/>
      <c r="F1210" s="82"/>
      <c r="G1210" s="83"/>
      <c r="H1210" s="84"/>
      <c r="I1210" s="80"/>
      <c r="J1210" s="80"/>
    </row>
    <row r="1211" spans="1:10" hidden="1" x14ac:dyDescent="0.25">
      <c r="A1211" s="78"/>
      <c r="B1211" s="79"/>
      <c r="C1211" s="80"/>
      <c r="D1211" s="81"/>
      <c r="E1211" s="26"/>
      <c r="F1211" s="82"/>
      <c r="G1211" s="83"/>
      <c r="H1211" s="84"/>
      <c r="I1211" s="80"/>
      <c r="J1211" s="80"/>
    </row>
    <row r="1212" spans="1:10" hidden="1" x14ac:dyDescent="0.25">
      <c r="A1212" s="78"/>
      <c r="B1212" s="79"/>
      <c r="C1212" s="80"/>
      <c r="D1212" s="81"/>
      <c r="E1212" s="26"/>
      <c r="F1212" s="82"/>
      <c r="G1212" s="83"/>
      <c r="H1212" s="84"/>
      <c r="I1212" s="80"/>
      <c r="J1212" s="80"/>
    </row>
    <row r="1213" spans="1:10" hidden="1" x14ac:dyDescent="0.25">
      <c r="A1213" s="78"/>
      <c r="B1213" s="79"/>
      <c r="C1213" s="80"/>
      <c r="D1213" s="81"/>
      <c r="E1213" s="26"/>
      <c r="F1213" s="82"/>
      <c r="G1213" s="83"/>
      <c r="H1213" s="84"/>
      <c r="I1213" s="80"/>
      <c r="J1213" s="80"/>
    </row>
    <row r="1214" spans="1:10" hidden="1" x14ac:dyDescent="0.25">
      <c r="A1214" s="78"/>
      <c r="B1214" s="79"/>
      <c r="C1214" s="80"/>
      <c r="D1214" s="81"/>
      <c r="E1214" s="26"/>
      <c r="F1214" s="82"/>
      <c r="G1214" s="83"/>
      <c r="H1214" s="84"/>
      <c r="I1214" s="80"/>
      <c r="J1214" s="80"/>
    </row>
    <row r="1215" spans="1:10" hidden="1" x14ac:dyDescent="0.25">
      <c r="A1215" s="78"/>
      <c r="B1215" s="79"/>
      <c r="C1215" s="80"/>
      <c r="D1215" s="81"/>
      <c r="E1215" s="26"/>
      <c r="F1215" s="82"/>
      <c r="G1215" s="83"/>
      <c r="H1215" s="84"/>
      <c r="I1215" s="80"/>
      <c r="J1215" s="80"/>
    </row>
    <row r="1216" spans="1:10" hidden="1" x14ac:dyDescent="0.25">
      <c r="A1216" s="78"/>
      <c r="B1216" s="79"/>
      <c r="C1216" s="80"/>
      <c r="D1216" s="81"/>
      <c r="E1216" s="26"/>
      <c r="F1216" s="82"/>
      <c r="G1216" s="83"/>
      <c r="H1216" s="84"/>
      <c r="I1216" s="80"/>
      <c r="J1216" s="80"/>
    </row>
    <row r="1217" spans="1:10" hidden="1" x14ac:dyDescent="0.25">
      <c r="A1217" s="78"/>
      <c r="B1217" s="79"/>
      <c r="C1217" s="80"/>
      <c r="D1217" s="81"/>
      <c r="E1217" s="26"/>
      <c r="F1217" s="82"/>
      <c r="G1217" s="83"/>
      <c r="H1217" s="84"/>
      <c r="I1217" s="80"/>
      <c r="J1217" s="80"/>
    </row>
    <row r="1218" spans="1:10" hidden="1" x14ac:dyDescent="0.25">
      <c r="A1218" s="78"/>
      <c r="B1218" s="79"/>
      <c r="C1218" s="80"/>
      <c r="D1218" s="81"/>
      <c r="E1218" s="26"/>
      <c r="F1218" s="82"/>
      <c r="G1218" s="83"/>
      <c r="H1218" s="84"/>
      <c r="I1218" s="80"/>
      <c r="J1218" s="80"/>
    </row>
    <row r="1219" spans="1:10" hidden="1" x14ac:dyDescent="0.25">
      <c r="A1219" s="78"/>
      <c r="B1219" s="79"/>
      <c r="C1219" s="80"/>
      <c r="D1219" s="81"/>
      <c r="E1219" s="26"/>
      <c r="F1219" s="82"/>
      <c r="G1219" s="83"/>
      <c r="H1219" s="84"/>
      <c r="I1219" s="80"/>
      <c r="J1219" s="80"/>
    </row>
    <row r="1220" spans="1:10" hidden="1" x14ac:dyDescent="0.25">
      <c r="A1220" s="78"/>
      <c r="B1220" s="79"/>
      <c r="C1220" s="80"/>
      <c r="D1220" s="81"/>
      <c r="E1220" s="26"/>
      <c r="F1220" s="82"/>
      <c r="G1220" s="83"/>
      <c r="H1220" s="84"/>
      <c r="I1220" s="80"/>
      <c r="J1220" s="80"/>
    </row>
    <row r="1221" spans="1:10" hidden="1" x14ac:dyDescent="0.25">
      <c r="A1221" s="78"/>
      <c r="B1221" s="79"/>
      <c r="C1221" s="80"/>
      <c r="D1221" s="81"/>
      <c r="E1221" s="26"/>
      <c r="F1221" s="82"/>
      <c r="G1221" s="83"/>
      <c r="H1221" s="84"/>
      <c r="I1221" s="80"/>
      <c r="J1221" s="80"/>
    </row>
    <row r="1222" spans="1:10" hidden="1" x14ac:dyDescent="0.25">
      <c r="A1222" s="78"/>
      <c r="B1222" s="79"/>
      <c r="C1222" s="80"/>
      <c r="D1222" s="81"/>
      <c r="E1222" s="26"/>
      <c r="F1222" s="82"/>
      <c r="G1222" s="83"/>
      <c r="H1222" s="84"/>
      <c r="I1222" s="80"/>
      <c r="J1222" s="80"/>
    </row>
    <row r="1223" spans="1:10" hidden="1" x14ac:dyDescent="0.25">
      <c r="A1223" s="78"/>
      <c r="B1223" s="79"/>
      <c r="C1223" s="80"/>
      <c r="D1223" s="81"/>
      <c r="E1223" s="26"/>
      <c r="F1223" s="82"/>
      <c r="G1223" s="83"/>
      <c r="H1223" s="84"/>
      <c r="I1223" s="80"/>
      <c r="J1223" s="80"/>
    </row>
    <row r="1224" spans="1:10" hidden="1" x14ac:dyDescent="0.25">
      <c r="A1224" s="78"/>
      <c r="B1224" s="79"/>
      <c r="C1224" s="80"/>
      <c r="D1224" s="81"/>
      <c r="E1224" s="26"/>
      <c r="F1224" s="82"/>
      <c r="G1224" s="83"/>
      <c r="H1224" s="84"/>
      <c r="I1224" s="80"/>
      <c r="J1224" s="80"/>
    </row>
    <row r="1225" spans="1:10" hidden="1" x14ac:dyDescent="0.25">
      <c r="A1225" s="78"/>
      <c r="B1225" s="79"/>
      <c r="C1225" s="80"/>
      <c r="D1225" s="81"/>
      <c r="E1225" s="26"/>
      <c r="F1225" s="82"/>
      <c r="G1225" s="83"/>
      <c r="H1225" s="84"/>
      <c r="I1225" s="80"/>
      <c r="J1225" s="80"/>
    </row>
    <row r="1226" spans="1:10" hidden="1" x14ac:dyDescent="0.25">
      <c r="A1226" s="78"/>
      <c r="B1226" s="79"/>
      <c r="C1226" s="80"/>
      <c r="D1226" s="81"/>
      <c r="E1226" s="26"/>
      <c r="F1226" s="82"/>
      <c r="G1226" s="83"/>
      <c r="H1226" s="84"/>
      <c r="I1226" s="80"/>
      <c r="J1226" s="80"/>
    </row>
    <row r="1227" spans="1:10" hidden="1" x14ac:dyDescent="0.25">
      <c r="A1227" s="78"/>
      <c r="B1227" s="79"/>
      <c r="C1227" s="80"/>
      <c r="D1227" s="81"/>
      <c r="E1227" s="26"/>
      <c r="F1227" s="82"/>
      <c r="G1227" s="83"/>
      <c r="H1227" s="84"/>
      <c r="I1227" s="80"/>
      <c r="J1227" s="80"/>
    </row>
    <row r="1228" spans="1:10" hidden="1" x14ac:dyDescent="0.25">
      <c r="A1228" s="78"/>
      <c r="B1228" s="79"/>
      <c r="C1228" s="80"/>
      <c r="D1228" s="81"/>
      <c r="E1228" s="26"/>
      <c r="F1228" s="82"/>
      <c r="G1228" s="83"/>
      <c r="H1228" s="84"/>
      <c r="I1228" s="80"/>
      <c r="J1228" s="80"/>
    </row>
    <row r="1229" spans="1:10" hidden="1" x14ac:dyDescent="0.25">
      <c r="A1229" s="78"/>
      <c r="B1229" s="79"/>
      <c r="C1229" s="80"/>
      <c r="D1229" s="81"/>
      <c r="E1229" s="26"/>
      <c r="F1229" s="82"/>
      <c r="G1229" s="83"/>
      <c r="H1229" s="84"/>
      <c r="I1229" s="80"/>
      <c r="J1229" s="80"/>
    </row>
    <row r="1230" spans="1:10" hidden="1" x14ac:dyDescent="0.25">
      <c r="A1230" s="78"/>
      <c r="B1230" s="79"/>
      <c r="C1230" s="80"/>
      <c r="D1230" s="81"/>
      <c r="E1230" s="26"/>
      <c r="F1230" s="82"/>
      <c r="G1230" s="83"/>
      <c r="H1230" s="84"/>
      <c r="I1230" s="80"/>
      <c r="J1230" s="80"/>
    </row>
    <row r="1231" spans="1:10" hidden="1" x14ac:dyDescent="0.25">
      <c r="A1231" s="78"/>
      <c r="B1231" s="79"/>
      <c r="C1231" s="80"/>
      <c r="D1231" s="81"/>
      <c r="E1231" s="26"/>
      <c r="F1231" s="82"/>
      <c r="G1231" s="83"/>
      <c r="H1231" s="84"/>
      <c r="I1231" s="80"/>
      <c r="J1231" s="80"/>
    </row>
    <row r="1232" spans="1:10" hidden="1" x14ac:dyDescent="0.25">
      <c r="A1232" s="78"/>
      <c r="B1232" s="79"/>
      <c r="C1232" s="80"/>
      <c r="D1232" s="81"/>
      <c r="E1232" s="26"/>
      <c r="F1232" s="82"/>
      <c r="G1232" s="83"/>
      <c r="H1232" s="84"/>
      <c r="I1232" s="80"/>
      <c r="J1232" s="80"/>
    </row>
    <row r="1233" spans="1:10" hidden="1" x14ac:dyDescent="0.25">
      <c r="A1233" s="78"/>
      <c r="B1233" s="79"/>
      <c r="C1233" s="80"/>
      <c r="D1233" s="81"/>
      <c r="E1233" s="26"/>
      <c r="F1233" s="82"/>
      <c r="G1233" s="83"/>
      <c r="H1233" s="84"/>
      <c r="I1233" s="80"/>
      <c r="J1233" s="80"/>
    </row>
    <row r="1234" spans="1:10" hidden="1" x14ac:dyDescent="0.25">
      <c r="A1234" s="78"/>
      <c r="B1234" s="79"/>
      <c r="C1234" s="80"/>
      <c r="D1234" s="81"/>
      <c r="E1234" s="26"/>
      <c r="F1234" s="82"/>
      <c r="G1234" s="83"/>
      <c r="H1234" s="84"/>
      <c r="I1234" s="80"/>
      <c r="J1234" s="80"/>
    </row>
    <row r="1235" spans="1:10" hidden="1" x14ac:dyDescent="0.25">
      <c r="A1235" s="78"/>
      <c r="B1235" s="79"/>
      <c r="C1235" s="80"/>
      <c r="D1235" s="81"/>
      <c r="E1235" s="26"/>
      <c r="F1235" s="82"/>
      <c r="G1235" s="83"/>
      <c r="H1235" s="84"/>
      <c r="I1235" s="80"/>
      <c r="J1235" s="80"/>
    </row>
    <row r="1236" spans="1:10" hidden="1" x14ac:dyDescent="0.25">
      <c r="A1236" s="78"/>
      <c r="B1236" s="79"/>
      <c r="C1236" s="80"/>
      <c r="D1236" s="81"/>
      <c r="E1236" s="26"/>
      <c r="F1236" s="82"/>
      <c r="G1236" s="83"/>
      <c r="H1236" s="84"/>
      <c r="I1236" s="80"/>
      <c r="J1236" s="80"/>
    </row>
    <row r="1237" spans="1:10" hidden="1" x14ac:dyDescent="0.25">
      <c r="A1237" s="78"/>
      <c r="B1237" s="79"/>
      <c r="C1237" s="80"/>
      <c r="D1237" s="81"/>
      <c r="E1237" s="26"/>
      <c r="F1237" s="82"/>
      <c r="G1237" s="83"/>
      <c r="H1237" s="84"/>
      <c r="I1237" s="80"/>
      <c r="J1237" s="80"/>
    </row>
    <row r="1238" spans="1:10" hidden="1" x14ac:dyDescent="0.25">
      <c r="A1238" s="78"/>
      <c r="B1238" s="79"/>
      <c r="C1238" s="80"/>
      <c r="D1238" s="81"/>
      <c r="E1238" s="26"/>
      <c r="F1238" s="82"/>
      <c r="G1238" s="83"/>
      <c r="H1238" s="84"/>
      <c r="I1238" s="80"/>
      <c r="J1238" s="80"/>
    </row>
    <row r="1239" spans="1:10" hidden="1" x14ac:dyDescent="0.25">
      <c r="A1239" s="78"/>
      <c r="B1239" s="79"/>
      <c r="C1239" s="80"/>
      <c r="D1239" s="81"/>
      <c r="E1239" s="26"/>
      <c r="F1239" s="82"/>
      <c r="G1239" s="83"/>
      <c r="H1239" s="84"/>
      <c r="I1239" s="80"/>
      <c r="J1239" s="80"/>
    </row>
    <row r="1240" spans="1:10" hidden="1" x14ac:dyDescent="0.25">
      <c r="A1240" s="78"/>
      <c r="B1240" s="79"/>
      <c r="C1240" s="80"/>
      <c r="D1240" s="81"/>
      <c r="E1240" s="26"/>
      <c r="F1240" s="82"/>
      <c r="G1240" s="83"/>
      <c r="H1240" s="84"/>
      <c r="I1240" s="80"/>
      <c r="J1240" s="80"/>
    </row>
    <row r="1241" spans="1:10" hidden="1" x14ac:dyDescent="0.25">
      <c r="A1241" s="78"/>
      <c r="B1241" s="79"/>
      <c r="C1241" s="80"/>
      <c r="D1241" s="81"/>
      <c r="E1241" s="26"/>
      <c r="F1241" s="82"/>
      <c r="G1241" s="83"/>
      <c r="H1241" s="84"/>
      <c r="I1241" s="80"/>
      <c r="J1241" s="80"/>
    </row>
    <row r="1242" spans="1:10" hidden="1" x14ac:dyDescent="0.25">
      <c r="A1242" s="78"/>
      <c r="B1242" s="79"/>
      <c r="C1242" s="80"/>
      <c r="D1242" s="81"/>
      <c r="E1242" s="26"/>
      <c r="F1242" s="82"/>
      <c r="G1242" s="83"/>
      <c r="H1242" s="84"/>
      <c r="I1242" s="80"/>
      <c r="J1242" s="80"/>
    </row>
    <row r="1243" spans="1:10" hidden="1" x14ac:dyDescent="0.25">
      <c r="A1243" s="78"/>
      <c r="B1243" s="79"/>
      <c r="C1243" s="80"/>
      <c r="D1243" s="81"/>
      <c r="E1243" s="26"/>
      <c r="F1243" s="82"/>
      <c r="G1243" s="83"/>
      <c r="H1243" s="84"/>
      <c r="I1243" s="80"/>
      <c r="J1243" s="80"/>
    </row>
    <row r="1244" spans="1:10" hidden="1" x14ac:dyDescent="0.25">
      <c r="A1244" s="78"/>
      <c r="B1244" s="79"/>
      <c r="C1244" s="80"/>
      <c r="D1244" s="81"/>
      <c r="E1244" s="26"/>
      <c r="F1244" s="82"/>
      <c r="G1244" s="83"/>
      <c r="H1244" s="84"/>
      <c r="I1244" s="80"/>
      <c r="J1244" s="80"/>
    </row>
    <row r="1245" spans="1:10" hidden="1" x14ac:dyDescent="0.25">
      <c r="A1245" s="78"/>
      <c r="B1245" s="79"/>
      <c r="C1245" s="80"/>
      <c r="D1245" s="81"/>
      <c r="E1245" s="26"/>
      <c r="F1245" s="82"/>
      <c r="G1245" s="83"/>
      <c r="H1245" s="84"/>
      <c r="I1245" s="80"/>
      <c r="J1245" s="80"/>
    </row>
    <row r="1246" spans="1:10" hidden="1" x14ac:dyDescent="0.25">
      <c r="A1246" s="78"/>
      <c r="B1246" s="79"/>
      <c r="C1246" s="80"/>
      <c r="D1246" s="81"/>
      <c r="E1246" s="26"/>
      <c r="F1246" s="82"/>
      <c r="G1246" s="83"/>
      <c r="H1246" s="84"/>
      <c r="I1246" s="80"/>
      <c r="J1246" s="80"/>
    </row>
    <row r="1247" spans="1:10" hidden="1" x14ac:dyDescent="0.25">
      <c r="A1247" s="78"/>
      <c r="B1247" s="79"/>
      <c r="C1247" s="80"/>
      <c r="D1247" s="81"/>
      <c r="E1247" s="26"/>
      <c r="F1247" s="82"/>
      <c r="G1247" s="83"/>
      <c r="H1247" s="84"/>
      <c r="I1247" s="80"/>
      <c r="J1247" s="80"/>
    </row>
    <row r="1248" spans="1:10" hidden="1" x14ac:dyDescent="0.25">
      <c r="A1248" s="78"/>
      <c r="B1248" s="79"/>
      <c r="C1248" s="80"/>
      <c r="D1248" s="81"/>
      <c r="E1248" s="26"/>
      <c r="F1248" s="82"/>
      <c r="G1248" s="83"/>
      <c r="H1248" s="84"/>
      <c r="I1248" s="80"/>
      <c r="J1248" s="80"/>
    </row>
    <row r="1249" spans="1:10" hidden="1" x14ac:dyDescent="0.25">
      <c r="A1249" s="78"/>
      <c r="B1249" s="79"/>
      <c r="C1249" s="80"/>
      <c r="D1249" s="81"/>
      <c r="E1249" s="26"/>
      <c r="F1249" s="82"/>
      <c r="G1249" s="83"/>
      <c r="H1249" s="84"/>
      <c r="I1249" s="80"/>
      <c r="J1249" s="80"/>
    </row>
    <row r="1250" spans="1:10" hidden="1" x14ac:dyDescent="0.25">
      <c r="A1250" s="78"/>
      <c r="B1250" s="79"/>
      <c r="C1250" s="80"/>
      <c r="D1250" s="81"/>
      <c r="E1250" s="26"/>
      <c r="F1250" s="82"/>
      <c r="G1250" s="83"/>
      <c r="H1250" s="84"/>
      <c r="I1250" s="80"/>
      <c r="J1250" s="80"/>
    </row>
    <row r="1251" spans="1:10" hidden="1" x14ac:dyDescent="0.25">
      <c r="A1251" s="78"/>
      <c r="B1251" s="79"/>
      <c r="C1251" s="80"/>
      <c r="D1251" s="81"/>
      <c r="E1251" s="26"/>
      <c r="F1251" s="82"/>
      <c r="G1251" s="83"/>
      <c r="H1251" s="84"/>
      <c r="I1251" s="80"/>
      <c r="J1251" s="80"/>
    </row>
    <row r="1252" spans="1:10" hidden="1" x14ac:dyDescent="0.25">
      <c r="A1252" s="78"/>
      <c r="B1252" s="79"/>
      <c r="C1252" s="80"/>
      <c r="D1252" s="81"/>
      <c r="E1252" s="26"/>
      <c r="F1252" s="82"/>
      <c r="G1252" s="83"/>
      <c r="H1252" s="84"/>
      <c r="I1252" s="80"/>
      <c r="J1252" s="80"/>
    </row>
    <row r="1253" spans="1:10" hidden="1" x14ac:dyDescent="0.25">
      <c r="A1253" s="78"/>
      <c r="B1253" s="79"/>
      <c r="C1253" s="80"/>
      <c r="D1253" s="81"/>
      <c r="E1253" s="26"/>
      <c r="F1253" s="82"/>
      <c r="G1253" s="83"/>
      <c r="H1253" s="84"/>
      <c r="I1253" s="80"/>
      <c r="J1253" s="80"/>
    </row>
    <row r="1254" spans="1:10" hidden="1" x14ac:dyDescent="0.25">
      <c r="A1254" s="78"/>
      <c r="B1254" s="79"/>
      <c r="C1254" s="80"/>
      <c r="D1254" s="81"/>
      <c r="E1254" s="26"/>
      <c r="F1254" s="82"/>
      <c r="G1254" s="83"/>
      <c r="H1254" s="84"/>
      <c r="I1254" s="80"/>
      <c r="J1254" s="80"/>
    </row>
    <row r="1255" spans="1:10" hidden="1" x14ac:dyDescent="0.25">
      <c r="A1255" s="78"/>
      <c r="B1255" s="79"/>
      <c r="C1255" s="80"/>
      <c r="D1255" s="81"/>
      <c r="E1255" s="26"/>
      <c r="F1255" s="82"/>
      <c r="G1255" s="83"/>
      <c r="H1255" s="84"/>
      <c r="I1255" s="80"/>
      <c r="J1255" s="80"/>
    </row>
    <row r="1256" spans="1:10" hidden="1" x14ac:dyDescent="0.25">
      <c r="A1256" s="78"/>
      <c r="B1256" s="79"/>
      <c r="C1256" s="80"/>
      <c r="D1256" s="81"/>
      <c r="E1256" s="26"/>
      <c r="F1256" s="82"/>
      <c r="G1256" s="83"/>
      <c r="H1256" s="84"/>
      <c r="I1256" s="80"/>
      <c r="J1256" s="80"/>
    </row>
    <row r="1257" spans="1:10" hidden="1" x14ac:dyDescent="0.25">
      <c r="A1257" s="78"/>
      <c r="B1257" s="79"/>
      <c r="C1257" s="80"/>
      <c r="D1257" s="81"/>
      <c r="E1257" s="26"/>
      <c r="F1257" s="82"/>
      <c r="G1257" s="83"/>
      <c r="H1257" s="84"/>
      <c r="I1257" s="80"/>
      <c r="J1257" s="80"/>
    </row>
    <row r="1258" spans="1:10" hidden="1" x14ac:dyDescent="0.25">
      <c r="A1258" s="78"/>
      <c r="B1258" s="79"/>
      <c r="C1258" s="80"/>
      <c r="D1258" s="81"/>
      <c r="E1258" s="26"/>
      <c r="F1258" s="82"/>
      <c r="G1258" s="83"/>
      <c r="H1258" s="84"/>
      <c r="I1258" s="80"/>
      <c r="J1258" s="80"/>
    </row>
    <row r="1259" spans="1:10" hidden="1" x14ac:dyDescent="0.25">
      <c r="A1259" s="78"/>
      <c r="B1259" s="79"/>
      <c r="C1259" s="80"/>
      <c r="D1259" s="81"/>
      <c r="E1259" s="26"/>
      <c r="F1259" s="82"/>
      <c r="G1259" s="83"/>
      <c r="H1259" s="84"/>
      <c r="I1259" s="80"/>
      <c r="J1259" s="80"/>
    </row>
    <row r="1260" spans="1:10" hidden="1" x14ac:dyDescent="0.25">
      <c r="A1260" s="78"/>
      <c r="B1260" s="79"/>
      <c r="C1260" s="80"/>
      <c r="D1260" s="81"/>
      <c r="E1260" s="26"/>
      <c r="F1260" s="82"/>
      <c r="G1260" s="83"/>
      <c r="H1260" s="84"/>
      <c r="I1260" s="80"/>
      <c r="J1260" s="80"/>
    </row>
    <row r="1261" spans="1:10" hidden="1" x14ac:dyDescent="0.25">
      <c r="A1261" s="78"/>
      <c r="B1261" s="79"/>
      <c r="C1261" s="80"/>
      <c r="D1261" s="81"/>
      <c r="E1261" s="26"/>
      <c r="F1261" s="82"/>
      <c r="G1261" s="83"/>
      <c r="H1261" s="84"/>
      <c r="I1261" s="80"/>
      <c r="J1261" s="80"/>
    </row>
    <row r="1262" spans="1:10" hidden="1" x14ac:dyDescent="0.25">
      <c r="A1262" s="78"/>
      <c r="B1262" s="79"/>
      <c r="C1262" s="80"/>
      <c r="D1262" s="81"/>
      <c r="E1262" s="26"/>
      <c r="F1262" s="82"/>
      <c r="G1262" s="83"/>
      <c r="H1262" s="84"/>
      <c r="I1262" s="80"/>
      <c r="J1262" s="80"/>
    </row>
    <row r="1263" spans="1:10" hidden="1" x14ac:dyDescent="0.25">
      <c r="A1263" s="78"/>
      <c r="B1263" s="79"/>
      <c r="C1263" s="80"/>
      <c r="D1263" s="81"/>
      <c r="E1263" s="26"/>
      <c r="F1263" s="82"/>
      <c r="G1263" s="83"/>
      <c r="H1263" s="84"/>
      <c r="I1263" s="80"/>
      <c r="J1263" s="80"/>
    </row>
    <row r="1264" spans="1:10" hidden="1" x14ac:dyDescent="0.25">
      <c r="A1264" s="78"/>
      <c r="B1264" s="79"/>
      <c r="C1264" s="80"/>
      <c r="D1264" s="81"/>
      <c r="E1264" s="26"/>
      <c r="F1264" s="82"/>
      <c r="G1264" s="83"/>
      <c r="H1264" s="84"/>
      <c r="I1264" s="80"/>
      <c r="J1264" s="80"/>
    </row>
    <row r="1265" spans="1:10" hidden="1" x14ac:dyDescent="0.25">
      <c r="A1265" s="78"/>
      <c r="B1265" s="79"/>
      <c r="C1265" s="80"/>
      <c r="D1265" s="81"/>
      <c r="E1265" s="26"/>
      <c r="F1265" s="82"/>
      <c r="G1265" s="83"/>
      <c r="H1265" s="84"/>
      <c r="I1265" s="80"/>
      <c r="J1265" s="80"/>
    </row>
    <row r="1266" spans="1:10" hidden="1" x14ac:dyDescent="0.25">
      <c r="A1266" s="78"/>
      <c r="B1266" s="79"/>
      <c r="C1266" s="80"/>
      <c r="D1266" s="81"/>
      <c r="E1266" s="26"/>
      <c r="F1266" s="82"/>
      <c r="G1266" s="83"/>
      <c r="H1266" s="84"/>
      <c r="I1266" s="80"/>
      <c r="J1266" s="80"/>
    </row>
    <row r="1267" spans="1:10" hidden="1" x14ac:dyDescent="0.25">
      <c r="A1267" s="78"/>
      <c r="B1267" s="79"/>
      <c r="C1267" s="80"/>
      <c r="D1267" s="81"/>
      <c r="E1267" s="26"/>
      <c r="F1267" s="82"/>
      <c r="G1267" s="83"/>
      <c r="H1267" s="84"/>
      <c r="I1267" s="80"/>
      <c r="J1267" s="80"/>
    </row>
    <row r="1268" spans="1:10" hidden="1" x14ac:dyDescent="0.25">
      <c r="A1268" s="78"/>
      <c r="B1268" s="79"/>
      <c r="C1268" s="80"/>
      <c r="D1268" s="81"/>
      <c r="E1268" s="26"/>
      <c r="F1268" s="82"/>
      <c r="G1268" s="83"/>
      <c r="H1268" s="84"/>
      <c r="I1268" s="80"/>
      <c r="J1268" s="80"/>
    </row>
    <row r="1269" spans="1:10" hidden="1" x14ac:dyDescent="0.25">
      <c r="A1269" s="78"/>
      <c r="B1269" s="79"/>
      <c r="C1269" s="80"/>
      <c r="D1269" s="81"/>
      <c r="E1269" s="26"/>
      <c r="F1269" s="82"/>
      <c r="G1269" s="83"/>
      <c r="H1269" s="84"/>
      <c r="I1269" s="80"/>
      <c r="J1269" s="80"/>
    </row>
    <row r="1270" spans="1:10" hidden="1" x14ac:dyDescent="0.25">
      <c r="A1270" s="78"/>
      <c r="B1270" s="79"/>
      <c r="C1270" s="80"/>
      <c r="D1270" s="81"/>
      <c r="E1270" s="26"/>
      <c r="F1270" s="82"/>
      <c r="G1270" s="83"/>
      <c r="H1270" s="84"/>
      <c r="I1270" s="80"/>
      <c r="J1270" s="80"/>
    </row>
    <row r="1271" spans="1:10" hidden="1" x14ac:dyDescent="0.25">
      <c r="A1271" s="78"/>
      <c r="B1271" s="79"/>
      <c r="C1271" s="80"/>
      <c r="D1271" s="81"/>
      <c r="E1271" s="26"/>
      <c r="F1271" s="82"/>
      <c r="G1271" s="83"/>
      <c r="H1271" s="84"/>
      <c r="I1271" s="80"/>
      <c r="J1271" s="80"/>
    </row>
    <row r="1272" spans="1:10" hidden="1" x14ac:dyDescent="0.25">
      <c r="A1272" s="78"/>
      <c r="B1272" s="79"/>
      <c r="C1272" s="80"/>
      <c r="D1272" s="81"/>
      <c r="E1272" s="26"/>
      <c r="F1272" s="82"/>
      <c r="G1272" s="83"/>
      <c r="H1272" s="84"/>
      <c r="I1272" s="80"/>
      <c r="J1272" s="80"/>
    </row>
    <row r="1273" spans="1:10" hidden="1" x14ac:dyDescent="0.25">
      <c r="A1273" s="78"/>
      <c r="B1273" s="79"/>
      <c r="C1273" s="80"/>
      <c r="D1273" s="81"/>
      <c r="E1273" s="26"/>
      <c r="F1273" s="82"/>
      <c r="G1273" s="83"/>
      <c r="H1273" s="84"/>
      <c r="I1273" s="80"/>
      <c r="J1273" s="80"/>
    </row>
    <row r="1274" spans="1:10" hidden="1" x14ac:dyDescent="0.25">
      <c r="A1274" s="78"/>
      <c r="B1274" s="79"/>
      <c r="C1274" s="80"/>
      <c r="D1274" s="81"/>
      <c r="E1274" s="26"/>
      <c r="F1274" s="82"/>
      <c r="G1274" s="83"/>
      <c r="H1274" s="84"/>
      <c r="I1274" s="80"/>
      <c r="J1274" s="80"/>
    </row>
    <row r="1275" spans="1:10" hidden="1" x14ac:dyDescent="0.25">
      <c r="A1275" s="78"/>
      <c r="B1275" s="79"/>
      <c r="C1275" s="80"/>
      <c r="D1275" s="81"/>
      <c r="E1275" s="26"/>
      <c r="F1275" s="82"/>
      <c r="G1275" s="83"/>
      <c r="H1275" s="84"/>
      <c r="I1275" s="80"/>
      <c r="J1275" s="80"/>
    </row>
    <row r="1276" spans="1:10" hidden="1" x14ac:dyDescent="0.25">
      <c r="A1276" s="78"/>
      <c r="B1276" s="79"/>
      <c r="C1276" s="80"/>
      <c r="D1276" s="81"/>
      <c r="E1276" s="26"/>
      <c r="F1276" s="82"/>
      <c r="G1276" s="83"/>
      <c r="H1276" s="84"/>
      <c r="I1276" s="80"/>
      <c r="J1276" s="80"/>
    </row>
    <row r="1277" spans="1:10" hidden="1" x14ac:dyDescent="0.25">
      <c r="A1277" s="78"/>
      <c r="B1277" s="79"/>
      <c r="C1277" s="80"/>
      <c r="D1277" s="81"/>
      <c r="E1277" s="26"/>
      <c r="F1277" s="82"/>
      <c r="G1277" s="83"/>
      <c r="H1277" s="84"/>
      <c r="I1277" s="80"/>
      <c r="J1277" s="80"/>
    </row>
    <row r="1278" spans="1:10" hidden="1" x14ac:dyDescent="0.25">
      <c r="A1278" s="78"/>
      <c r="B1278" s="79"/>
      <c r="C1278" s="80"/>
      <c r="D1278" s="81"/>
      <c r="E1278" s="26"/>
      <c r="F1278" s="82"/>
      <c r="G1278" s="83"/>
      <c r="H1278" s="84"/>
      <c r="I1278" s="80"/>
      <c r="J1278" s="80"/>
    </row>
    <row r="1279" spans="1:10" hidden="1" x14ac:dyDescent="0.25">
      <c r="A1279" s="78"/>
      <c r="B1279" s="79"/>
      <c r="C1279" s="80"/>
      <c r="D1279" s="81"/>
      <c r="E1279" s="26"/>
      <c r="F1279" s="82"/>
      <c r="G1279" s="83"/>
      <c r="H1279" s="84"/>
      <c r="I1279" s="80"/>
      <c r="J1279" s="80"/>
    </row>
    <row r="1280" spans="1:10" hidden="1" x14ac:dyDescent="0.25">
      <c r="A1280" s="78"/>
      <c r="B1280" s="79"/>
      <c r="C1280" s="80"/>
      <c r="D1280" s="81"/>
      <c r="E1280" s="26"/>
      <c r="F1280" s="82"/>
      <c r="G1280" s="83"/>
      <c r="H1280" s="84"/>
      <c r="I1280" s="80"/>
      <c r="J1280" s="80"/>
    </row>
    <row r="1281" spans="1:10" hidden="1" x14ac:dyDescent="0.25">
      <c r="A1281" s="78"/>
      <c r="B1281" s="79"/>
      <c r="C1281" s="80"/>
      <c r="D1281" s="81"/>
      <c r="E1281" s="26"/>
      <c r="F1281" s="82"/>
      <c r="G1281" s="83"/>
      <c r="H1281" s="84"/>
      <c r="I1281" s="80"/>
      <c r="J1281" s="80"/>
    </row>
    <row r="1282" spans="1:10" hidden="1" x14ac:dyDescent="0.25">
      <c r="A1282" s="78"/>
      <c r="B1282" s="79"/>
      <c r="C1282" s="80"/>
      <c r="D1282" s="81"/>
      <c r="E1282" s="26"/>
      <c r="F1282" s="82"/>
      <c r="G1282" s="83"/>
      <c r="H1282" s="84"/>
      <c r="I1282" s="80"/>
      <c r="J1282" s="80"/>
    </row>
    <row r="1283" spans="1:10" hidden="1" x14ac:dyDescent="0.25">
      <c r="A1283" s="78"/>
      <c r="B1283" s="79"/>
      <c r="C1283" s="80"/>
      <c r="D1283" s="81"/>
      <c r="E1283" s="26"/>
      <c r="F1283" s="82"/>
      <c r="G1283" s="83"/>
      <c r="H1283" s="84"/>
      <c r="I1283" s="80"/>
      <c r="J1283" s="80"/>
    </row>
    <row r="1284" spans="1:10" hidden="1" x14ac:dyDescent="0.25">
      <c r="A1284" s="78"/>
      <c r="B1284" s="79"/>
      <c r="C1284" s="80"/>
      <c r="D1284" s="81"/>
      <c r="E1284" s="26"/>
      <c r="F1284" s="82"/>
      <c r="G1284" s="83"/>
      <c r="H1284" s="84"/>
      <c r="I1284" s="80"/>
      <c r="J1284" s="80"/>
    </row>
    <row r="1285" spans="1:10" hidden="1" x14ac:dyDescent="0.25">
      <c r="A1285" s="78"/>
      <c r="B1285" s="79"/>
      <c r="C1285" s="80"/>
      <c r="D1285" s="81"/>
      <c r="E1285" s="26"/>
      <c r="F1285" s="82"/>
      <c r="G1285" s="83"/>
      <c r="H1285" s="84"/>
      <c r="I1285" s="80"/>
      <c r="J1285" s="80"/>
    </row>
    <row r="1286" spans="1:10" hidden="1" x14ac:dyDescent="0.25">
      <c r="A1286" s="78"/>
      <c r="B1286" s="79"/>
      <c r="C1286" s="80"/>
      <c r="D1286" s="81"/>
      <c r="E1286" s="26"/>
      <c r="F1286" s="82"/>
      <c r="G1286" s="83"/>
      <c r="H1286" s="84"/>
      <c r="I1286" s="80"/>
      <c r="J1286" s="80"/>
    </row>
    <row r="1287" spans="1:10" hidden="1" x14ac:dyDescent="0.25">
      <c r="A1287" s="78"/>
      <c r="B1287" s="79"/>
      <c r="C1287" s="80"/>
      <c r="D1287" s="81"/>
      <c r="E1287" s="26"/>
      <c r="F1287" s="82"/>
      <c r="G1287" s="83"/>
      <c r="H1287" s="84"/>
      <c r="I1287" s="80"/>
      <c r="J1287" s="80"/>
    </row>
    <row r="1288" spans="1:10" hidden="1" x14ac:dyDescent="0.25">
      <c r="A1288" s="78"/>
      <c r="B1288" s="79"/>
      <c r="C1288" s="80"/>
      <c r="D1288" s="81"/>
      <c r="E1288" s="26"/>
      <c r="F1288" s="82"/>
      <c r="G1288" s="83"/>
      <c r="H1288" s="84"/>
      <c r="I1288" s="80"/>
      <c r="J1288" s="80"/>
    </row>
    <row r="1289" spans="1:10" hidden="1" x14ac:dyDescent="0.25">
      <c r="A1289" s="78"/>
      <c r="B1289" s="79"/>
      <c r="C1289" s="80"/>
      <c r="D1289" s="81"/>
      <c r="E1289" s="26"/>
      <c r="F1289" s="82"/>
      <c r="G1289" s="83"/>
      <c r="H1289" s="84"/>
      <c r="I1289" s="80"/>
      <c r="J1289" s="80"/>
    </row>
    <row r="1290" spans="1:10" hidden="1" x14ac:dyDescent="0.25">
      <c r="A1290" s="78"/>
      <c r="B1290" s="79"/>
      <c r="C1290" s="80"/>
      <c r="D1290" s="81"/>
      <c r="E1290" s="26"/>
      <c r="F1290" s="82"/>
      <c r="G1290" s="83"/>
      <c r="H1290" s="84"/>
      <c r="I1290" s="80"/>
      <c r="J1290" s="80"/>
    </row>
    <row r="1291" spans="1:10" hidden="1" x14ac:dyDescent="0.25">
      <c r="A1291" s="78"/>
      <c r="B1291" s="79"/>
      <c r="C1291" s="80"/>
      <c r="D1291" s="81"/>
      <c r="E1291" s="26"/>
      <c r="F1291" s="82"/>
      <c r="G1291" s="83"/>
      <c r="H1291" s="84"/>
      <c r="I1291" s="80"/>
      <c r="J1291" s="80"/>
    </row>
    <row r="1292" spans="1:10" hidden="1" x14ac:dyDescent="0.25">
      <c r="A1292" s="78"/>
      <c r="B1292" s="79"/>
      <c r="C1292" s="80"/>
      <c r="D1292" s="81"/>
      <c r="E1292" s="26"/>
      <c r="F1292" s="82"/>
      <c r="G1292" s="83"/>
      <c r="H1292" s="84"/>
      <c r="I1292" s="80"/>
      <c r="J1292" s="80"/>
    </row>
    <row r="1293" spans="1:10" hidden="1" x14ac:dyDescent="0.25">
      <c r="A1293" s="78"/>
      <c r="B1293" s="79"/>
      <c r="C1293" s="80"/>
      <c r="D1293" s="81"/>
      <c r="E1293" s="26"/>
      <c r="F1293" s="82"/>
      <c r="G1293" s="83"/>
      <c r="H1293" s="84"/>
      <c r="I1293" s="80"/>
      <c r="J1293" s="80"/>
    </row>
    <row r="1294" spans="1:10" hidden="1" x14ac:dyDescent="0.25">
      <c r="A1294" s="78"/>
      <c r="B1294" s="79"/>
      <c r="C1294" s="80"/>
      <c r="D1294" s="81"/>
      <c r="E1294" s="26"/>
      <c r="F1294" s="82"/>
      <c r="G1294" s="83"/>
      <c r="H1294" s="84"/>
      <c r="I1294" s="80"/>
      <c r="J1294" s="80"/>
    </row>
    <row r="1295" spans="1:10" hidden="1" x14ac:dyDescent="0.25">
      <c r="A1295" s="78"/>
      <c r="B1295" s="79"/>
      <c r="C1295" s="80"/>
      <c r="D1295" s="81"/>
      <c r="E1295" s="26"/>
      <c r="F1295" s="82"/>
      <c r="G1295" s="83"/>
      <c r="H1295" s="84"/>
      <c r="I1295" s="80"/>
      <c r="J1295" s="80"/>
    </row>
    <row r="1296" spans="1:10" hidden="1" x14ac:dyDescent="0.25">
      <c r="A1296" s="78"/>
      <c r="B1296" s="79"/>
      <c r="C1296" s="80"/>
      <c r="D1296" s="81"/>
      <c r="E1296" s="26"/>
      <c r="F1296" s="82"/>
      <c r="G1296" s="83"/>
      <c r="H1296" s="84"/>
      <c r="I1296" s="80"/>
      <c r="J1296" s="80"/>
    </row>
    <row r="1297" spans="1:10" hidden="1" x14ac:dyDescent="0.25">
      <c r="A1297" s="78"/>
      <c r="B1297" s="79"/>
      <c r="C1297" s="80"/>
      <c r="D1297" s="81"/>
      <c r="E1297" s="26"/>
      <c r="F1297" s="82"/>
      <c r="G1297" s="83"/>
      <c r="H1297" s="84"/>
      <c r="I1297" s="80"/>
      <c r="J1297" s="80"/>
    </row>
    <row r="1298" spans="1:10" hidden="1" x14ac:dyDescent="0.25">
      <c r="A1298" s="78"/>
      <c r="B1298" s="79"/>
      <c r="C1298" s="80"/>
      <c r="D1298" s="81"/>
      <c r="E1298" s="26"/>
      <c r="F1298" s="82"/>
      <c r="G1298" s="83"/>
      <c r="H1298" s="84"/>
      <c r="I1298" s="80"/>
      <c r="J1298" s="80"/>
    </row>
    <row r="1299" spans="1:10" hidden="1" x14ac:dyDescent="0.25">
      <c r="A1299" s="78"/>
      <c r="B1299" s="79"/>
      <c r="C1299" s="80"/>
      <c r="D1299" s="81"/>
      <c r="E1299" s="26"/>
      <c r="F1299" s="82"/>
      <c r="G1299" s="83"/>
      <c r="H1299" s="84"/>
      <c r="I1299" s="80"/>
      <c r="J1299" s="80"/>
    </row>
    <row r="1300" spans="1:10" hidden="1" x14ac:dyDescent="0.25">
      <c r="A1300" s="78"/>
      <c r="B1300" s="79"/>
      <c r="C1300" s="80"/>
      <c r="D1300" s="81"/>
      <c r="E1300" s="26"/>
      <c r="F1300" s="82"/>
      <c r="G1300" s="83"/>
      <c r="H1300" s="84"/>
      <c r="I1300" s="80"/>
      <c r="J1300" s="80"/>
    </row>
    <row r="1301" spans="1:10" hidden="1" x14ac:dyDescent="0.25">
      <c r="A1301" s="78"/>
      <c r="B1301" s="79"/>
      <c r="C1301" s="80"/>
      <c r="D1301" s="81"/>
      <c r="E1301" s="26"/>
      <c r="F1301" s="82"/>
      <c r="G1301" s="83"/>
      <c r="H1301" s="84"/>
      <c r="I1301" s="80"/>
      <c r="J1301" s="80"/>
    </row>
    <row r="1302" spans="1:10" hidden="1" x14ac:dyDescent="0.25">
      <c r="A1302" s="78"/>
      <c r="B1302" s="79"/>
      <c r="C1302" s="80"/>
      <c r="D1302" s="81"/>
      <c r="E1302" s="26"/>
      <c r="F1302" s="82"/>
      <c r="G1302" s="83"/>
      <c r="H1302" s="84"/>
      <c r="I1302" s="80"/>
      <c r="J1302" s="80"/>
    </row>
    <row r="1303" spans="1:10" hidden="1" x14ac:dyDescent="0.25">
      <c r="A1303" s="78"/>
      <c r="B1303" s="79"/>
      <c r="C1303" s="80"/>
      <c r="D1303" s="81"/>
      <c r="E1303" s="26"/>
      <c r="F1303" s="82"/>
      <c r="G1303" s="83"/>
      <c r="H1303" s="84"/>
      <c r="I1303" s="80"/>
      <c r="J1303" s="80"/>
    </row>
    <row r="1304" spans="1:10" hidden="1" x14ac:dyDescent="0.25">
      <c r="A1304" s="78"/>
      <c r="B1304" s="79"/>
      <c r="C1304" s="80"/>
      <c r="D1304" s="81"/>
      <c r="E1304" s="26"/>
      <c r="F1304" s="82"/>
      <c r="G1304" s="83"/>
      <c r="H1304" s="84"/>
      <c r="I1304" s="80"/>
      <c r="J1304" s="80"/>
    </row>
    <row r="1305" spans="1:10" hidden="1" x14ac:dyDescent="0.25">
      <c r="A1305" s="78"/>
      <c r="B1305" s="79"/>
      <c r="C1305" s="80"/>
      <c r="D1305" s="81"/>
      <c r="E1305" s="26"/>
      <c r="F1305" s="82"/>
      <c r="G1305" s="83"/>
      <c r="H1305" s="84"/>
      <c r="I1305" s="80"/>
      <c r="J1305" s="80"/>
    </row>
    <row r="1306" spans="1:10" hidden="1" x14ac:dyDescent="0.25">
      <c r="A1306" s="78"/>
      <c r="B1306" s="79"/>
      <c r="C1306" s="80"/>
      <c r="D1306" s="81"/>
      <c r="E1306" s="26"/>
      <c r="F1306" s="82"/>
      <c r="G1306" s="83"/>
      <c r="H1306" s="84"/>
      <c r="I1306" s="80"/>
      <c r="J1306" s="80"/>
    </row>
    <row r="1307" spans="1:10" hidden="1" x14ac:dyDescent="0.25">
      <c r="A1307" s="78"/>
      <c r="B1307" s="79"/>
      <c r="C1307" s="80"/>
      <c r="D1307" s="81"/>
      <c r="E1307" s="26"/>
      <c r="F1307" s="82"/>
      <c r="G1307" s="83"/>
      <c r="H1307" s="84"/>
      <c r="I1307" s="80"/>
      <c r="J1307" s="80"/>
    </row>
    <row r="1308" spans="1:10" hidden="1" x14ac:dyDescent="0.25">
      <c r="A1308" s="78"/>
      <c r="B1308" s="79"/>
      <c r="C1308" s="80"/>
      <c r="D1308" s="81"/>
      <c r="E1308" s="26"/>
      <c r="F1308" s="82"/>
      <c r="G1308" s="83"/>
      <c r="H1308" s="84"/>
      <c r="I1308" s="80"/>
      <c r="J1308" s="80"/>
    </row>
    <row r="1309" spans="1:10" hidden="1" x14ac:dyDescent="0.25">
      <c r="A1309" s="78"/>
      <c r="B1309" s="79"/>
      <c r="C1309" s="80"/>
      <c r="D1309" s="81"/>
      <c r="E1309" s="26"/>
      <c r="F1309" s="82"/>
      <c r="G1309" s="83"/>
      <c r="H1309" s="84"/>
      <c r="I1309" s="80"/>
      <c r="J1309" s="80"/>
    </row>
    <row r="1310" spans="1:10" hidden="1" x14ac:dyDescent="0.25">
      <c r="A1310" s="78"/>
      <c r="B1310" s="79"/>
      <c r="C1310" s="80"/>
      <c r="D1310" s="81"/>
      <c r="E1310" s="26"/>
      <c r="F1310" s="82"/>
      <c r="G1310" s="83"/>
      <c r="H1310" s="84"/>
      <c r="I1310" s="80"/>
      <c r="J1310" s="80"/>
    </row>
    <row r="1311" spans="1:10" hidden="1" x14ac:dyDescent="0.25">
      <c r="A1311" s="78"/>
      <c r="B1311" s="79"/>
      <c r="C1311" s="80"/>
      <c r="D1311" s="81"/>
      <c r="E1311" s="26"/>
      <c r="F1311" s="82"/>
      <c r="G1311" s="83"/>
      <c r="H1311" s="84"/>
      <c r="I1311" s="80"/>
      <c r="J1311" s="80"/>
    </row>
    <row r="1312" spans="1:10" hidden="1" x14ac:dyDescent="0.25">
      <c r="A1312" s="78"/>
      <c r="B1312" s="79"/>
      <c r="C1312" s="80"/>
      <c r="D1312" s="81"/>
      <c r="E1312" s="26"/>
      <c r="F1312" s="82"/>
      <c r="G1312" s="83"/>
      <c r="H1312" s="84"/>
      <c r="I1312" s="80"/>
      <c r="J1312" s="80"/>
    </row>
    <row r="1313" spans="1:10" hidden="1" x14ac:dyDescent="0.25">
      <c r="A1313" s="78"/>
      <c r="B1313" s="79"/>
      <c r="C1313" s="80"/>
      <c r="D1313" s="81"/>
      <c r="E1313" s="26"/>
      <c r="F1313" s="82"/>
      <c r="G1313" s="83"/>
      <c r="H1313" s="84"/>
      <c r="I1313" s="80"/>
      <c r="J1313" s="80"/>
    </row>
    <row r="1314" spans="1:10" hidden="1" x14ac:dyDescent="0.25">
      <c r="A1314" s="78"/>
      <c r="B1314" s="79"/>
      <c r="C1314" s="80"/>
      <c r="D1314" s="81"/>
      <c r="E1314" s="26"/>
      <c r="F1314" s="82"/>
      <c r="G1314" s="83"/>
      <c r="H1314" s="84"/>
      <c r="I1314" s="80"/>
      <c r="J1314" s="80"/>
    </row>
    <row r="1315" spans="1:10" hidden="1" x14ac:dyDescent="0.25">
      <c r="A1315" s="78"/>
      <c r="B1315" s="79"/>
      <c r="C1315" s="80"/>
      <c r="D1315" s="81"/>
      <c r="E1315" s="26"/>
      <c r="F1315" s="82"/>
      <c r="G1315" s="83"/>
      <c r="H1315" s="84"/>
      <c r="I1315" s="80"/>
      <c r="J1315" s="80"/>
    </row>
    <row r="1316" spans="1:10" hidden="1" x14ac:dyDescent="0.25">
      <c r="A1316" s="78"/>
      <c r="B1316" s="79"/>
      <c r="C1316" s="80"/>
      <c r="D1316" s="81"/>
      <c r="E1316" s="26"/>
      <c r="F1316" s="82"/>
      <c r="G1316" s="83"/>
      <c r="H1316" s="84"/>
      <c r="I1316" s="80"/>
      <c r="J1316" s="80"/>
    </row>
    <row r="1317" spans="1:10" hidden="1" x14ac:dyDescent="0.25">
      <c r="A1317" s="78"/>
      <c r="B1317" s="79"/>
      <c r="C1317" s="80"/>
      <c r="D1317" s="81"/>
      <c r="E1317" s="26"/>
      <c r="F1317" s="82"/>
      <c r="G1317" s="83"/>
      <c r="H1317" s="84"/>
      <c r="I1317" s="80"/>
      <c r="J1317" s="80"/>
    </row>
    <row r="1318" spans="1:10" hidden="1" x14ac:dyDescent="0.25">
      <c r="A1318" s="78"/>
      <c r="B1318" s="79"/>
      <c r="C1318" s="80"/>
      <c r="D1318" s="81"/>
      <c r="E1318" s="26"/>
      <c r="F1318" s="82"/>
      <c r="G1318" s="83"/>
      <c r="H1318" s="84"/>
      <c r="I1318" s="80"/>
      <c r="J1318" s="80"/>
    </row>
    <row r="1319" spans="1:10" hidden="1" x14ac:dyDescent="0.25">
      <c r="A1319" s="78"/>
      <c r="B1319" s="79"/>
      <c r="C1319" s="80"/>
      <c r="D1319" s="81"/>
      <c r="E1319" s="26"/>
      <c r="F1319" s="82"/>
      <c r="G1319" s="83"/>
      <c r="H1319" s="84"/>
      <c r="I1319" s="80"/>
      <c r="J1319" s="80"/>
    </row>
    <row r="1320" spans="1:10" hidden="1" x14ac:dyDescent="0.25">
      <c r="A1320" s="78"/>
      <c r="B1320" s="79"/>
      <c r="C1320" s="80"/>
      <c r="D1320" s="81"/>
      <c r="E1320" s="26"/>
      <c r="F1320" s="82"/>
      <c r="G1320" s="83"/>
      <c r="H1320" s="84"/>
      <c r="I1320" s="80"/>
      <c r="J1320" s="80"/>
    </row>
    <row r="1321" spans="1:10" hidden="1" x14ac:dyDescent="0.25">
      <c r="A1321" s="78"/>
      <c r="B1321" s="79"/>
      <c r="C1321" s="80"/>
      <c r="D1321" s="81"/>
      <c r="E1321" s="26"/>
      <c r="F1321" s="82"/>
      <c r="G1321" s="83"/>
      <c r="H1321" s="84"/>
      <c r="I1321" s="80"/>
      <c r="J1321" s="80"/>
    </row>
    <row r="1322" spans="1:10" hidden="1" x14ac:dyDescent="0.25">
      <c r="A1322" s="78"/>
      <c r="B1322" s="79"/>
      <c r="C1322" s="80"/>
      <c r="D1322" s="81"/>
      <c r="E1322" s="26"/>
      <c r="F1322" s="82"/>
      <c r="G1322" s="83"/>
      <c r="H1322" s="84"/>
      <c r="I1322" s="80"/>
      <c r="J1322" s="80"/>
    </row>
    <row r="1323" spans="1:10" hidden="1" x14ac:dyDescent="0.25">
      <c r="A1323" s="78"/>
      <c r="B1323" s="79"/>
      <c r="C1323" s="80"/>
      <c r="D1323" s="81"/>
      <c r="E1323" s="26"/>
      <c r="F1323" s="82"/>
      <c r="G1323" s="83"/>
      <c r="H1323" s="84"/>
      <c r="I1323" s="80"/>
      <c r="J1323" s="80"/>
    </row>
    <row r="1324" spans="1:10" hidden="1" x14ac:dyDescent="0.25">
      <c r="A1324" s="78"/>
      <c r="B1324" s="79"/>
      <c r="C1324" s="80"/>
      <c r="D1324" s="81"/>
      <c r="E1324" s="26"/>
      <c r="F1324" s="82"/>
      <c r="G1324" s="83"/>
      <c r="H1324" s="84"/>
      <c r="I1324" s="80"/>
      <c r="J1324" s="80"/>
    </row>
    <row r="1325" spans="1:10" hidden="1" x14ac:dyDescent="0.25">
      <c r="A1325" s="78"/>
      <c r="B1325" s="79"/>
      <c r="C1325" s="80"/>
      <c r="D1325" s="81"/>
      <c r="E1325" s="26"/>
      <c r="F1325" s="82"/>
      <c r="G1325" s="83"/>
      <c r="H1325" s="84"/>
      <c r="I1325" s="80"/>
      <c r="J1325" s="80"/>
    </row>
    <row r="1326" spans="1:10" hidden="1" x14ac:dyDescent="0.25">
      <c r="A1326" s="78"/>
      <c r="B1326" s="79"/>
      <c r="C1326" s="80"/>
      <c r="D1326" s="81"/>
      <c r="E1326" s="26"/>
      <c r="F1326" s="82"/>
      <c r="G1326" s="83"/>
      <c r="H1326" s="84"/>
      <c r="I1326" s="80"/>
      <c r="J1326" s="80"/>
    </row>
    <row r="1327" spans="1:10" hidden="1" x14ac:dyDescent="0.25">
      <c r="A1327" s="78"/>
      <c r="B1327" s="79"/>
      <c r="C1327" s="80"/>
      <c r="D1327" s="81"/>
      <c r="E1327" s="26"/>
      <c r="F1327" s="82"/>
      <c r="G1327" s="83"/>
      <c r="H1327" s="84"/>
      <c r="I1327" s="80"/>
      <c r="J1327" s="80"/>
    </row>
    <row r="1328" spans="1:10" hidden="1" x14ac:dyDescent="0.25">
      <c r="A1328" s="78"/>
      <c r="B1328" s="79"/>
      <c r="C1328" s="80"/>
      <c r="D1328" s="81"/>
      <c r="E1328" s="26"/>
      <c r="F1328" s="82"/>
      <c r="G1328" s="83"/>
      <c r="H1328" s="84"/>
      <c r="I1328" s="80"/>
      <c r="J1328" s="80"/>
    </row>
    <row r="1329" spans="1:10" hidden="1" x14ac:dyDescent="0.25">
      <c r="A1329" s="78"/>
      <c r="B1329" s="79"/>
      <c r="C1329" s="80"/>
      <c r="D1329" s="81"/>
      <c r="E1329" s="26"/>
      <c r="F1329" s="82"/>
      <c r="G1329" s="83"/>
      <c r="H1329" s="84"/>
      <c r="I1329" s="80"/>
      <c r="J1329" s="80"/>
    </row>
    <row r="1330" spans="1:10" hidden="1" x14ac:dyDescent="0.25">
      <c r="A1330" s="78"/>
      <c r="B1330" s="79"/>
      <c r="C1330" s="80"/>
      <c r="D1330" s="81"/>
      <c r="E1330" s="26"/>
      <c r="F1330" s="82"/>
      <c r="G1330" s="83"/>
      <c r="H1330" s="84"/>
      <c r="I1330" s="80"/>
      <c r="J1330" s="80"/>
    </row>
    <row r="1331" spans="1:10" hidden="1" x14ac:dyDescent="0.25">
      <c r="A1331" s="78"/>
      <c r="B1331" s="79"/>
      <c r="C1331" s="80"/>
      <c r="D1331" s="81"/>
      <c r="E1331" s="26"/>
      <c r="F1331" s="82"/>
      <c r="G1331" s="83"/>
      <c r="H1331" s="84"/>
      <c r="I1331" s="80"/>
      <c r="J1331" s="80"/>
    </row>
    <row r="1332" spans="1:10" hidden="1" x14ac:dyDescent="0.25">
      <c r="A1332" s="78"/>
      <c r="B1332" s="79"/>
      <c r="C1332" s="80"/>
      <c r="D1332" s="81"/>
      <c r="E1332" s="26"/>
      <c r="F1332" s="82"/>
      <c r="G1332" s="83"/>
      <c r="H1332" s="84"/>
      <c r="I1332" s="80"/>
      <c r="J1332" s="80"/>
    </row>
    <row r="1333" spans="1:10" hidden="1" x14ac:dyDescent="0.25">
      <c r="A1333" s="78"/>
      <c r="B1333" s="79"/>
      <c r="C1333" s="80"/>
      <c r="D1333" s="81"/>
      <c r="E1333" s="26"/>
      <c r="F1333" s="82"/>
      <c r="G1333" s="83"/>
      <c r="H1333" s="84"/>
      <c r="I1333" s="80"/>
      <c r="J1333" s="80"/>
    </row>
    <row r="1334" spans="1:10" hidden="1" x14ac:dyDescent="0.25">
      <c r="A1334" s="78"/>
      <c r="B1334" s="79"/>
      <c r="C1334" s="80"/>
      <c r="D1334" s="81"/>
      <c r="E1334" s="26"/>
      <c r="F1334" s="82"/>
      <c r="G1334" s="83"/>
      <c r="H1334" s="84"/>
      <c r="I1334" s="80"/>
      <c r="J1334" s="80"/>
    </row>
    <row r="1335" spans="1:10" hidden="1" x14ac:dyDescent="0.25">
      <c r="A1335" s="78"/>
      <c r="B1335" s="79"/>
      <c r="C1335" s="80"/>
      <c r="D1335" s="81"/>
      <c r="E1335" s="26"/>
      <c r="F1335" s="82"/>
      <c r="G1335" s="83"/>
      <c r="H1335" s="84"/>
      <c r="I1335" s="80"/>
      <c r="J1335" s="80"/>
    </row>
    <row r="1336" spans="1:10" hidden="1" x14ac:dyDescent="0.25">
      <c r="A1336" s="78"/>
      <c r="B1336" s="79"/>
      <c r="C1336" s="80"/>
      <c r="D1336" s="81"/>
      <c r="E1336" s="26"/>
      <c r="F1336" s="82"/>
      <c r="G1336" s="83"/>
      <c r="H1336" s="84"/>
      <c r="I1336" s="80"/>
      <c r="J1336" s="80"/>
    </row>
    <row r="1337" spans="1:10" hidden="1" x14ac:dyDescent="0.25">
      <c r="A1337" s="78"/>
      <c r="B1337" s="79"/>
      <c r="C1337" s="80"/>
      <c r="D1337" s="81"/>
      <c r="E1337" s="26"/>
      <c r="F1337" s="82"/>
      <c r="G1337" s="83"/>
      <c r="H1337" s="84"/>
      <c r="I1337" s="80"/>
      <c r="J1337" s="80"/>
    </row>
    <row r="1338" spans="1:10" hidden="1" x14ac:dyDescent="0.25">
      <c r="A1338" s="78"/>
      <c r="B1338" s="79"/>
      <c r="C1338" s="80"/>
      <c r="D1338" s="81"/>
      <c r="E1338" s="26"/>
      <c r="F1338" s="82"/>
      <c r="G1338" s="83"/>
      <c r="H1338" s="84"/>
      <c r="I1338" s="80"/>
      <c r="J1338" s="80"/>
    </row>
    <row r="1339" spans="1:10" hidden="1" x14ac:dyDescent="0.25">
      <c r="A1339" s="78"/>
      <c r="B1339" s="79"/>
      <c r="C1339" s="80"/>
      <c r="D1339" s="81"/>
      <c r="E1339" s="26"/>
      <c r="F1339" s="82"/>
      <c r="G1339" s="83"/>
      <c r="H1339" s="84"/>
      <c r="I1339" s="80"/>
      <c r="J1339" s="80"/>
    </row>
    <row r="1340" spans="1:10" hidden="1" x14ac:dyDescent="0.25">
      <c r="A1340" s="78"/>
      <c r="B1340" s="79"/>
      <c r="C1340" s="80"/>
      <c r="D1340" s="81"/>
      <c r="E1340" s="26"/>
      <c r="F1340" s="82"/>
      <c r="G1340" s="83"/>
      <c r="H1340" s="84"/>
      <c r="I1340" s="80"/>
      <c r="J1340" s="80"/>
    </row>
    <row r="1341" spans="1:10" hidden="1" x14ac:dyDescent="0.25">
      <c r="A1341" s="78"/>
      <c r="B1341" s="79"/>
      <c r="C1341" s="80"/>
      <c r="D1341" s="81"/>
      <c r="E1341" s="26"/>
      <c r="F1341" s="82"/>
      <c r="G1341" s="83"/>
      <c r="H1341" s="84"/>
      <c r="I1341" s="80"/>
      <c r="J1341" s="80"/>
    </row>
    <row r="1342" spans="1:10" hidden="1" x14ac:dyDescent="0.25">
      <c r="A1342" s="78"/>
      <c r="B1342" s="79"/>
      <c r="C1342" s="80"/>
      <c r="D1342" s="81"/>
      <c r="E1342" s="26"/>
      <c r="F1342" s="82"/>
      <c r="G1342" s="83"/>
      <c r="H1342" s="84"/>
      <c r="I1342" s="80"/>
      <c r="J1342" s="80"/>
    </row>
    <row r="1343" spans="1:10" hidden="1" x14ac:dyDescent="0.25">
      <c r="A1343" s="78"/>
      <c r="B1343" s="79"/>
      <c r="C1343" s="80"/>
      <c r="D1343" s="81"/>
      <c r="E1343" s="26"/>
      <c r="F1343" s="82"/>
      <c r="G1343" s="83"/>
      <c r="H1343" s="84"/>
      <c r="I1343" s="80"/>
      <c r="J1343" s="80"/>
    </row>
    <row r="1344" spans="1:10" hidden="1" x14ac:dyDescent="0.25">
      <c r="A1344" s="78"/>
      <c r="B1344" s="79"/>
      <c r="C1344" s="80"/>
      <c r="D1344" s="81"/>
      <c r="E1344" s="26"/>
      <c r="F1344" s="82"/>
      <c r="G1344" s="83"/>
      <c r="H1344" s="84"/>
      <c r="I1344" s="80"/>
      <c r="J1344" s="80"/>
    </row>
    <row r="1345" spans="1:10" hidden="1" x14ac:dyDescent="0.25">
      <c r="A1345" s="78"/>
      <c r="B1345" s="79"/>
      <c r="C1345" s="80"/>
      <c r="D1345" s="81"/>
      <c r="E1345" s="26"/>
      <c r="F1345" s="82"/>
      <c r="G1345" s="83"/>
      <c r="H1345" s="84"/>
      <c r="I1345" s="80"/>
      <c r="J1345" s="80"/>
    </row>
    <row r="1346" spans="1:10" hidden="1" x14ac:dyDescent="0.25">
      <c r="A1346" s="78"/>
      <c r="B1346" s="79"/>
      <c r="C1346" s="80"/>
      <c r="D1346" s="81"/>
      <c r="E1346" s="26"/>
      <c r="F1346" s="82"/>
      <c r="G1346" s="83"/>
      <c r="H1346" s="84"/>
      <c r="I1346" s="80"/>
      <c r="J1346" s="80"/>
    </row>
    <row r="1347" spans="1:10" hidden="1" x14ac:dyDescent="0.25">
      <c r="A1347" s="78"/>
      <c r="B1347" s="79"/>
      <c r="C1347" s="80"/>
      <c r="D1347" s="81"/>
      <c r="E1347" s="26"/>
      <c r="F1347" s="82"/>
      <c r="G1347" s="83"/>
      <c r="H1347" s="84"/>
      <c r="I1347" s="80"/>
      <c r="J1347" s="80"/>
    </row>
    <row r="1348" spans="1:10" hidden="1" x14ac:dyDescent="0.25">
      <c r="A1348" s="78"/>
      <c r="B1348" s="79"/>
      <c r="C1348" s="80"/>
      <c r="D1348" s="81"/>
      <c r="E1348" s="26"/>
      <c r="F1348" s="82"/>
      <c r="G1348" s="83"/>
      <c r="H1348" s="84"/>
      <c r="I1348" s="80"/>
      <c r="J1348" s="80"/>
    </row>
    <row r="1349" spans="1:10" hidden="1" x14ac:dyDescent="0.25">
      <c r="A1349" s="78"/>
      <c r="B1349" s="79"/>
      <c r="C1349" s="80"/>
      <c r="D1349" s="81"/>
      <c r="E1349" s="26"/>
      <c r="F1349" s="82"/>
      <c r="G1349" s="83"/>
      <c r="H1349" s="84"/>
      <c r="I1349" s="80"/>
      <c r="J1349" s="80"/>
    </row>
    <row r="1350" spans="1:10" hidden="1" x14ac:dyDescent="0.25">
      <c r="A1350" s="78"/>
      <c r="B1350" s="79"/>
      <c r="C1350" s="80"/>
      <c r="D1350" s="81"/>
      <c r="E1350" s="26"/>
      <c r="F1350" s="82"/>
      <c r="G1350" s="83"/>
      <c r="H1350" s="84"/>
      <c r="I1350" s="80"/>
      <c r="J1350" s="80"/>
    </row>
    <row r="1351" spans="1:10" hidden="1" x14ac:dyDescent="0.25">
      <c r="A1351" s="78"/>
      <c r="B1351" s="79"/>
      <c r="C1351" s="80"/>
      <c r="D1351" s="81"/>
      <c r="E1351" s="26"/>
      <c r="F1351" s="82"/>
      <c r="G1351" s="83"/>
      <c r="H1351" s="84"/>
      <c r="I1351" s="80"/>
      <c r="J1351" s="80"/>
    </row>
    <row r="1352" spans="1:10" hidden="1" x14ac:dyDescent="0.25">
      <c r="A1352" s="78"/>
      <c r="B1352" s="79"/>
      <c r="C1352" s="80"/>
      <c r="D1352" s="81"/>
      <c r="E1352" s="26"/>
      <c r="F1352" s="82"/>
      <c r="G1352" s="83"/>
      <c r="H1352" s="84"/>
      <c r="I1352" s="80"/>
      <c r="J1352" s="80"/>
    </row>
    <row r="1353" spans="1:10" hidden="1" x14ac:dyDescent="0.25">
      <c r="A1353" s="78"/>
      <c r="B1353" s="79"/>
      <c r="C1353" s="80"/>
      <c r="D1353" s="81"/>
      <c r="E1353" s="26"/>
      <c r="F1353" s="82"/>
      <c r="G1353" s="83"/>
      <c r="H1353" s="84"/>
      <c r="I1353" s="80"/>
      <c r="J1353" s="80"/>
    </row>
    <row r="1354" spans="1:10" hidden="1" x14ac:dyDescent="0.25">
      <c r="A1354" s="78"/>
      <c r="B1354" s="79"/>
      <c r="C1354" s="80"/>
      <c r="D1354" s="81"/>
      <c r="E1354" s="26"/>
      <c r="F1354" s="82"/>
      <c r="G1354" s="83"/>
      <c r="H1354" s="84"/>
      <c r="I1354" s="80"/>
      <c r="J1354" s="80"/>
    </row>
    <row r="1355" spans="1:10" hidden="1" x14ac:dyDescent="0.25">
      <c r="A1355" s="78"/>
      <c r="B1355" s="79"/>
      <c r="C1355" s="80"/>
      <c r="D1355" s="81"/>
      <c r="E1355" s="26"/>
      <c r="F1355" s="82"/>
      <c r="G1355" s="83"/>
      <c r="H1355" s="84"/>
      <c r="I1355" s="80"/>
      <c r="J1355" s="80"/>
    </row>
    <row r="1356" spans="1:10" hidden="1" x14ac:dyDescent="0.25">
      <c r="A1356" s="78"/>
      <c r="B1356" s="79"/>
      <c r="C1356" s="80"/>
      <c r="D1356" s="81"/>
      <c r="E1356" s="26"/>
      <c r="F1356" s="82"/>
      <c r="G1356" s="83"/>
      <c r="H1356" s="84"/>
      <c r="I1356" s="80"/>
      <c r="J1356" s="80"/>
    </row>
    <row r="1357" spans="1:10" hidden="1" x14ac:dyDescent="0.25">
      <c r="A1357" s="78"/>
      <c r="B1357" s="79"/>
      <c r="C1357" s="80"/>
      <c r="D1357" s="81"/>
      <c r="E1357" s="26"/>
      <c r="F1357" s="82"/>
      <c r="G1357" s="83"/>
      <c r="H1357" s="84"/>
      <c r="I1357" s="80"/>
      <c r="J1357" s="80"/>
    </row>
    <row r="1358" spans="1:10" hidden="1" x14ac:dyDescent="0.25">
      <c r="A1358" s="78"/>
      <c r="B1358" s="79"/>
      <c r="C1358" s="80"/>
      <c r="D1358" s="81"/>
      <c r="E1358" s="26"/>
      <c r="F1358" s="82"/>
      <c r="G1358" s="83"/>
      <c r="H1358" s="84"/>
      <c r="I1358" s="80"/>
      <c r="J1358" s="80"/>
    </row>
    <row r="1359" spans="1:10" hidden="1" x14ac:dyDescent="0.25">
      <c r="A1359" s="78"/>
      <c r="B1359" s="79"/>
      <c r="C1359" s="80"/>
      <c r="D1359" s="81"/>
      <c r="E1359" s="26"/>
      <c r="F1359" s="82"/>
      <c r="G1359" s="83"/>
      <c r="H1359" s="84"/>
      <c r="I1359" s="80"/>
      <c r="J1359" s="80"/>
    </row>
    <row r="1360" spans="1:10" hidden="1" x14ac:dyDescent="0.25">
      <c r="A1360" s="78"/>
      <c r="B1360" s="79"/>
      <c r="C1360" s="80"/>
      <c r="D1360" s="81"/>
      <c r="E1360" s="26"/>
      <c r="F1360" s="82"/>
      <c r="G1360" s="83"/>
      <c r="H1360" s="84"/>
      <c r="I1360" s="80"/>
      <c r="J1360" s="80"/>
    </row>
    <row r="1361" spans="1:10" hidden="1" x14ac:dyDescent="0.25">
      <c r="A1361" s="78"/>
      <c r="B1361" s="79"/>
      <c r="C1361" s="80"/>
      <c r="D1361" s="81"/>
      <c r="E1361" s="26"/>
      <c r="F1361" s="82"/>
      <c r="G1361" s="83"/>
      <c r="H1361" s="84"/>
      <c r="I1361" s="80"/>
      <c r="J1361" s="80"/>
    </row>
    <row r="1362" spans="1:10" hidden="1" x14ac:dyDescent="0.25">
      <c r="A1362" s="78"/>
      <c r="B1362" s="79"/>
      <c r="C1362" s="80"/>
      <c r="D1362" s="81"/>
      <c r="E1362" s="26"/>
      <c r="F1362" s="82"/>
      <c r="G1362" s="83"/>
      <c r="H1362" s="84"/>
      <c r="I1362" s="80"/>
      <c r="J1362" s="80"/>
    </row>
    <row r="1363" spans="1:10" hidden="1" x14ac:dyDescent="0.25">
      <c r="A1363" s="78"/>
      <c r="B1363" s="79"/>
      <c r="C1363" s="80"/>
      <c r="D1363" s="81"/>
      <c r="E1363" s="26"/>
      <c r="F1363" s="82"/>
      <c r="G1363" s="83"/>
      <c r="H1363" s="84"/>
      <c r="I1363" s="80"/>
      <c r="J1363" s="80"/>
    </row>
    <row r="1364" spans="1:10" hidden="1" x14ac:dyDescent="0.25">
      <c r="A1364" s="78"/>
      <c r="B1364" s="79"/>
      <c r="C1364" s="80"/>
      <c r="D1364" s="81"/>
      <c r="E1364" s="26"/>
      <c r="F1364" s="82"/>
      <c r="G1364" s="83"/>
      <c r="H1364" s="84"/>
      <c r="I1364" s="80"/>
      <c r="J1364" s="80"/>
    </row>
    <row r="1365" spans="1:10" hidden="1" x14ac:dyDescent="0.25">
      <c r="A1365" s="78"/>
      <c r="B1365" s="79"/>
      <c r="C1365" s="80"/>
      <c r="D1365" s="81"/>
      <c r="E1365" s="26"/>
      <c r="F1365" s="82"/>
      <c r="G1365" s="83"/>
      <c r="H1365" s="84"/>
      <c r="I1365" s="80"/>
      <c r="J1365" s="80"/>
    </row>
    <row r="1366" spans="1:10" hidden="1" x14ac:dyDescent="0.25">
      <c r="A1366" s="78"/>
      <c r="B1366" s="79"/>
      <c r="C1366" s="80"/>
      <c r="D1366" s="81"/>
      <c r="E1366" s="26"/>
      <c r="F1366" s="82"/>
      <c r="G1366" s="83"/>
      <c r="H1366" s="84"/>
      <c r="I1366" s="80"/>
      <c r="J1366" s="80"/>
    </row>
    <row r="1367" spans="1:10" hidden="1" x14ac:dyDescent="0.25">
      <c r="A1367" s="78"/>
      <c r="B1367" s="79"/>
      <c r="C1367" s="80"/>
      <c r="D1367" s="81"/>
      <c r="E1367" s="26"/>
      <c r="F1367" s="82"/>
      <c r="G1367" s="83"/>
      <c r="H1367" s="84"/>
      <c r="I1367" s="80"/>
      <c r="J1367" s="80"/>
    </row>
    <row r="1368" spans="1:10" hidden="1" x14ac:dyDescent="0.25">
      <c r="A1368" s="78"/>
      <c r="B1368" s="79"/>
      <c r="C1368" s="80"/>
      <c r="D1368" s="81"/>
      <c r="E1368" s="26"/>
      <c r="F1368" s="82"/>
      <c r="G1368" s="83"/>
      <c r="H1368" s="84"/>
      <c r="I1368" s="80"/>
      <c r="J1368" s="80"/>
    </row>
    <row r="1369" spans="1:10" hidden="1" x14ac:dyDescent="0.25">
      <c r="A1369" s="78"/>
      <c r="B1369" s="79"/>
      <c r="C1369" s="80"/>
      <c r="D1369" s="81"/>
      <c r="E1369" s="26"/>
      <c r="F1369" s="82"/>
      <c r="G1369" s="83"/>
      <c r="H1369" s="84"/>
      <c r="I1369" s="80"/>
      <c r="J1369" s="80"/>
    </row>
    <row r="1370" spans="1:10" hidden="1" x14ac:dyDescent="0.25">
      <c r="A1370" s="78"/>
      <c r="B1370" s="79"/>
      <c r="C1370" s="80"/>
      <c r="D1370" s="81"/>
      <c r="E1370" s="26"/>
      <c r="F1370" s="82"/>
      <c r="G1370" s="83"/>
      <c r="H1370" s="84"/>
      <c r="I1370" s="80"/>
      <c r="J1370" s="80"/>
    </row>
    <row r="1371" spans="1:10" hidden="1" x14ac:dyDescent="0.25">
      <c r="A1371" s="78"/>
      <c r="B1371" s="79"/>
      <c r="C1371" s="80"/>
      <c r="D1371" s="81"/>
      <c r="E1371" s="26"/>
      <c r="F1371" s="82"/>
      <c r="G1371" s="83"/>
      <c r="H1371" s="84"/>
      <c r="I1371" s="80"/>
      <c r="J1371" s="80"/>
    </row>
    <row r="1372" spans="1:10" hidden="1" x14ac:dyDescent="0.25">
      <c r="A1372" s="78"/>
      <c r="B1372" s="79"/>
      <c r="C1372" s="80"/>
      <c r="D1372" s="81"/>
      <c r="E1372" s="26"/>
      <c r="F1372" s="82"/>
      <c r="G1372" s="83"/>
      <c r="H1372" s="84"/>
      <c r="I1372" s="80"/>
      <c r="J1372" s="80"/>
    </row>
    <row r="1373" spans="1:10" hidden="1" x14ac:dyDescent="0.25">
      <c r="A1373" s="78"/>
      <c r="B1373" s="79"/>
      <c r="C1373" s="80"/>
      <c r="D1373" s="81"/>
      <c r="E1373" s="26"/>
      <c r="F1373" s="82"/>
      <c r="G1373" s="83"/>
      <c r="H1373" s="84"/>
      <c r="I1373" s="80"/>
      <c r="J1373" s="80"/>
    </row>
    <row r="1374" spans="1:10" hidden="1" x14ac:dyDescent="0.25">
      <c r="A1374" s="78"/>
      <c r="B1374" s="79"/>
      <c r="C1374" s="80"/>
      <c r="D1374" s="81"/>
      <c r="E1374" s="26"/>
      <c r="F1374" s="82"/>
      <c r="G1374" s="83"/>
      <c r="H1374" s="84"/>
      <c r="I1374" s="80"/>
      <c r="J1374" s="80"/>
    </row>
    <row r="1375" spans="1:10" hidden="1" x14ac:dyDescent="0.25">
      <c r="A1375" s="78"/>
      <c r="B1375" s="79"/>
      <c r="C1375" s="80"/>
      <c r="D1375" s="81"/>
      <c r="E1375" s="26"/>
      <c r="F1375" s="82"/>
      <c r="G1375" s="83"/>
      <c r="H1375" s="84"/>
      <c r="I1375" s="80"/>
      <c r="J1375" s="80"/>
    </row>
    <row r="1376" spans="1:10" hidden="1" x14ac:dyDescent="0.25">
      <c r="A1376" s="78"/>
      <c r="B1376" s="79"/>
      <c r="C1376" s="80"/>
      <c r="D1376" s="81"/>
      <c r="E1376" s="26"/>
      <c r="F1376" s="82"/>
      <c r="G1376" s="83"/>
      <c r="H1376" s="84"/>
      <c r="I1376" s="80"/>
      <c r="J1376" s="80"/>
    </row>
    <row r="1377" spans="1:10" hidden="1" x14ac:dyDescent="0.25">
      <c r="A1377" s="78"/>
      <c r="B1377" s="79"/>
      <c r="C1377" s="80"/>
      <c r="D1377" s="81"/>
      <c r="E1377" s="26"/>
      <c r="F1377" s="82"/>
      <c r="G1377" s="83"/>
      <c r="H1377" s="84"/>
      <c r="I1377" s="80"/>
      <c r="J1377" s="80"/>
    </row>
    <row r="1378" spans="1:10" hidden="1" x14ac:dyDescent="0.25">
      <c r="A1378" s="78"/>
      <c r="B1378" s="79"/>
      <c r="C1378" s="80"/>
      <c r="D1378" s="81"/>
      <c r="E1378" s="26"/>
      <c r="F1378" s="82"/>
      <c r="G1378" s="83"/>
      <c r="H1378" s="84"/>
      <c r="I1378" s="80"/>
      <c r="J1378" s="80"/>
    </row>
    <row r="1379" spans="1:10" hidden="1" x14ac:dyDescent="0.25">
      <c r="A1379" s="78"/>
      <c r="B1379" s="79"/>
      <c r="C1379" s="80"/>
      <c r="D1379" s="81"/>
      <c r="E1379" s="26"/>
      <c r="F1379" s="82"/>
      <c r="G1379" s="83"/>
      <c r="H1379" s="84"/>
      <c r="I1379" s="80"/>
      <c r="J1379" s="80"/>
    </row>
    <row r="1380" spans="1:10" hidden="1" x14ac:dyDescent="0.25">
      <c r="A1380" s="78"/>
      <c r="B1380" s="79"/>
      <c r="C1380" s="80"/>
      <c r="D1380" s="81"/>
      <c r="E1380" s="26"/>
      <c r="F1380" s="82"/>
      <c r="G1380" s="83"/>
      <c r="H1380" s="84"/>
      <c r="I1380" s="80"/>
      <c r="J1380" s="80"/>
    </row>
    <row r="1381" spans="1:10" hidden="1" x14ac:dyDescent="0.25">
      <c r="A1381" s="78"/>
      <c r="B1381" s="79"/>
      <c r="C1381" s="80"/>
      <c r="D1381" s="81"/>
      <c r="E1381" s="26"/>
      <c r="F1381" s="82"/>
      <c r="G1381" s="83"/>
      <c r="H1381" s="84"/>
      <c r="I1381" s="80"/>
      <c r="J1381" s="80"/>
    </row>
    <row r="1382" spans="1:10" hidden="1" x14ac:dyDescent="0.25">
      <c r="A1382" s="78"/>
      <c r="B1382" s="79"/>
      <c r="C1382" s="80"/>
      <c r="D1382" s="81"/>
      <c r="E1382" s="26"/>
      <c r="F1382" s="82"/>
      <c r="G1382" s="83"/>
      <c r="H1382" s="84"/>
      <c r="I1382" s="80"/>
      <c r="J1382" s="80"/>
    </row>
    <row r="1383" spans="1:10" hidden="1" x14ac:dyDescent="0.25">
      <c r="A1383" s="78"/>
      <c r="B1383" s="79"/>
      <c r="C1383" s="80"/>
      <c r="D1383" s="81"/>
      <c r="E1383" s="26"/>
      <c r="F1383" s="82"/>
      <c r="G1383" s="83"/>
      <c r="H1383" s="84"/>
      <c r="I1383" s="80"/>
      <c r="J1383" s="80"/>
    </row>
    <row r="1384" spans="1:10" hidden="1" x14ac:dyDescent="0.25">
      <c r="A1384" s="78"/>
      <c r="B1384" s="79"/>
      <c r="C1384" s="80"/>
      <c r="D1384" s="81"/>
      <c r="E1384" s="26"/>
      <c r="F1384" s="82"/>
      <c r="G1384" s="83"/>
      <c r="H1384" s="84"/>
      <c r="I1384" s="80"/>
      <c r="J1384" s="80"/>
    </row>
    <row r="1385" spans="1:10" hidden="1" x14ac:dyDescent="0.25">
      <c r="A1385" s="78"/>
      <c r="B1385" s="79"/>
      <c r="C1385" s="80"/>
      <c r="D1385" s="81"/>
      <c r="E1385" s="26"/>
      <c r="F1385" s="82"/>
      <c r="G1385" s="83"/>
      <c r="H1385" s="84"/>
      <c r="I1385" s="80"/>
      <c r="J1385" s="80"/>
    </row>
    <row r="1386" spans="1:10" hidden="1" x14ac:dyDescent="0.25">
      <c r="A1386" s="78"/>
      <c r="B1386" s="79"/>
      <c r="C1386" s="80"/>
      <c r="D1386" s="81"/>
      <c r="E1386" s="26"/>
      <c r="F1386" s="82"/>
      <c r="G1386" s="83"/>
      <c r="H1386" s="84"/>
      <c r="I1386" s="80"/>
      <c r="J1386" s="80"/>
    </row>
    <row r="1387" spans="1:10" hidden="1" x14ac:dyDescent="0.25">
      <c r="A1387" s="78"/>
      <c r="B1387" s="79"/>
      <c r="C1387" s="80"/>
      <c r="D1387" s="81"/>
      <c r="E1387" s="26"/>
      <c r="F1387" s="82"/>
      <c r="G1387" s="83"/>
      <c r="H1387" s="84"/>
      <c r="I1387" s="80"/>
      <c r="J1387" s="80"/>
    </row>
    <row r="1388" spans="1:10" hidden="1" x14ac:dyDescent="0.25">
      <c r="A1388" s="78"/>
      <c r="B1388" s="79"/>
      <c r="C1388" s="80"/>
      <c r="D1388" s="81"/>
      <c r="E1388" s="26"/>
      <c r="F1388" s="82"/>
      <c r="G1388" s="83"/>
      <c r="H1388" s="84"/>
      <c r="I1388" s="80"/>
      <c r="J1388" s="80"/>
    </row>
    <row r="1389" spans="1:10" hidden="1" x14ac:dyDescent="0.25">
      <c r="A1389" s="78"/>
      <c r="B1389" s="79"/>
      <c r="C1389" s="80"/>
      <c r="D1389" s="81"/>
      <c r="E1389" s="26"/>
      <c r="F1389" s="82"/>
      <c r="G1389" s="83"/>
      <c r="H1389" s="84"/>
      <c r="I1389" s="80"/>
      <c r="J1389" s="80"/>
    </row>
    <row r="1390" spans="1:10" hidden="1" x14ac:dyDescent="0.25">
      <c r="A1390" s="78"/>
      <c r="B1390" s="79"/>
      <c r="C1390" s="80"/>
      <c r="D1390" s="81"/>
      <c r="E1390" s="26"/>
      <c r="F1390" s="82"/>
      <c r="G1390" s="83"/>
      <c r="H1390" s="84"/>
      <c r="I1390" s="80"/>
      <c r="J1390" s="80"/>
    </row>
    <row r="1391" spans="1:10" hidden="1" x14ac:dyDescent="0.25">
      <c r="A1391" s="78"/>
      <c r="B1391" s="79"/>
      <c r="C1391" s="80"/>
      <c r="D1391" s="81"/>
      <c r="E1391" s="26"/>
      <c r="F1391" s="82"/>
      <c r="G1391" s="83"/>
      <c r="H1391" s="84"/>
      <c r="I1391" s="80"/>
      <c r="J1391" s="80"/>
    </row>
    <row r="1392" spans="1:10" hidden="1" x14ac:dyDescent="0.25">
      <c r="A1392" s="78"/>
      <c r="B1392" s="79"/>
      <c r="C1392" s="80"/>
      <c r="D1392" s="81"/>
      <c r="E1392" s="26"/>
      <c r="F1392" s="82"/>
      <c r="G1392" s="83"/>
      <c r="H1392" s="84"/>
      <c r="I1392" s="80"/>
      <c r="J1392" s="80"/>
    </row>
    <row r="1393" spans="1:10" hidden="1" x14ac:dyDescent="0.25">
      <c r="A1393" s="78"/>
      <c r="B1393" s="79"/>
      <c r="C1393" s="80"/>
      <c r="D1393" s="81"/>
      <c r="E1393" s="26"/>
      <c r="F1393" s="82"/>
      <c r="G1393" s="83"/>
      <c r="H1393" s="84"/>
      <c r="I1393" s="80"/>
      <c r="J1393" s="80"/>
    </row>
    <row r="1394" spans="1:10" hidden="1" x14ac:dyDescent="0.25">
      <c r="A1394" s="78"/>
      <c r="B1394" s="79"/>
      <c r="C1394" s="80"/>
      <c r="D1394" s="81"/>
      <c r="E1394" s="26"/>
      <c r="F1394" s="82"/>
      <c r="G1394" s="83"/>
      <c r="H1394" s="84"/>
      <c r="I1394" s="80"/>
      <c r="J1394" s="80"/>
    </row>
    <row r="1395" spans="1:10" hidden="1" x14ac:dyDescent="0.25">
      <c r="A1395" s="78"/>
      <c r="B1395" s="79"/>
      <c r="C1395" s="80"/>
      <c r="D1395" s="81"/>
      <c r="E1395" s="26"/>
      <c r="F1395" s="82"/>
      <c r="G1395" s="83"/>
      <c r="H1395" s="84"/>
      <c r="I1395" s="80"/>
      <c r="J1395" s="80"/>
    </row>
    <row r="1396" spans="1:10" hidden="1" x14ac:dyDescent="0.25">
      <c r="A1396" s="78"/>
      <c r="B1396" s="79"/>
      <c r="C1396" s="80"/>
      <c r="D1396" s="81"/>
      <c r="E1396" s="26"/>
      <c r="F1396" s="82"/>
      <c r="G1396" s="83"/>
      <c r="H1396" s="84"/>
      <c r="I1396" s="80"/>
      <c r="J1396" s="80"/>
    </row>
    <row r="1397" spans="1:10" hidden="1" x14ac:dyDescent="0.25">
      <c r="A1397" s="78"/>
      <c r="B1397" s="79"/>
      <c r="C1397" s="80"/>
      <c r="D1397" s="81"/>
      <c r="E1397" s="26"/>
      <c r="F1397" s="82"/>
      <c r="G1397" s="83"/>
      <c r="H1397" s="84"/>
      <c r="I1397" s="80"/>
      <c r="J1397" s="80"/>
    </row>
    <row r="1398" spans="1:10" hidden="1" x14ac:dyDescent="0.25">
      <c r="A1398" s="78"/>
      <c r="B1398" s="79"/>
      <c r="C1398" s="80"/>
      <c r="D1398" s="81"/>
      <c r="E1398" s="26"/>
      <c r="F1398" s="82"/>
      <c r="G1398" s="83"/>
      <c r="H1398" s="84"/>
      <c r="I1398" s="80"/>
      <c r="J1398" s="80"/>
    </row>
    <row r="1399" spans="1:10" hidden="1" x14ac:dyDescent="0.25">
      <c r="A1399" s="78"/>
      <c r="B1399" s="79"/>
      <c r="C1399" s="80"/>
      <c r="D1399" s="81"/>
      <c r="E1399" s="26"/>
      <c r="F1399" s="82"/>
      <c r="G1399" s="83"/>
      <c r="H1399" s="84"/>
      <c r="I1399" s="80"/>
      <c r="J1399" s="80"/>
    </row>
    <row r="1400" spans="1:10" hidden="1" x14ac:dyDescent="0.25">
      <c r="A1400" s="78"/>
      <c r="B1400" s="79"/>
      <c r="C1400" s="80"/>
      <c r="D1400" s="81"/>
      <c r="E1400" s="26"/>
      <c r="F1400" s="82"/>
      <c r="G1400" s="83"/>
      <c r="H1400" s="84"/>
      <c r="I1400" s="80"/>
      <c r="J1400" s="80"/>
    </row>
    <row r="1401" spans="1:10" hidden="1" x14ac:dyDescent="0.25">
      <c r="A1401" s="78"/>
      <c r="B1401" s="79"/>
      <c r="C1401" s="80"/>
      <c r="D1401" s="81"/>
      <c r="E1401" s="26"/>
      <c r="F1401" s="82"/>
      <c r="G1401" s="83"/>
      <c r="H1401" s="84"/>
      <c r="I1401" s="80"/>
      <c r="J1401" s="80"/>
    </row>
    <row r="1402" spans="1:10" hidden="1" x14ac:dyDescent="0.25">
      <c r="A1402" s="78"/>
      <c r="B1402" s="79"/>
      <c r="C1402" s="80"/>
      <c r="D1402" s="81"/>
      <c r="E1402" s="26"/>
      <c r="F1402" s="82"/>
      <c r="G1402" s="83"/>
      <c r="H1402" s="84"/>
      <c r="I1402" s="80"/>
      <c r="J1402" s="80"/>
    </row>
    <row r="1403" spans="1:10" hidden="1" x14ac:dyDescent="0.25">
      <c r="A1403" s="78"/>
      <c r="B1403" s="79"/>
      <c r="C1403" s="80"/>
      <c r="D1403" s="81"/>
      <c r="E1403" s="26"/>
      <c r="F1403" s="82"/>
      <c r="G1403" s="83"/>
      <c r="H1403" s="84"/>
      <c r="I1403" s="80"/>
      <c r="J1403" s="80"/>
    </row>
    <row r="1404" spans="1:10" hidden="1" x14ac:dyDescent="0.25">
      <c r="A1404" s="78"/>
      <c r="B1404" s="79"/>
      <c r="C1404" s="80"/>
      <c r="D1404" s="81"/>
      <c r="E1404" s="26"/>
      <c r="F1404" s="82"/>
      <c r="G1404" s="83"/>
      <c r="H1404" s="84"/>
      <c r="I1404" s="80"/>
      <c r="J1404" s="80"/>
    </row>
    <row r="1405" spans="1:10" hidden="1" x14ac:dyDescent="0.25">
      <c r="A1405" s="78"/>
      <c r="B1405" s="79"/>
      <c r="C1405" s="80"/>
      <c r="D1405" s="81"/>
      <c r="E1405" s="26"/>
      <c r="F1405" s="82"/>
      <c r="G1405" s="83"/>
      <c r="H1405" s="84"/>
      <c r="I1405" s="80"/>
      <c r="J1405" s="80"/>
    </row>
    <row r="1406" spans="1:10" hidden="1" x14ac:dyDescent="0.25">
      <c r="A1406" s="78"/>
      <c r="B1406" s="79"/>
      <c r="C1406" s="80"/>
      <c r="D1406" s="81"/>
      <c r="E1406" s="26"/>
      <c r="F1406" s="82"/>
      <c r="G1406" s="83"/>
      <c r="H1406" s="84"/>
      <c r="I1406" s="80"/>
      <c r="J1406" s="80"/>
    </row>
    <row r="1407" spans="1:10" hidden="1" x14ac:dyDescent="0.25">
      <c r="A1407" s="78"/>
      <c r="B1407" s="79"/>
      <c r="C1407" s="80"/>
      <c r="D1407" s="81"/>
      <c r="E1407" s="26"/>
      <c r="F1407" s="82"/>
      <c r="G1407" s="83"/>
      <c r="H1407" s="84"/>
      <c r="I1407" s="80"/>
      <c r="J1407" s="80"/>
    </row>
    <row r="1408" spans="1:10" hidden="1" x14ac:dyDescent="0.25">
      <c r="A1408" s="78"/>
      <c r="B1408" s="79"/>
      <c r="C1408" s="80"/>
      <c r="D1408" s="81"/>
      <c r="E1408" s="26"/>
      <c r="F1408" s="82"/>
      <c r="G1408" s="83"/>
      <c r="H1408" s="84"/>
      <c r="I1408" s="80"/>
      <c r="J1408" s="80"/>
    </row>
    <row r="1409" spans="1:10" hidden="1" x14ac:dyDescent="0.25">
      <c r="A1409" s="78"/>
      <c r="B1409" s="79"/>
      <c r="C1409" s="80"/>
      <c r="D1409" s="81"/>
      <c r="E1409" s="26"/>
      <c r="F1409" s="82"/>
      <c r="G1409" s="83"/>
      <c r="H1409" s="84"/>
      <c r="I1409" s="80"/>
      <c r="J1409" s="80"/>
    </row>
    <row r="1410" spans="1:10" hidden="1" x14ac:dyDescent="0.25">
      <c r="A1410" s="78"/>
      <c r="B1410" s="79"/>
      <c r="C1410" s="80"/>
      <c r="D1410" s="81"/>
      <c r="E1410" s="26"/>
      <c r="F1410" s="82"/>
      <c r="G1410" s="83"/>
      <c r="H1410" s="84"/>
      <c r="I1410" s="80"/>
      <c r="J1410" s="80"/>
    </row>
    <row r="1411" spans="1:10" hidden="1" x14ac:dyDescent="0.25">
      <c r="A1411" s="78"/>
      <c r="B1411" s="79"/>
      <c r="C1411" s="80"/>
      <c r="D1411" s="81"/>
      <c r="E1411" s="26"/>
      <c r="F1411" s="82"/>
      <c r="G1411" s="83"/>
      <c r="H1411" s="84"/>
      <c r="I1411" s="80"/>
      <c r="J1411" s="80"/>
    </row>
    <row r="1412" spans="1:10" hidden="1" x14ac:dyDescent="0.25">
      <c r="A1412" s="78"/>
      <c r="B1412" s="79"/>
      <c r="C1412" s="80"/>
      <c r="D1412" s="81"/>
      <c r="E1412" s="26"/>
      <c r="F1412" s="82"/>
      <c r="G1412" s="83"/>
      <c r="H1412" s="84"/>
      <c r="I1412" s="80"/>
      <c r="J1412" s="80"/>
    </row>
    <row r="1413" spans="1:10" hidden="1" x14ac:dyDescent="0.25">
      <c r="A1413" s="78"/>
      <c r="B1413" s="79"/>
      <c r="C1413" s="80"/>
      <c r="D1413" s="81"/>
      <c r="E1413" s="26"/>
      <c r="F1413" s="82"/>
      <c r="G1413" s="83"/>
      <c r="H1413" s="84"/>
      <c r="I1413" s="80"/>
      <c r="J1413" s="80"/>
    </row>
    <row r="1414" spans="1:10" hidden="1" x14ac:dyDescent="0.25">
      <c r="A1414" s="78"/>
      <c r="B1414" s="79"/>
      <c r="C1414" s="80"/>
      <c r="D1414" s="81"/>
      <c r="E1414" s="26"/>
      <c r="F1414" s="82"/>
      <c r="G1414" s="83"/>
      <c r="H1414" s="84"/>
      <c r="I1414" s="80"/>
      <c r="J1414" s="80"/>
    </row>
    <row r="1415" spans="1:10" hidden="1" x14ac:dyDescent="0.25">
      <c r="A1415" s="78"/>
      <c r="B1415" s="79"/>
      <c r="C1415" s="80"/>
      <c r="D1415" s="81"/>
      <c r="E1415" s="26"/>
      <c r="F1415" s="82"/>
      <c r="G1415" s="83"/>
      <c r="H1415" s="84"/>
      <c r="I1415" s="80"/>
      <c r="J1415" s="80"/>
    </row>
    <row r="1416" spans="1:10" hidden="1" x14ac:dyDescent="0.25">
      <c r="A1416" s="78"/>
      <c r="B1416" s="79"/>
      <c r="C1416" s="80"/>
      <c r="D1416" s="81"/>
      <c r="E1416" s="26"/>
      <c r="F1416" s="82"/>
      <c r="G1416" s="83"/>
      <c r="H1416" s="84"/>
      <c r="I1416" s="80"/>
      <c r="J1416" s="80"/>
    </row>
    <row r="1417" spans="1:10" hidden="1" x14ac:dyDescent="0.25">
      <c r="A1417" s="78"/>
      <c r="B1417" s="79"/>
      <c r="C1417" s="80"/>
      <c r="D1417" s="81"/>
      <c r="E1417" s="26"/>
      <c r="F1417" s="82"/>
      <c r="G1417" s="83"/>
      <c r="H1417" s="84"/>
      <c r="I1417" s="80"/>
      <c r="J1417" s="80"/>
    </row>
    <row r="1418" spans="1:10" hidden="1" x14ac:dyDescent="0.25">
      <c r="A1418" s="78"/>
      <c r="B1418" s="79"/>
      <c r="C1418" s="80"/>
      <c r="D1418" s="81"/>
      <c r="E1418" s="26"/>
      <c r="F1418" s="82"/>
      <c r="G1418" s="83"/>
      <c r="H1418" s="84"/>
      <c r="I1418" s="80"/>
      <c r="J1418" s="80"/>
    </row>
    <row r="1419" spans="1:10" hidden="1" x14ac:dyDescent="0.25">
      <c r="A1419" s="78"/>
      <c r="B1419" s="79"/>
      <c r="C1419" s="80"/>
      <c r="D1419" s="81"/>
      <c r="E1419" s="26"/>
      <c r="F1419" s="82"/>
      <c r="G1419" s="83"/>
      <c r="H1419" s="84"/>
      <c r="I1419" s="80"/>
      <c r="J1419" s="80"/>
    </row>
    <row r="1420" spans="1:10" hidden="1" x14ac:dyDescent="0.25">
      <c r="A1420" s="78"/>
      <c r="B1420" s="79"/>
      <c r="C1420" s="80"/>
      <c r="D1420" s="81"/>
      <c r="E1420" s="26"/>
      <c r="F1420" s="82"/>
      <c r="G1420" s="83"/>
      <c r="H1420" s="84"/>
      <c r="I1420" s="80"/>
      <c r="J1420" s="80"/>
    </row>
    <row r="1421" spans="1:10" hidden="1" x14ac:dyDescent="0.25">
      <c r="A1421" s="78"/>
      <c r="B1421" s="79"/>
      <c r="C1421" s="80"/>
      <c r="D1421" s="81"/>
      <c r="E1421" s="26"/>
      <c r="F1421" s="82"/>
      <c r="G1421" s="83"/>
      <c r="H1421" s="84"/>
      <c r="I1421" s="80"/>
      <c r="J1421" s="80"/>
    </row>
    <row r="1422" spans="1:10" hidden="1" x14ac:dyDescent="0.25">
      <c r="A1422" s="78"/>
      <c r="B1422" s="79"/>
      <c r="C1422" s="80"/>
      <c r="D1422" s="81"/>
      <c r="E1422" s="26"/>
      <c r="F1422" s="82"/>
      <c r="G1422" s="83"/>
      <c r="H1422" s="84"/>
      <c r="I1422" s="80"/>
      <c r="J1422" s="80"/>
    </row>
    <row r="1423" spans="1:10" hidden="1" x14ac:dyDescent="0.25">
      <c r="A1423" s="78"/>
      <c r="B1423" s="79"/>
      <c r="C1423" s="80"/>
      <c r="D1423" s="81"/>
      <c r="E1423" s="26"/>
      <c r="F1423" s="82"/>
      <c r="G1423" s="83"/>
      <c r="H1423" s="84"/>
      <c r="I1423" s="80"/>
      <c r="J1423" s="80"/>
    </row>
    <row r="1424" spans="1:10" hidden="1" x14ac:dyDescent="0.25">
      <c r="A1424" s="78"/>
      <c r="B1424" s="79"/>
      <c r="C1424" s="80"/>
      <c r="D1424" s="81"/>
      <c r="E1424" s="26"/>
      <c r="F1424" s="82"/>
      <c r="G1424" s="83"/>
      <c r="H1424" s="84"/>
      <c r="I1424" s="80"/>
      <c r="J1424" s="80"/>
    </row>
    <row r="1425" spans="1:10" hidden="1" x14ac:dyDescent="0.25">
      <c r="A1425" s="78"/>
      <c r="B1425" s="79"/>
      <c r="C1425" s="80"/>
      <c r="D1425" s="81"/>
      <c r="E1425" s="26"/>
      <c r="F1425" s="82"/>
      <c r="G1425" s="83"/>
      <c r="H1425" s="84"/>
      <c r="I1425" s="80"/>
      <c r="J1425" s="80"/>
    </row>
    <row r="1426" spans="1:10" hidden="1" x14ac:dyDescent="0.25">
      <c r="A1426" s="78"/>
      <c r="B1426" s="79"/>
      <c r="C1426" s="80"/>
      <c r="D1426" s="81"/>
      <c r="E1426" s="26"/>
      <c r="F1426" s="82"/>
      <c r="G1426" s="83"/>
      <c r="H1426" s="84"/>
      <c r="I1426" s="80"/>
      <c r="J1426" s="80"/>
    </row>
    <row r="1427" spans="1:10" hidden="1" x14ac:dyDescent="0.25">
      <c r="A1427" s="78"/>
      <c r="B1427" s="79"/>
      <c r="C1427" s="80"/>
      <c r="D1427" s="81"/>
      <c r="E1427" s="26"/>
      <c r="F1427" s="82"/>
      <c r="G1427" s="83"/>
      <c r="H1427" s="84"/>
      <c r="I1427" s="80"/>
      <c r="J1427" s="80"/>
    </row>
    <row r="1428" spans="1:10" hidden="1" x14ac:dyDescent="0.25">
      <c r="A1428" s="78"/>
      <c r="B1428" s="79"/>
      <c r="C1428" s="80"/>
      <c r="D1428" s="81"/>
      <c r="E1428" s="26"/>
      <c r="F1428" s="82"/>
      <c r="G1428" s="83"/>
      <c r="H1428" s="84"/>
      <c r="I1428" s="80"/>
      <c r="J1428" s="80"/>
    </row>
    <row r="1429" spans="1:10" hidden="1" x14ac:dyDescent="0.25">
      <c r="A1429" s="78"/>
      <c r="B1429" s="79"/>
      <c r="C1429" s="80"/>
      <c r="D1429" s="81"/>
      <c r="E1429" s="26"/>
      <c r="F1429" s="82"/>
      <c r="G1429" s="83"/>
      <c r="H1429" s="84"/>
      <c r="I1429" s="80"/>
      <c r="J1429" s="80"/>
    </row>
    <row r="1430" spans="1:10" hidden="1" x14ac:dyDescent="0.25">
      <c r="A1430" s="78"/>
      <c r="B1430" s="79"/>
      <c r="C1430" s="80"/>
      <c r="D1430" s="81"/>
      <c r="E1430" s="26"/>
      <c r="F1430" s="82"/>
      <c r="G1430" s="83"/>
      <c r="H1430" s="84"/>
      <c r="I1430" s="80"/>
      <c r="J1430" s="80"/>
    </row>
    <row r="1431" spans="1:10" hidden="1" x14ac:dyDescent="0.25">
      <c r="A1431" s="78"/>
      <c r="B1431" s="79"/>
      <c r="C1431" s="80"/>
      <c r="D1431" s="81"/>
      <c r="E1431" s="26"/>
      <c r="F1431" s="82"/>
      <c r="G1431" s="83"/>
      <c r="H1431" s="84"/>
      <c r="I1431" s="80"/>
      <c r="J1431" s="80"/>
    </row>
    <row r="1432" spans="1:10" hidden="1" x14ac:dyDescent="0.25">
      <c r="A1432" s="78"/>
      <c r="B1432" s="79"/>
      <c r="C1432" s="80"/>
      <c r="D1432" s="81"/>
      <c r="E1432" s="26"/>
      <c r="F1432" s="82"/>
      <c r="G1432" s="83"/>
      <c r="H1432" s="84"/>
      <c r="I1432" s="80"/>
      <c r="J1432" s="80"/>
    </row>
    <row r="1433" spans="1:10" hidden="1" x14ac:dyDescent="0.25">
      <c r="A1433" s="78"/>
      <c r="B1433" s="79"/>
      <c r="C1433" s="80"/>
      <c r="D1433" s="81"/>
      <c r="E1433" s="26"/>
      <c r="F1433" s="82"/>
      <c r="G1433" s="83"/>
      <c r="H1433" s="84"/>
      <c r="I1433" s="80"/>
      <c r="J1433" s="80"/>
    </row>
    <row r="1434" spans="1:10" hidden="1" x14ac:dyDescent="0.25">
      <c r="A1434" s="78"/>
      <c r="B1434" s="79"/>
      <c r="C1434" s="80"/>
      <c r="D1434" s="81"/>
      <c r="E1434" s="26"/>
      <c r="F1434" s="82"/>
      <c r="G1434" s="83"/>
      <c r="H1434" s="84"/>
      <c r="I1434" s="80"/>
      <c r="J1434" s="80"/>
    </row>
    <row r="1435" spans="1:10" hidden="1" x14ac:dyDescent="0.25">
      <c r="A1435" s="78"/>
      <c r="B1435" s="79"/>
      <c r="C1435" s="80"/>
      <c r="D1435" s="81"/>
      <c r="E1435" s="26"/>
      <c r="F1435" s="82"/>
      <c r="G1435" s="83"/>
      <c r="H1435" s="84"/>
      <c r="I1435" s="80"/>
      <c r="J1435" s="80"/>
    </row>
    <row r="1436" spans="1:10" hidden="1" x14ac:dyDescent="0.25">
      <c r="A1436" s="78"/>
      <c r="B1436" s="79"/>
      <c r="C1436" s="80"/>
      <c r="D1436" s="81"/>
      <c r="E1436" s="26"/>
      <c r="F1436" s="82"/>
      <c r="G1436" s="83"/>
      <c r="H1436" s="84"/>
      <c r="I1436" s="80"/>
      <c r="J1436" s="80"/>
    </row>
    <row r="1437" spans="1:10" hidden="1" x14ac:dyDescent="0.25">
      <c r="A1437" s="78"/>
      <c r="B1437" s="79"/>
      <c r="C1437" s="80"/>
      <c r="D1437" s="81"/>
      <c r="E1437" s="26"/>
      <c r="F1437" s="82"/>
      <c r="G1437" s="83"/>
      <c r="H1437" s="84"/>
      <c r="I1437" s="80"/>
      <c r="J1437" s="80"/>
    </row>
    <row r="1438" spans="1:10" hidden="1" x14ac:dyDescent="0.25">
      <c r="A1438" s="78"/>
      <c r="B1438" s="79"/>
      <c r="C1438" s="80"/>
      <c r="D1438" s="81"/>
      <c r="E1438" s="26"/>
      <c r="F1438" s="82"/>
      <c r="G1438" s="83"/>
      <c r="H1438" s="84"/>
      <c r="I1438" s="80"/>
      <c r="J1438" s="80"/>
    </row>
    <row r="1439" spans="1:10" hidden="1" x14ac:dyDescent="0.25">
      <c r="A1439" s="78"/>
      <c r="B1439" s="79"/>
      <c r="C1439" s="80"/>
      <c r="D1439" s="81"/>
      <c r="E1439" s="26"/>
      <c r="F1439" s="82"/>
      <c r="G1439" s="83"/>
      <c r="H1439" s="84"/>
      <c r="I1439" s="80"/>
      <c r="J1439" s="80"/>
    </row>
    <row r="1440" spans="1:10" hidden="1" x14ac:dyDescent="0.25">
      <c r="A1440" s="78"/>
      <c r="B1440" s="79"/>
      <c r="C1440" s="80"/>
      <c r="D1440" s="81"/>
      <c r="E1440" s="26"/>
      <c r="F1440" s="82"/>
      <c r="G1440" s="83"/>
      <c r="H1440" s="84"/>
      <c r="I1440" s="80"/>
      <c r="J1440" s="80"/>
    </row>
    <row r="1441" spans="1:10" hidden="1" x14ac:dyDescent="0.25">
      <c r="A1441" s="78"/>
      <c r="B1441" s="79"/>
      <c r="C1441" s="80"/>
      <c r="D1441" s="81"/>
      <c r="E1441" s="26"/>
      <c r="F1441" s="82"/>
      <c r="G1441" s="83"/>
      <c r="H1441" s="84"/>
      <c r="I1441" s="80"/>
      <c r="J1441" s="80"/>
    </row>
    <row r="1442" spans="1:10" hidden="1" x14ac:dyDescent="0.25">
      <c r="A1442" s="78"/>
      <c r="B1442" s="79"/>
      <c r="C1442" s="80"/>
      <c r="D1442" s="81"/>
      <c r="E1442" s="26"/>
      <c r="F1442" s="82"/>
      <c r="G1442" s="83"/>
      <c r="H1442" s="84"/>
      <c r="I1442" s="80"/>
      <c r="J1442" s="80"/>
    </row>
    <row r="1443" spans="1:10" hidden="1" x14ac:dyDescent="0.25">
      <c r="A1443" s="78"/>
      <c r="B1443" s="79"/>
      <c r="C1443" s="80"/>
      <c r="D1443" s="81"/>
      <c r="E1443" s="26"/>
      <c r="F1443" s="82"/>
      <c r="G1443" s="83"/>
      <c r="H1443" s="84"/>
      <c r="I1443" s="80"/>
      <c r="J1443" s="80"/>
    </row>
    <row r="1444" spans="1:10" hidden="1" x14ac:dyDescent="0.25">
      <c r="A1444" s="78"/>
      <c r="B1444" s="79"/>
      <c r="C1444" s="80"/>
      <c r="D1444" s="81"/>
      <c r="E1444" s="26"/>
      <c r="F1444" s="82"/>
      <c r="G1444" s="83"/>
      <c r="H1444" s="84"/>
      <c r="I1444" s="80"/>
      <c r="J1444" s="80"/>
    </row>
    <row r="1445" spans="1:10" hidden="1" x14ac:dyDescent="0.25">
      <c r="A1445" s="78"/>
      <c r="B1445" s="79"/>
      <c r="C1445" s="80"/>
      <c r="D1445" s="81"/>
      <c r="E1445" s="26"/>
      <c r="F1445" s="82"/>
      <c r="G1445" s="83"/>
      <c r="H1445" s="84"/>
      <c r="I1445" s="80"/>
      <c r="J1445" s="80"/>
    </row>
    <row r="1446" spans="1:10" hidden="1" x14ac:dyDescent="0.25">
      <c r="A1446" s="78"/>
      <c r="B1446" s="79"/>
      <c r="C1446" s="80"/>
      <c r="D1446" s="81"/>
      <c r="E1446" s="26"/>
      <c r="F1446" s="82"/>
      <c r="G1446" s="83"/>
      <c r="H1446" s="84"/>
      <c r="I1446" s="80"/>
      <c r="J1446" s="80"/>
    </row>
    <row r="1447" spans="1:10" hidden="1" x14ac:dyDescent="0.25">
      <c r="A1447" s="78"/>
      <c r="B1447" s="79"/>
      <c r="C1447" s="80"/>
      <c r="D1447" s="81"/>
      <c r="E1447" s="26"/>
      <c r="F1447" s="82"/>
      <c r="G1447" s="83"/>
      <c r="H1447" s="84"/>
      <c r="I1447" s="80"/>
      <c r="J1447" s="80"/>
    </row>
    <row r="1448" spans="1:10" hidden="1" x14ac:dyDescent="0.25">
      <c r="A1448" s="78"/>
      <c r="B1448" s="79"/>
      <c r="C1448" s="80"/>
      <c r="D1448" s="81"/>
      <c r="E1448" s="26"/>
      <c r="F1448" s="82"/>
      <c r="G1448" s="83"/>
      <c r="H1448" s="84"/>
      <c r="I1448" s="80"/>
      <c r="J1448" s="80"/>
    </row>
    <row r="1449" spans="1:10" hidden="1" x14ac:dyDescent="0.25">
      <c r="A1449" s="78"/>
      <c r="B1449" s="79"/>
      <c r="C1449" s="80"/>
      <c r="D1449" s="81"/>
      <c r="E1449" s="26"/>
      <c r="F1449" s="82"/>
      <c r="G1449" s="83"/>
      <c r="H1449" s="84"/>
      <c r="I1449" s="80"/>
      <c r="J1449" s="80"/>
    </row>
    <row r="1450" spans="1:10" hidden="1" x14ac:dyDescent="0.25">
      <c r="A1450" s="78"/>
      <c r="B1450" s="79"/>
      <c r="C1450" s="80"/>
      <c r="D1450" s="81"/>
      <c r="E1450" s="26"/>
      <c r="F1450" s="82"/>
      <c r="G1450" s="83"/>
      <c r="H1450" s="84"/>
      <c r="I1450" s="80"/>
      <c r="J1450" s="80"/>
    </row>
    <row r="1451" spans="1:10" hidden="1" x14ac:dyDescent="0.25">
      <c r="A1451" s="78"/>
      <c r="B1451" s="79"/>
      <c r="C1451" s="80"/>
      <c r="D1451" s="81"/>
      <c r="E1451" s="26"/>
      <c r="F1451" s="82"/>
      <c r="G1451" s="83"/>
      <c r="H1451" s="84"/>
      <c r="I1451" s="80"/>
      <c r="J1451" s="80"/>
    </row>
    <row r="1452" spans="1:10" hidden="1" x14ac:dyDescent="0.25">
      <c r="A1452" s="78"/>
      <c r="B1452" s="79"/>
      <c r="C1452" s="80"/>
      <c r="D1452" s="81"/>
      <c r="E1452" s="26"/>
      <c r="F1452" s="82"/>
      <c r="G1452" s="83"/>
      <c r="H1452" s="84"/>
      <c r="I1452" s="80"/>
      <c r="J1452" s="80"/>
    </row>
    <row r="1453" spans="1:10" hidden="1" x14ac:dyDescent="0.25">
      <c r="A1453" s="78"/>
      <c r="B1453" s="79"/>
      <c r="C1453" s="80"/>
      <c r="D1453" s="81"/>
      <c r="E1453" s="26"/>
      <c r="F1453" s="82"/>
      <c r="G1453" s="83"/>
      <c r="H1453" s="84"/>
      <c r="I1453" s="80"/>
      <c r="J1453" s="80"/>
    </row>
    <row r="1454" spans="1:10" hidden="1" x14ac:dyDescent="0.25">
      <c r="A1454" s="78"/>
      <c r="B1454" s="79"/>
      <c r="C1454" s="80"/>
      <c r="D1454" s="81"/>
      <c r="E1454" s="26"/>
      <c r="F1454" s="82"/>
      <c r="G1454" s="83"/>
      <c r="H1454" s="84"/>
      <c r="I1454" s="80"/>
      <c r="J1454" s="80"/>
    </row>
    <row r="1455" spans="1:10" hidden="1" x14ac:dyDescent="0.25">
      <c r="A1455" s="78"/>
      <c r="B1455" s="79"/>
      <c r="C1455" s="80"/>
      <c r="D1455" s="81"/>
      <c r="E1455" s="26"/>
      <c r="F1455" s="82"/>
      <c r="G1455" s="83"/>
      <c r="H1455" s="84"/>
      <c r="I1455" s="80"/>
      <c r="J1455" s="80"/>
    </row>
    <row r="1456" spans="1:10" hidden="1" x14ac:dyDescent="0.25">
      <c r="A1456" s="78"/>
      <c r="B1456" s="79"/>
      <c r="C1456" s="80"/>
      <c r="D1456" s="81"/>
      <c r="E1456" s="26"/>
      <c r="F1456" s="82"/>
      <c r="G1456" s="83"/>
      <c r="H1456" s="84"/>
      <c r="I1456" s="80"/>
      <c r="J1456" s="80"/>
    </row>
    <row r="1457" spans="1:10" hidden="1" x14ac:dyDescent="0.25">
      <c r="A1457" s="78"/>
      <c r="B1457" s="79"/>
      <c r="C1457" s="80"/>
      <c r="D1457" s="81"/>
      <c r="E1457" s="26"/>
      <c r="F1457" s="82"/>
      <c r="G1457" s="83"/>
      <c r="H1457" s="84"/>
      <c r="I1457" s="80"/>
      <c r="J1457" s="80"/>
    </row>
    <row r="1458" spans="1:10" hidden="1" x14ac:dyDescent="0.25">
      <c r="A1458" s="78"/>
      <c r="B1458" s="79"/>
      <c r="C1458" s="80"/>
      <c r="D1458" s="81"/>
      <c r="E1458" s="26"/>
      <c r="F1458" s="82"/>
      <c r="G1458" s="83"/>
      <c r="H1458" s="84"/>
      <c r="I1458" s="80"/>
      <c r="J1458" s="80"/>
    </row>
    <row r="1459" spans="1:10" hidden="1" x14ac:dyDescent="0.25">
      <c r="A1459" s="78"/>
      <c r="B1459" s="79"/>
      <c r="C1459" s="80"/>
      <c r="D1459" s="81"/>
      <c r="E1459" s="26"/>
      <c r="F1459" s="82"/>
      <c r="G1459" s="83"/>
      <c r="H1459" s="84"/>
      <c r="I1459" s="80"/>
      <c r="J1459" s="80"/>
    </row>
    <row r="1460" spans="1:10" hidden="1" x14ac:dyDescent="0.25">
      <c r="A1460" s="78"/>
      <c r="B1460" s="79"/>
      <c r="C1460" s="80"/>
      <c r="D1460" s="81"/>
      <c r="E1460" s="26"/>
      <c r="F1460" s="82"/>
      <c r="G1460" s="83"/>
      <c r="H1460" s="84"/>
      <c r="I1460" s="80"/>
      <c r="J1460" s="80"/>
    </row>
    <row r="1461" spans="1:10" hidden="1" x14ac:dyDescent="0.25">
      <c r="A1461" s="78"/>
      <c r="B1461" s="79"/>
      <c r="C1461" s="80"/>
      <c r="D1461" s="81"/>
      <c r="E1461" s="26"/>
      <c r="F1461" s="82"/>
      <c r="G1461" s="83"/>
      <c r="H1461" s="84"/>
      <c r="I1461" s="80"/>
      <c r="J1461" s="80"/>
    </row>
    <row r="1462" spans="1:10" hidden="1" x14ac:dyDescent="0.25">
      <c r="A1462" s="78"/>
      <c r="B1462" s="79"/>
      <c r="C1462" s="80"/>
      <c r="D1462" s="81"/>
      <c r="E1462" s="26"/>
      <c r="F1462" s="82"/>
      <c r="G1462" s="83"/>
      <c r="H1462" s="84"/>
      <c r="I1462" s="80"/>
      <c r="J1462" s="80"/>
    </row>
    <row r="1463" spans="1:10" hidden="1" x14ac:dyDescent="0.25">
      <c r="A1463" s="78"/>
      <c r="B1463" s="79"/>
      <c r="C1463" s="80"/>
      <c r="D1463" s="81"/>
      <c r="E1463" s="26"/>
      <c r="F1463" s="82"/>
      <c r="G1463" s="83"/>
      <c r="H1463" s="84"/>
      <c r="I1463" s="80"/>
      <c r="J1463" s="80"/>
    </row>
    <row r="1464" spans="1:10" hidden="1" x14ac:dyDescent="0.25">
      <c r="A1464" s="78"/>
      <c r="B1464" s="79"/>
      <c r="C1464" s="80"/>
      <c r="D1464" s="81"/>
      <c r="E1464" s="26"/>
      <c r="F1464" s="82"/>
      <c r="G1464" s="83"/>
      <c r="H1464" s="84"/>
      <c r="I1464" s="80"/>
      <c r="J1464" s="80"/>
    </row>
    <row r="1465" spans="1:10" hidden="1" x14ac:dyDescent="0.25">
      <c r="A1465" s="78"/>
      <c r="B1465" s="79"/>
      <c r="C1465" s="80"/>
      <c r="D1465" s="81"/>
      <c r="E1465" s="26"/>
      <c r="F1465" s="82"/>
      <c r="G1465" s="83"/>
      <c r="H1465" s="84"/>
      <c r="I1465" s="80"/>
      <c r="J1465" s="80"/>
    </row>
    <row r="1466" spans="1:10" hidden="1" x14ac:dyDescent="0.25">
      <c r="A1466" s="78"/>
      <c r="B1466" s="79"/>
      <c r="C1466" s="80"/>
      <c r="D1466" s="81"/>
      <c r="E1466" s="26"/>
      <c r="F1466" s="82"/>
      <c r="G1466" s="83"/>
      <c r="H1466" s="84"/>
      <c r="I1466" s="80"/>
      <c r="J1466" s="80"/>
    </row>
    <row r="1467" spans="1:10" hidden="1" x14ac:dyDescent="0.25">
      <c r="A1467" s="78"/>
      <c r="B1467" s="79"/>
      <c r="C1467" s="80"/>
      <c r="D1467" s="81"/>
      <c r="E1467" s="26"/>
      <c r="F1467" s="82"/>
      <c r="G1467" s="83"/>
      <c r="H1467" s="84"/>
      <c r="I1467" s="80"/>
      <c r="J1467" s="80"/>
    </row>
    <row r="1468" spans="1:10" hidden="1" x14ac:dyDescent="0.25">
      <c r="A1468" s="78"/>
      <c r="B1468" s="79"/>
      <c r="C1468" s="80"/>
      <c r="D1468" s="81"/>
      <c r="E1468" s="26"/>
      <c r="F1468" s="82"/>
      <c r="G1468" s="83"/>
      <c r="H1468" s="84"/>
      <c r="I1468" s="80"/>
      <c r="J1468" s="80"/>
    </row>
    <row r="1469" spans="1:10" hidden="1" x14ac:dyDescent="0.25">
      <c r="A1469" s="78"/>
      <c r="B1469" s="79"/>
      <c r="C1469" s="80"/>
      <c r="D1469" s="81"/>
      <c r="E1469" s="26"/>
      <c r="F1469" s="82"/>
      <c r="G1469" s="83"/>
      <c r="H1469" s="84"/>
      <c r="I1469" s="80"/>
      <c r="J1469" s="80"/>
    </row>
    <row r="1470" spans="1:10" hidden="1" x14ac:dyDescent="0.25">
      <c r="A1470" s="78"/>
      <c r="B1470" s="79"/>
      <c r="C1470" s="80"/>
      <c r="D1470" s="81"/>
      <c r="E1470" s="26"/>
      <c r="F1470" s="82"/>
      <c r="G1470" s="83"/>
      <c r="H1470" s="84"/>
      <c r="I1470" s="80"/>
      <c r="J1470" s="80"/>
    </row>
    <row r="1471" spans="1:10" hidden="1" x14ac:dyDescent="0.25">
      <c r="A1471" s="78"/>
      <c r="B1471" s="79"/>
      <c r="C1471" s="80"/>
      <c r="D1471" s="81"/>
      <c r="E1471" s="26"/>
      <c r="F1471" s="82"/>
      <c r="G1471" s="83"/>
      <c r="H1471" s="84"/>
      <c r="I1471" s="80"/>
      <c r="J1471" s="80"/>
    </row>
    <row r="1472" spans="1:10" hidden="1" x14ac:dyDescent="0.25">
      <c r="A1472" s="78"/>
      <c r="B1472" s="79"/>
      <c r="C1472" s="80"/>
      <c r="D1472" s="81"/>
      <c r="E1472" s="26"/>
      <c r="F1472" s="82"/>
      <c r="G1472" s="83"/>
      <c r="H1472" s="84"/>
      <c r="I1472" s="80"/>
      <c r="J1472" s="80"/>
    </row>
    <row r="1473" spans="1:10" hidden="1" x14ac:dyDescent="0.25">
      <c r="A1473" s="78"/>
      <c r="B1473" s="79"/>
      <c r="C1473" s="80"/>
      <c r="D1473" s="81"/>
      <c r="E1473" s="26"/>
      <c r="F1473" s="82"/>
      <c r="G1473" s="83"/>
      <c r="H1473" s="84"/>
      <c r="I1473" s="80"/>
      <c r="J1473" s="80"/>
    </row>
    <row r="1474" spans="1:10" hidden="1" x14ac:dyDescent="0.25">
      <c r="A1474" s="78"/>
      <c r="B1474" s="79"/>
      <c r="C1474" s="80"/>
      <c r="D1474" s="81"/>
      <c r="E1474" s="26"/>
      <c r="F1474" s="82"/>
      <c r="G1474" s="83"/>
      <c r="H1474" s="84"/>
      <c r="I1474" s="80"/>
      <c r="J1474" s="80"/>
    </row>
    <row r="1475" spans="1:10" hidden="1" x14ac:dyDescent="0.25">
      <c r="A1475" s="78"/>
      <c r="B1475" s="79"/>
      <c r="C1475" s="80"/>
      <c r="D1475" s="81"/>
      <c r="E1475" s="26"/>
      <c r="F1475" s="82"/>
      <c r="G1475" s="83"/>
      <c r="H1475" s="84"/>
      <c r="I1475" s="80"/>
      <c r="J1475" s="80"/>
    </row>
    <row r="1476" spans="1:10" hidden="1" x14ac:dyDescent="0.25">
      <c r="A1476" s="78"/>
      <c r="B1476" s="79"/>
      <c r="C1476" s="80"/>
      <c r="D1476" s="81"/>
      <c r="E1476" s="26"/>
      <c r="F1476" s="82"/>
      <c r="G1476" s="83"/>
      <c r="H1476" s="84"/>
      <c r="I1476" s="80"/>
      <c r="J1476" s="80"/>
    </row>
    <row r="1477" spans="1:10" hidden="1" x14ac:dyDescent="0.25">
      <c r="A1477" s="78"/>
      <c r="B1477" s="79"/>
      <c r="C1477" s="80"/>
      <c r="D1477" s="81"/>
      <c r="E1477" s="26"/>
      <c r="F1477" s="82"/>
      <c r="G1477" s="83"/>
      <c r="H1477" s="84"/>
      <c r="I1477" s="80"/>
      <c r="J1477" s="80"/>
    </row>
    <row r="1478" spans="1:10" hidden="1" x14ac:dyDescent="0.25">
      <c r="A1478" s="78"/>
      <c r="B1478" s="79"/>
      <c r="C1478" s="80"/>
      <c r="D1478" s="81"/>
      <c r="E1478" s="26"/>
      <c r="F1478" s="82"/>
      <c r="G1478" s="83"/>
      <c r="H1478" s="84"/>
      <c r="I1478" s="80"/>
      <c r="J1478" s="80"/>
    </row>
    <row r="1479" spans="1:10" hidden="1" x14ac:dyDescent="0.25">
      <c r="A1479" s="78"/>
      <c r="B1479" s="79"/>
      <c r="C1479" s="80"/>
      <c r="D1479" s="81"/>
      <c r="E1479" s="26"/>
      <c r="F1479" s="82"/>
      <c r="G1479" s="83"/>
      <c r="H1479" s="84"/>
      <c r="I1479" s="80"/>
      <c r="J1479" s="80"/>
    </row>
    <row r="1480" spans="1:10" hidden="1" x14ac:dyDescent="0.25">
      <c r="A1480" s="78"/>
      <c r="B1480" s="79"/>
      <c r="C1480" s="80"/>
      <c r="D1480" s="81"/>
      <c r="E1480" s="26"/>
      <c r="F1480" s="82"/>
      <c r="G1480" s="83"/>
      <c r="H1480" s="84"/>
      <c r="I1480" s="80"/>
      <c r="J1480" s="80"/>
    </row>
    <row r="1481" spans="1:10" hidden="1" x14ac:dyDescent="0.25">
      <c r="A1481" s="78"/>
      <c r="B1481" s="79"/>
      <c r="C1481" s="80"/>
      <c r="D1481" s="81"/>
      <c r="E1481" s="26"/>
      <c r="F1481" s="82"/>
      <c r="G1481" s="83"/>
      <c r="H1481" s="84"/>
      <c r="I1481" s="80"/>
      <c r="J1481" s="80"/>
    </row>
    <row r="1482" spans="1:10" hidden="1" x14ac:dyDescent="0.25">
      <c r="A1482" s="78"/>
      <c r="B1482" s="79"/>
      <c r="C1482" s="80"/>
      <c r="D1482" s="81"/>
      <c r="E1482" s="26"/>
      <c r="F1482" s="82"/>
      <c r="G1482" s="83"/>
      <c r="H1482" s="84"/>
      <c r="I1482" s="80"/>
      <c r="J1482" s="80"/>
    </row>
    <row r="1483" spans="1:10" hidden="1" x14ac:dyDescent="0.25">
      <c r="A1483" s="78"/>
      <c r="B1483" s="79"/>
      <c r="C1483" s="80"/>
      <c r="D1483" s="81"/>
      <c r="E1483" s="26"/>
      <c r="F1483" s="82"/>
      <c r="G1483" s="83"/>
      <c r="H1483" s="84"/>
      <c r="I1483" s="80"/>
      <c r="J1483" s="80"/>
    </row>
    <row r="1484" spans="1:10" hidden="1" x14ac:dyDescent="0.25">
      <c r="A1484" s="78"/>
      <c r="B1484" s="79"/>
      <c r="C1484" s="80"/>
      <c r="D1484" s="81"/>
      <c r="E1484" s="26"/>
      <c r="F1484" s="82"/>
      <c r="G1484" s="83"/>
      <c r="H1484" s="84"/>
      <c r="I1484" s="80"/>
      <c r="J1484" s="80"/>
    </row>
    <row r="1485" spans="1:10" hidden="1" x14ac:dyDescent="0.25">
      <c r="A1485" s="78"/>
      <c r="B1485" s="79"/>
      <c r="C1485" s="80"/>
      <c r="D1485" s="81"/>
      <c r="E1485" s="26"/>
      <c r="F1485" s="82"/>
      <c r="G1485" s="83"/>
      <c r="H1485" s="84"/>
      <c r="I1485" s="80"/>
      <c r="J1485" s="80"/>
    </row>
    <row r="1486" spans="1:10" hidden="1" x14ac:dyDescent="0.25">
      <c r="A1486" s="78"/>
      <c r="B1486" s="79"/>
      <c r="C1486" s="80"/>
      <c r="D1486" s="81"/>
      <c r="E1486" s="26"/>
      <c r="F1486" s="82"/>
      <c r="G1486" s="83"/>
      <c r="H1486" s="84"/>
      <c r="I1486" s="80"/>
      <c r="J1486" s="80"/>
    </row>
    <row r="1487" spans="1:10" hidden="1" x14ac:dyDescent="0.25">
      <c r="A1487" s="78"/>
      <c r="B1487" s="79"/>
      <c r="C1487" s="80"/>
      <c r="D1487" s="81"/>
      <c r="E1487" s="26"/>
      <c r="F1487" s="82"/>
      <c r="G1487" s="83"/>
      <c r="H1487" s="84"/>
      <c r="I1487" s="80"/>
      <c r="J1487" s="80"/>
    </row>
    <row r="1488" spans="1:10" hidden="1" x14ac:dyDescent="0.25">
      <c r="A1488" s="78"/>
      <c r="B1488" s="79"/>
      <c r="C1488" s="80"/>
      <c r="D1488" s="81"/>
      <c r="E1488" s="26"/>
      <c r="F1488" s="82"/>
      <c r="G1488" s="83"/>
      <c r="H1488" s="84"/>
      <c r="I1488" s="80"/>
      <c r="J1488" s="80"/>
    </row>
    <row r="1489" spans="1:10" hidden="1" x14ac:dyDescent="0.25">
      <c r="A1489" s="78"/>
      <c r="B1489" s="79"/>
      <c r="C1489" s="80"/>
      <c r="D1489" s="81"/>
      <c r="E1489" s="26"/>
      <c r="F1489" s="82"/>
      <c r="G1489" s="83"/>
      <c r="H1489" s="84"/>
      <c r="I1489" s="80"/>
      <c r="J1489" s="80"/>
    </row>
    <row r="1490" spans="1:10" hidden="1" x14ac:dyDescent="0.25">
      <c r="A1490" s="78"/>
      <c r="B1490" s="79"/>
      <c r="C1490" s="80"/>
      <c r="D1490" s="81"/>
      <c r="E1490" s="26"/>
      <c r="F1490" s="82"/>
      <c r="G1490" s="83"/>
      <c r="H1490" s="84"/>
      <c r="I1490" s="80"/>
      <c r="J1490" s="80"/>
    </row>
    <row r="1491" spans="1:10" hidden="1" x14ac:dyDescent="0.25">
      <c r="A1491" s="78"/>
      <c r="B1491" s="79"/>
      <c r="C1491" s="80"/>
      <c r="D1491" s="81"/>
      <c r="E1491" s="26"/>
      <c r="F1491" s="82"/>
      <c r="G1491" s="83"/>
      <c r="H1491" s="84"/>
      <c r="I1491" s="80"/>
      <c r="J1491" s="80"/>
    </row>
    <row r="1492" spans="1:10" hidden="1" x14ac:dyDescent="0.25">
      <c r="A1492" s="78"/>
      <c r="B1492" s="79"/>
      <c r="C1492" s="80"/>
      <c r="D1492" s="81"/>
      <c r="E1492" s="26"/>
      <c r="F1492" s="82"/>
      <c r="G1492" s="83"/>
      <c r="H1492" s="84"/>
      <c r="I1492" s="80"/>
      <c r="J1492" s="80"/>
    </row>
    <row r="1493" spans="1:10" hidden="1" x14ac:dyDescent="0.25">
      <c r="A1493" s="78"/>
      <c r="B1493" s="79"/>
      <c r="C1493" s="80"/>
      <c r="D1493" s="81"/>
      <c r="E1493" s="26"/>
      <c r="F1493" s="82"/>
      <c r="G1493" s="83"/>
      <c r="H1493" s="84"/>
      <c r="I1493" s="80"/>
      <c r="J1493" s="80"/>
    </row>
    <row r="1494" spans="1:10" hidden="1" x14ac:dyDescent="0.25">
      <c r="A1494" s="78"/>
      <c r="B1494" s="79"/>
      <c r="C1494" s="80"/>
      <c r="D1494" s="81"/>
      <c r="E1494" s="26"/>
      <c r="F1494" s="82"/>
      <c r="G1494" s="83"/>
      <c r="H1494" s="84"/>
      <c r="I1494" s="80"/>
      <c r="J1494" s="80"/>
    </row>
    <row r="1495" spans="1:10" hidden="1" x14ac:dyDescent="0.25">
      <c r="A1495" s="78"/>
      <c r="B1495" s="79"/>
      <c r="C1495" s="80"/>
      <c r="D1495" s="81"/>
      <c r="E1495" s="26"/>
      <c r="F1495" s="82"/>
      <c r="G1495" s="83"/>
      <c r="H1495" s="84"/>
      <c r="I1495" s="80"/>
      <c r="J1495" s="80"/>
    </row>
    <row r="1496" spans="1:10" hidden="1" x14ac:dyDescent="0.25">
      <c r="A1496" s="78"/>
      <c r="B1496" s="79"/>
      <c r="C1496" s="80"/>
      <c r="D1496" s="81"/>
      <c r="E1496" s="26"/>
      <c r="F1496" s="82"/>
      <c r="G1496" s="83"/>
      <c r="H1496" s="84"/>
      <c r="I1496" s="80"/>
      <c r="J1496" s="80"/>
    </row>
    <row r="1497" spans="1:10" hidden="1" x14ac:dyDescent="0.25">
      <c r="A1497" s="78"/>
      <c r="B1497" s="79"/>
      <c r="C1497" s="80"/>
      <c r="D1497" s="81"/>
      <c r="E1497" s="26"/>
      <c r="F1497" s="82"/>
      <c r="G1497" s="83"/>
      <c r="H1497" s="84"/>
      <c r="I1497" s="80"/>
      <c r="J1497" s="80"/>
    </row>
    <row r="1498" spans="1:10" hidden="1" x14ac:dyDescent="0.25">
      <c r="A1498" s="78"/>
      <c r="B1498" s="79"/>
      <c r="C1498" s="80"/>
      <c r="D1498" s="81"/>
      <c r="E1498" s="26"/>
      <c r="F1498" s="82"/>
      <c r="G1498" s="83"/>
      <c r="H1498" s="84"/>
      <c r="I1498" s="80"/>
      <c r="J1498" s="80"/>
    </row>
    <row r="1499" spans="1:10" hidden="1" x14ac:dyDescent="0.25">
      <c r="A1499" s="78"/>
      <c r="B1499" s="79"/>
      <c r="C1499" s="80"/>
      <c r="D1499" s="81"/>
      <c r="E1499" s="26"/>
      <c r="F1499" s="82"/>
      <c r="G1499" s="83"/>
      <c r="H1499" s="84"/>
      <c r="I1499" s="80"/>
      <c r="J1499" s="80"/>
    </row>
    <row r="1500" spans="1:10" hidden="1" x14ac:dyDescent="0.25">
      <c r="A1500" s="78"/>
      <c r="B1500" s="79"/>
      <c r="C1500" s="80"/>
      <c r="D1500" s="81"/>
      <c r="E1500" s="26"/>
      <c r="F1500" s="82"/>
      <c r="G1500" s="83"/>
      <c r="H1500" s="84"/>
      <c r="I1500" s="80"/>
      <c r="J1500" s="80"/>
    </row>
    <row r="1501" spans="1:10" hidden="1" x14ac:dyDescent="0.25">
      <c r="A1501" s="78"/>
      <c r="B1501" s="79"/>
      <c r="C1501" s="80"/>
      <c r="D1501" s="81"/>
      <c r="E1501" s="26"/>
      <c r="F1501" s="82"/>
      <c r="G1501" s="83"/>
      <c r="H1501" s="84"/>
      <c r="I1501" s="80"/>
      <c r="J1501" s="80"/>
    </row>
    <row r="1502" spans="1:10" hidden="1" x14ac:dyDescent="0.25">
      <c r="A1502" s="78"/>
      <c r="B1502" s="79"/>
      <c r="C1502" s="80"/>
      <c r="D1502" s="81"/>
      <c r="E1502" s="26"/>
      <c r="F1502" s="82"/>
      <c r="G1502" s="83"/>
      <c r="H1502" s="84"/>
      <c r="I1502" s="80"/>
      <c r="J1502" s="80"/>
    </row>
    <row r="1503" spans="1:10" hidden="1" x14ac:dyDescent="0.25">
      <c r="A1503" s="78"/>
      <c r="B1503" s="79"/>
      <c r="C1503" s="80"/>
      <c r="D1503" s="81"/>
      <c r="E1503" s="26"/>
      <c r="F1503" s="82"/>
      <c r="G1503" s="83"/>
      <c r="H1503" s="84"/>
      <c r="I1503" s="80"/>
      <c r="J1503" s="80"/>
    </row>
    <row r="1504" spans="1:10" hidden="1" x14ac:dyDescent="0.25">
      <c r="A1504" s="78"/>
      <c r="B1504" s="79"/>
      <c r="C1504" s="80"/>
      <c r="D1504" s="81"/>
      <c r="E1504" s="26"/>
      <c r="F1504" s="82"/>
      <c r="G1504" s="83"/>
      <c r="H1504" s="84"/>
      <c r="I1504" s="80"/>
      <c r="J1504" s="80"/>
    </row>
    <row r="1505" spans="1:10" hidden="1" x14ac:dyDescent="0.25">
      <c r="A1505" s="78"/>
      <c r="B1505" s="79"/>
      <c r="C1505" s="80"/>
      <c r="D1505" s="81"/>
      <c r="E1505" s="26"/>
      <c r="F1505" s="82"/>
      <c r="G1505" s="83"/>
      <c r="H1505" s="84"/>
      <c r="I1505" s="80"/>
      <c r="J1505" s="80"/>
    </row>
    <row r="1506" spans="1:10" hidden="1" x14ac:dyDescent="0.25">
      <c r="A1506" s="78"/>
      <c r="B1506" s="79"/>
      <c r="C1506" s="80"/>
      <c r="D1506" s="81"/>
      <c r="E1506" s="26"/>
      <c r="F1506" s="82"/>
      <c r="G1506" s="83"/>
      <c r="H1506" s="84"/>
      <c r="I1506" s="80"/>
      <c r="J1506" s="80"/>
    </row>
    <row r="1507" spans="1:10" hidden="1" x14ac:dyDescent="0.25">
      <c r="A1507" s="78"/>
      <c r="B1507" s="79"/>
      <c r="C1507" s="80"/>
      <c r="D1507" s="81"/>
      <c r="E1507" s="26"/>
      <c r="F1507" s="82"/>
      <c r="G1507" s="83"/>
      <c r="H1507" s="84"/>
      <c r="I1507" s="80"/>
      <c r="J1507" s="80"/>
    </row>
    <row r="1508" spans="1:10" hidden="1" x14ac:dyDescent="0.25">
      <c r="A1508" s="78"/>
      <c r="B1508" s="79"/>
      <c r="C1508" s="80"/>
      <c r="D1508" s="81"/>
      <c r="E1508" s="26"/>
      <c r="F1508" s="82"/>
      <c r="G1508" s="83"/>
      <c r="H1508" s="84"/>
      <c r="I1508" s="80"/>
      <c r="J1508" s="80"/>
    </row>
    <row r="1509" spans="1:10" hidden="1" x14ac:dyDescent="0.25">
      <c r="A1509" s="78"/>
      <c r="B1509" s="79"/>
      <c r="C1509" s="80"/>
      <c r="D1509" s="81"/>
      <c r="E1509" s="26"/>
      <c r="F1509" s="82"/>
      <c r="G1509" s="83"/>
      <c r="H1509" s="84"/>
      <c r="I1509" s="80"/>
      <c r="J1509" s="80"/>
    </row>
    <row r="1510" spans="1:10" hidden="1" x14ac:dyDescent="0.25">
      <c r="A1510" s="78"/>
      <c r="B1510" s="79"/>
      <c r="C1510" s="80"/>
      <c r="D1510" s="81"/>
      <c r="E1510" s="26"/>
      <c r="F1510" s="82"/>
      <c r="G1510" s="83"/>
      <c r="H1510" s="84"/>
      <c r="I1510" s="80"/>
      <c r="J1510" s="80"/>
    </row>
    <row r="1511" spans="1:10" hidden="1" x14ac:dyDescent="0.25">
      <c r="A1511" s="78"/>
      <c r="B1511" s="79"/>
      <c r="C1511" s="80"/>
      <c r="D1511" s="81"/>
      <c r="E1511" s="26"/>
      <c r="F1511" s="82"/>
      <c r="G1511" s="83"/>
      <c r="H1511" s="84"/>
      <c r="I1511" s="80"/>
      <c r="J1511" s="80"/>
    </row>
    <row r="1512" spans="1:10" hidden="1" x14ac:dyDescent="0.25">
      <c r="A1512" s="78"/>
      <c r="B1512" s="79"/>
      <c r="C1512" s="80"/>
      <c r="D1512" s="81"/>
      <c r="E1512" s="26"/>
      <c r="F1512" s="82"/>
      <c r="G1512" s="83"/>
      <c r="H1512" s="84"/>
      <c r="I1512" s="80"/>
      <c r="J1512" s="80"/>
    </row>
    <row r="1513" spans="1:10" hidden="1" x14ac:dyDescent="0.25">
      <c r="A1513" s="78"/>
      <c r="B1513" s="79"/>
      <c r="C1513" s="80"/>
      <c r="D1513" s="81"/>
      <c r="E1513" s="26"/>
      <c r="F1513" s="82"/>
      <c r="G1513" s="83"/>
      <c r="H1513" s="84"/>
      <c r="I1513" s="80"/>
      <c r="J1513" s="80"/>
    </row>
    <row r="1514" spans="1:10" hidden="1" x14ac:dyDescent="0.25">
      <c r="A1514" s="78"/>
      <c r="B1514" s="79"/>
      <c r="C1514" s="80"/>
      <c r="D1514" s="81"/>
      <c r="E1514" s="26"/>
      <c r="F1514" s="82"/>
      <c r="G1514" s="83"/>
      <c r="H1514" s="84"/>
      <c r="I1514" s="80"/>
      <c r="J1514" s="80"/>
    </row>
    <row r="1515" spans="1:10" hidden="1" x14ac:dyDescent="0.25">
      <c r="A1515" s="78"/>
      <c r="B1515" s="79"/>
      <c r="C1515" s="80"/>
      <c r="D1515" s="81"/>
      <c r="E1515" s="26"/>
      <c r="F1515" s="82"/>
      <c r="G1515" s="83"/>
      <c r="H1515" s="84"/>
      <c r="I1515" s="80"/>
      <c r="J1515" s="80"/>
    </row>
    <row r="1516" spans="1:10" hidden="1" x14ac:dyDescent="0.25">
      <c r="A1516" s="78"/>
      <c r="B1516" s="79"/>
      <c r="C1516" s="80"/>
      <c r="D1516" s="81"/>
      <c r="E1516" s="26"/>
      <c r="F1516" s="82"/>
      <c r="G1516" s="83"/>
      <c r="H1516" s="84"/>
      <c r="I1516" s="80"/>
      <c r="J1516" s="80"/>
    </row>
    <row r="1517" spans="1:10" hidden="1" x14ac:dyDescent="0.25">
      <c r="A1517" s="78"/>
      <c r="B1517" s="79"/>
      <c r="C1517" s="80"/>
      <c r="D1517" s="81"/>
      <c r="E1517" s="26"/>
      <c r="F1517" s="82"/>
      <c r="G1517" s="83"/>
      <c r="H1517" s="84"/>
      <c r="I1517" s="80"/>
      <c r="J1517" s="80"/>
    </row>
    <row r="1518" spans="1:10" hidden="1" x14ac:dyDescent="0.25">
      <c r="A1518" s="78"/>
      <c r="B1518" s="79"/>
      <c r="C1518" s="80"/>
      <c r="D1518" s="81"/>
      <c r="E1518" s="26"/>
      <c r="F1518" s="82"/>
      <c r="G1518" s="83"/>
      <c r="H1518" s="84"/>
      <c r="I1518" s="80"/>
      <c r="J1518" s="80"/>
    </row>
    <row r="1519" spans="1:10" hidden="1" x14ac:dyDescent="0.25">
      <c r="A1519" s="78"/>
      <c r="B1519" s="79"/>
      <c r="C1519" s="80"/>
      <c r="D1519" s="81"/>
      <c r="E1519" s="26"/>
      <c r="F1519" s="82"/>
      <c r="G1519" s="83"/>
      <c r="H1519" s="84"/>
      <c r="I1519" s="80"/>
      <c r="J1519" s="80"/>
    </row>
    <row r="1520" spans="1:10" hidden="1" x14ac:dyDescent="0.25">
      <c r="A1520" s="78"/>
      <c r="B1520" s="79"/>
      <c r="C1520" s="80"/>
      <c r="D1520" s="81"/>
      <c r="E1520" s="26"/>
      <c r="F1520" s="82"/>
      <c r="G1520" s="83"/>
      <c r="H1520" s="84"/>
      <c r="I1520" s="80"/>
      <c r="J1520" s="80"/>
    </row>
    <row r="1521" spans="1:10" hidden="1" x14ac:dyDescent="0.25">
      <c r="A1521" s="78"/>
      <c r="B1521" s="79"/>
      <c r="C1521" s="80"/>
      <c r="D1521" s="81"/>
      <c r="E1521" s="26"/>
      <c r="F1521" s="82"/>
      <c r="G1521" s="83"/>
      <c r="H1521" s="84"/>
      <c r="I1521" s="80"/>
      <c r="J1521" s="80"/>
    </row>
    <row r="1522" spans="1:10" hidden="1" x14ac:dyDescent="0.25">
      <c r="A1522" s="78"/>
      <c r="B1522" s="79"/>
      <c r="C1522" s="80"/>
      <c r="D1522" s="81"/>
      <c r="E1522" s="26"/>
      <c r="F1522" s="82"/>
      <c r="G1522" s="83"/>
      <c r="H1522" s="84"/>
      <c r="I1522" s="80"/>
      <c r="J1522" s="80"/>
    </row>
    <row r="1523" spans="1:10" hidden="1" x14ac:dyDescent="0.25">
      <c r="A1523" s="78"/>
      <c r="B1523" s="79"/>
      <c r="C1523" s="80"/>
      <c r="D1523" s="81"/>
      <c r="E1523" s="26"/>
      <c r="F1523" s="82"/>
      <c r="G1523" s="83"/>
      <c r="H1523" s="84"/>
      <c r="I1523" s="80"/>
      <c r="J1523" s="80"/>
    </row>
    <row r="1524" spans="1:10" hidden="1" x14ac:dyDescent="0.25">
      <c r="A1524" s="78"/>
      <c r="B1524" s="79"/>
      <c r="C1524" s="80"/>
      <c r="D1524" s="81"/>
      <c r="E1524" s="26"/>
      <c r="F1524" s="82"/>
      <c r="G1524" s="83"/>
      <c r="H1524" s="84"/>
      <c r="I1524" s="80"/>
      <c r="J1524" s="80"/>
    </row>
    <row r="1525" spans="1:10" hidden="1" x14ac:dyDescent="0.25">
      <c r="A1525" s="78"/>
      <c r="B1525" s="79"/>
      <c r="C1525" s="80"/>
      <c r="D1525" s="81"/>
      <c r="E1525" s="26"/>
      <c r="F1525" s="82"/>
      <c r="G1525" s="83"/>
      <c r="H1525" s="84"/>
      <c r="I1525" s="80"/>
      <c r="J1525" s="80"/>
    </row>
    <row r="1526" spans="1:10" hidden="1" x14ac:dyDescent="0.25">
      <c r="A1526" s="78"/>
      <c r="B1526" s="79"/>
      <c r="C1526" s="80"/>
      <c r="D1526" s="81"/>
      <c r="E1526" s="26"/>
      <c r="F1526" s="82"/>
      <c r="G1526" s="83"/>
      <c r="H1526" s="84"/>
      <c r="I1526" s="80"/>
      <c r="J1526" s="80"/>
    </row>
    <row r="1527" spans="1:10" hidden="1" x14ac:dyDescent="0.25">
      <c r="A1527" s="78"/>
      <c r="B1527" s="79"/>
      <c r="C1527" s="80"/>
      <c r="D1527" s="81"/>
      <c r="E1527" s="26"/>
      <c r="F1527" s="82"/>
      <c r="G1527" s="83"/>
      <c r="H1527" s="84"/>
      <c r="I1527" s="80"/>
      <c r="J1527" s="80"/>
    </row>
    <row r="1528" spans="1:10" hidden="1" x14ac:dyDescent="0.25">
      <c r="A1528" s="78"/>
      <c r="B1528" s="79"/>
      <c r="C1528" s="80"/>
      <c r="D1528" s="81"/>
      <c r="E1528" s="26"/>
      <c r="F1528" s="82"/>
      <c r="G1528" s="83"/>
      <c r="H1528" s="84"/>
      <c r="I1528" s="80"/>
      <c r="J1528" s="80"/>
    </row>
    <row r="1529" spans="1:10" hidden="1" x14ac:dyDescent="0.25">
      <c r="A1529" s="78"/>
      <c r="B1529" s="79"/>
      <c r="C1529" s="80"/>
      <c r="D1529" s="81"/>
      <c r="E1529" s="26"/>
      <c r="F1529" s="82"/>
      <c r="G1529" s="83"/>
      <c r="H1529" s="84"/>
      <c r="I1529" s="80"/>
      <c r="J1529" s="80"/>
    </row>
    <row r="1530" spans="1:10" hidden="1" x14ac:dyDescent="0.25">
      <c r="A1530" s="78"/>
      <c r="B1530" s="79"/>
      <c r="C1530" s="80"/>
      <c r="D1530" s="81"/>
      <c r="E1530" s="26"/>
      <c r="F1530" s="82"/>
      <c r="G1530" s="83"/>
      <c r="H1530" s="84"/>
      <c r="I1530" s="80"/>
      <c r="J1530" s="80"/>
    </row>
    <row r="1531" spans="1:10" hidden="1" x14ac:dyDescent="0.25">
      <c r="A1531" s="78"/>
      <c r="B1531" s="79"/>
      <c r="C1531" s="80"/>
      <c r="D1531" s="81"/>
      <c r="E1531" s="26"/>
      <c r="F1531" s="82"/>
      <c r="G1531" s="83"/>
      <c r="H1531" s="84"/>
      <c r="I1531" s="80"/>
      <c r="J1531" s="80"/>
    </row>
    <row r="1532" spans="1:10" hidden="1" x14ac:dyDescent="0.25">
      <c r="A1532" s="78"/>
      <c r="B1532" s="79"/>
      <c r="C1532" s="80"/>
      <c r="D1532" s="81"/>
      <c r="E1532" s="26"/>
      <c r="F1532" s="82"/>
      <c r="G1532" s="83"/>
      <c r="H1532" s="84"/>
      <c r="I1532" s="80"/>
      <c r="J1532" s="80"/>
    </row>
    <row r="1533" spans="1:10" hidden="1" x14ac:dyDescent="0.25">
      <c r="A1533" s="78"/>
      <c r="B1533" s="79"/>
      <c r="C1533" s="80"/>
      <c r="D1533" s="81"/>
      <c r="E1533" s="26"/>
      <c r="F1533" s="82"/>
      <c r="G1533" s="83"/>
      <c r="H1533" s="84"/>
      <c r="I1533" s="80"/>
      <c r="J1533" s="80"/>
    </row>
    <row r="1534" spans="1:10" hidden="1" x14ac:dyDescent="0.25">
      <c r="A1534" s="78"/>
      <c r="B1534" s="79"/>
      <c r="C1534" s="80"/>
      <c r="D1534" s="81"/>
      <c r="E1534" s="26"/>
      <c r="F1534" s="82"/>
      <c r="G1534" s="83"/>
      <c r="H1534" s="84"/>
      <c r="I1534" s="80"/>
      <c r="J1534" s="80"/>
    </row>
    <row r="1535" spans="1:10" hidden="1" x14ac:dyDescent="0.25">
      <c r="A1535" s="78"/>
      <c r="B1535" s="79"/>
      <c r="C1535" s="80"/>
      <c r="D1535" s="81"/>
      <c r="E1535" s="26"/>
      <c r="F1535" s="82"/>
      <c r="G1535" s="83"/>
      <c r="H1535" s="84"/>
      <c r="I1535" s="80"/>
      <c r="J1535" s="80"/>
    </row>
    <row r="1536" spans="1:10" hidden="1" x14ac:dyDescent="0.25">
      <c r="A1536" s="78"/>
      <c r="B1536" s="79"/>
      <c r="C1536" s="80"/>
      <c r="D1536" s="81"/>
      <c r="E1536" s="26"/>
      <c r="F1536" s="82"/>
      <c r="G1536" s="83"/>
      <c r="H1536" s="84"/>
      <c r="I1536" s="80"/>
      <c r="J1536" s="80"/>
    </row>
    <row r="1537" spans="1:10" hidden="1" x14ac:dyDescent="0.25">
      <c r="A1537" s="78"/>
      <c r="B1537" s="79"/>
      <c r="C1537" s="80"/>
      <c r="D1537" s="81"/>
      <c r="E1537" s="26"/>
      <c r="F1537" s="82"/>
      <c r="G1537" s="83"/>
      <c r="H1537" s="84"/>
      <c r="I1537" s="80"/>
      <c r="J1537" s="80"/>
    </row>
    <row r="1538" spans="1:10" hidden="1" x14ac:dyDescent="0.25">
      <c r="A1538" s="78"/>
      <c r="B1538" s="79"/>
      <c r="C1538" s="80"/>
      <c r="D1538" s="81"/>
      <c r="E1538" s="26"/>
      <c r="F1538" s="82"/>
      <c r="G1538" s="83"/>
      <c r="H1538" s="84"/>
      <c r="I1538" s="80"/>
      <c r="J1538" s="80"/>
    </row>
    <row r="1539" spans="1:10" hidden="1" x14ac:dyDescent="0.25">
      <c r="A1539" s="78"/>
      <c r="B1539" s="79"/>
      <c r="C1539" s="80"/>
      <c r="D1539" s="81"/>
      <c r="E1539" s="26"/>
      <c r="F1539" s="82"/>
      <c r="G1539" s="83"/>
      <c r="H1539" s="84"/>
      <c r="I1539" s="80"/>
      <c r="J1539" s="80"/>
    </row>
    <row r="1540" spans="1:10" hidden="1" x14ac:dyDescent="0.25">
      <c r="A1540" s="78"/>
      <c r="B1540" s="79"/>
      <c r="C1540" s="80"/>
      <c r="D1540" s="81"/>
      <c r="E1540" s="26"/>
      <c r="F1540" s="82"/>
      <c r="G1540" s="83"/>
      <c r="H1540" s="84"/>
      <c r="I1540" s="80"/>
      <c r="J1540" s="80"/>
    </row>
    <row r="1541" spans="1:10" hidden="1" x14ac:dyDescent="0.25">
      <c r="A1541" s="78"/>
      <c r="B1541" s="79"/>
      <c r="C1541" s="80"/>
      <c r="D1541" s="81"/>
      <c r="E1541" s="26"/>
      <c r="F1541" s="82"/>
      <c r="G1541" s="83"/>
      <c r="H1541" s="84"/>
      <c r="I1541" s="80"/>
      <c r="J1541" s="80"/>
    </row>
    <row r="1542" spans="1:10" hidden="1" x14ac:dyDescent="0.25">
      <c r="A1542" s="78"/>
      <c r="B1542" s="79"/>
      <c r="C1542" s="80"/>
      <c r="D1542" s="81"/>
      <c r="E1542" s="26"/>
      <c r="F1542" s="82"/>
      <c r="G1542" s="83"/>
      <c r="H1542" s="84"/>
      <c r="I1542" s="80"/>
      <c r="J1542" s="80"/>
    </row>
    <row r="1543" spans="1:10" hidden="1" x14ac:dyDescent="0.25">
      <c r="A1543" s="78"/>
      <c r="B1543" s="79"/>
      <c r="C1543" s="80"/>
      <c r="D1543" s="81"/>
      <c r="E1543" s="26"/>
      <c r="F1543" s="82"/>
      <c r="G1543" s="83"/>
      <c r="H1543" s="84"/>
      <c r="I1543" s="80"/>
      <c r="J1543" s="80"/>
    </row>
    <row r="1544" spans="1:10" hidden="1" x14ac:dyDescent="0.25">
      <c r="A1544" s="78"/>
      <c r="B1544" s="79"/>
      <c r="C1544" s="80"/>
      <c r="D1544" s="81"/>
      <c r="E1544" s="26"/>
      <c r="F1544" s="82"/>
      <c r="G1544" s="83"/>
      <c r="H1544" s="84"/>
      <c r="I1544" s="80"/>
      <c r="J1544" s="80"/>
    </row>
    <row r="1545" spans="1:10" hidden="1" x14ac:dyDescent="0.25">
      <c r="A1545" s="78"/>
      <c r="B1545" s="79"/>
      <c r="C1545" s="80"/>
      <c r="D1545" s="81"/>
      <c r="E1545" s="26"/>
      <c r="F1545" s="82"/>
      <c r="G1545" s="83"/>
      <c r="H1545" s="84"/>
      <c r="I1545" s="80"/>
      <c r="J1545" s="80"/>
    </row>
    <row r="1546" spans="1:10" hidden="1" x14ac:dyDescent="0.25">
      <c r="A1546" s="78"/>
      <c r="B1546" s="79"/>
      <c r="C1546" s="80"/>
      <c r="D1546" s="81"/>
      <c r="E1546" s="26"/>
      <c r="F1546" s="82"/>
      <c r="G1546" s="83"/>
      <c r="H1546" s="84"/>
      <c r="I1546" s="80"/>
      <c r="J1546" s="80"/>
    </row>
    <row r="1547" spans="1:10" hidden="1" x14ac:dyDescent="0.25">
      <c r="A1547" s="78"/>
      <c r="B1547" s="79"/>
      <c r="C1547" s="80"/>
      <c r="D1547" s="81"/>
      <c r="E1547" s="26"/>
      <c r="F1547" s="82"/>
      <c r="G1547" s="83"/>
      <c r="H1547" s="84"/>
      <c r="I1547" s="80"/>
      <c r="J1547" s="80"/>
    </row>
    <row r="1548" spans="1:10" hidden="1" x14ac:dyDescent="0.25">
      <c r="A1548" s="78"/>
      <c r="B1548" s="79"/>
      <c r="C1548" s="80"/>
      <c r="D1548" s="81"/>
      <c r="E1548" s="26"/>
      <c r="F1548" s="82"/>
      <c r="G1548" s="83"/>
      <c r="H1548" s="84"/>
      <c r="I1548" s="80"/>
      <c r="J1548" s="80"/>
    </row>
    <row r="1549" spans="1:10" hidden="1" x14ac:dyDescent="0.25">
      <c r="A1549" s="78"/>
      <c r="B1549" s="79"/>
      <c r="C1549" s="80"/>
      <c r="D1549" s="81"/>
      <c r="E1549" s="26"/>
      <c r="F1549" s="82"/>
      <c r="G1549" s="83"/>
      <c r="H1549" s="84"/>
      <c r="I1549" s="80"/>
      <c r="J1549" s="80"/>
    </row>
    <row r="1550" spans="1:10" hidden="1" x14ac:dyDescent="0.25">
      <c r="A1550" s="78"/>
      <c r="B1550" s="79"/>
      <c r="C1550" s="80"/>
      <c r="D1550" s="81"/>
      <c r="E1550" s="26"/>
      <c r="F1550" s="82"/>
      <c r="G1550" s="83"/>
      <c r="H1550" s="84"/>
      <c r="I1550" s="80"/>
      <c r="J1550" s="80"/>
    </row>
    <row r="1551" spans="1:10" hidden="1" x14ac:dyDescent="0.25">
      <c r="A1551" s="78"/>
      <c r="B1551" s="79"/>
      <c r="C1551" s="80"/>
      <c r="D1551" s="81"/>
      <c r="E1551" s="26"/>
      <c r="F1551" s="82"/>
      <c r="G1551" s="83"/>
      <c r="H1551" s="84"/>
      <c r="I1551" s="80"/>
      <c r="J1551" s="80"/>
    </row>
    <row r="1552" spans="1:10" hidden="1" x14ac:dyDescent="0.25">
      <c r="A1552" s="78"/>
      <c r="B1552" s="79"/>
      <c r="C1552" s="80"/>
      <c r="D1552" s="81"/>
      <c r="E1552" s="26"/>
      <c r="F1552" s="82"/>
      <c r="G1552" s="83"/>
      <c r="H1552" s="84"/>
      <c r="I1552" s="80"/>
      <c r="J1552" s="80"/>
    </row>
    <row r="1553" spans="1:10" hidden="1" x14ac:dyDescent="0.25">
      <c r="A1553" s="78"/>
      <c r="B1553" s="79"/>
      <c r="C1553" s="80"/>
      <c r="D1553" s="81"/>
      <c r="E1553" s="26"/>
      <c r="F1553" s="82"/>
      <c r="G1553" s="83"/>
      <c r="H1553" s="84"/>
      <c r="I1553" s="80"/>
      <c r="J1553" s="80"/>
    </row>
    <row r="1554" spans="1:10" hidden="1" x14ac:dyDescent="0.25">
      <c r="A1554" s="78"/>
      <c r="B1554" s="79"/>
      <c r="C1554" s="80"/>
      <c r="D1554" s="81"/>
      <c r="E1554" s="26"/>
      <c r="F1554" s="82"/>
      <c r="G1554" s="83"/>
      <c r="H1554" s="84"/>
      <c r="I1554" s="80"/>
      <c r="J1554" s="80"/>
    </row>
    <row r="1555" spans="1:10" hidden="1" x14ac:dyDescent="0.25">
      <c r="A1555" s="78"/>
      <c r="B1555" s="79"/>
      <c r="C1555" s="80"/>
      <c r="D1555" s="81"/>
      <c r="E1555" s="26"/>
      <c r="F1555" s="82"/>
      <c r="G1555" s="83"/>
      <c r="H1555" s="84"/>
      <c r="I1555" s="80"/>
      <c r="J1555" s="80"/>
    </row>
    <row r="1556" spans="1:10" hidden="1" x14ac:dyDescent="0.25">
      <c r="A1556" s="78"/>
      <c r="B1556" s="79"/>
      <c r="C1556" s="80"/>
      <c r="D1556" s="81"/>
      <c r="E1556" s="26"/>
      <c r="F1556" s="82"/>
      <c r="G1556" s="83"/>
      <c r="H1556" s="84"/>
      <c r="I1556" s="80"/>
      <c r="J1556" s="80"/>
    </row>
    <row r="1557" spans="1:10" hidden="1" x14ac:dyDescent="0.25">
      <c r="A1557" s="78"/>
      <c r="B1557" s="79"/>
      <c r="C1557" s="80"/>
      <c r="D1557" s="81"/>
      <c r="E1557" s="26"/>
      <c r="F1557" s="82"/>
      <c r="G1557" s="83"/>
      <c r="H1557" s="84"/>
      <c r="I1557" s="80"/>
      <c r="J1557" s="80"/>
    </row>
    <row r="1558" spans="1:10" hidden="1" x14ac:dyDescent="0.25">
      <c r="A1558" s="78"/>
      <c r="B1558" s="79"/>
      <c r="C1558" s="80"/>
      <c r="D1558" s="81"/>
      <c r="E1558" s="26"/>
      <c r="F1558" s="82"/>
      <c r="G1558" s="83"/>
      <c r="H1558" s="84"/>
      <c r="I1558" s="80"/>
      <c r="J1558" s="80"/>
    </row>
    <row r="1559" spans="1:10" hidden="1" x14ac:dyDescent="0.25">
      <c r="A1559" s="78"/>
      <c r="B1559" s="79"/>
      <c r="C1559" s="80"/>
      <c r="D1559" s="81"/>
      <c r="E1559" s="26"/>
      <c r="F1559" s="82"/>
      <c r="G1559" s="83"/>
      <c r="H1559" s="84"/>
      <c r="I1559" s="80"/>
      <c r="J1559" s="80"/>
    </row>
    <row r="1560" spans="1:10" hidden="1" x14ac:dyDescent="0.25">
      <c r="A1560" s="78"/>
      <c r="B1560" s="79"/>
      <c r="C1560" s="80"/>
      <c r="D1560" s="81"/>
      <c r="E1560" s="26"/>
      <c r="F1560" s="82"/>
      <c r="G1560" s="83"/>
      <c r="H1560" s="84"/>
      <c r="I1560" s="80"/>
      <c r="J1560" s="80"/>
    </row>
    <row r="1561" spans="1:10" hidden="1" x14ac:dyDescent="0.25">
      <c r="A1561" s="78"/>
      <c r="B1561" s="79"/>
      <c r="C1561" s="80"/>
      <c r="D1561" s="81"/>
      <c r="E1561" s="26"/>
      <c r="F1561" s="82"/>
      <c r="G1561" s="83"/>
      <c r="H1561" s="84"/>
      <c r="I1561" s="80"/>
      <c r="J1561" s="80"/>
    </row>
    <row r="1562" spans="1:10" hidden="1" x14ac:dyDescent="0.25">
      <c r="A1562" s="78"/>
      <c r="B1562" s="79"/>
      <c r="C1562" s="80"/>
      <c r="D1562" s="81"/>
      <c r="E1562" s="26"/>
      <c r="F1562" s="82"/>
      <c r="G1562" s="83"/>
      <c r="H1562" s="84"/>
      <c r="I1562" s="80"/>
      <c r="J1562" s="80"/>
    </row>
    <row r="1563" spans="1:10" hidden="1" x14ac:dyDescent="0.25">
      <c r="A1563" s="78"/>
      <c r="B1563" s="79"/>
      <c r="C1563" s="80"/>
      <c r="D1563" s="81"/>
      <c r="E1563" s="26"/>
      <c r="F1563" s="82"/>
      <c r="G1563" s="83"/>
      <c r="H1563" s="84"/>
      <c r="I1563" s="80"/>
      <c r="J1563" s="80"/>
    </row>
    <row r="1564" spans="1:10" hidden="1" x14ac:dyDescent="0.25">
      <c r="A1564" s="78"/>
      <c r="B1564" s="79"/>
      <c r="C1564" s="80"/>
      <c r="D1564" s="81"/>
      <c r="E1564" s="26"/>
      <c r="F1564" s="82"/>
      <c r="G1564" s="83"/>
      <c r="H1564" s="84"/>
      <c r="I1564" s="80"/>
      <c r="J1564" s="80"/>
    </row>
    <row r="1565" spans="1:10" hidden="1" x14ac:dyDescent="0.25">
      <c r="A1565" s="78"/>
      <c r="B1565" s="79"/>
      <c r="C1565" s="80"/>
      <c r="D1565" s="81"/>
      <c r="E1565" s="26"/>
      <c r="F1565" s="82"/>
      <c r="G1565" s="83"/>
      <c r="H1565" s="84"/>
      <c r="I1565" s="80"/>
      <c r="J1565" s="80"/>
    </row>
    <row r="1566" spans="1:10" hidden="1" x14ac:dyDescent="0.25">
      <c r="A1566" s="78"/>
      <c r="B1566" s="79"/>
      <c r="C1566" s="80"/>
      <c r="D1566" s="81"/>
      <c r="E1566" s="26"/>
      <c r="F1566" s="82"/>
      <c r="G1566" s="83"/>
      <c r="H1566" s="84"/>
      <c r="I1566" s="80"/>
      <c r="J1566" s="80"/>
    </row>
    <row r="1567" spans="1:10" hidden="1" x14ac:dyDescent="0.25">
      <c r="A1567" s="78"/>
      <c r="B1567" s="79"/>
      <c r="C1567" s="80"/>
      <c r="D1567" s="81"/>
      <c r="E1567" s="26"/>
      <c r="F1567" s="82"/>
      <c r="G1567" s="83"/>
      <c r="H1567" s="84"/>
      <c r="I1567" s="80"/>
      <c r="J1567" s="80"/>
    </row>
    <row r="1568" spans="1:10" hidden="1" x14ac:dyDescent="0.25">
      <c r="A1568" s="78"/>
      <c r="B1568" s="79"/>
      <c r="C1568" s="80"/>
      <c r="D1568" s="81"/>
      <c r="E1568" s="26"/>
      <c r="F1568" s="82"/>
      <c r="G1568" s="83"/>
      <c r="H1568" s="84"/>
      <c r="I1568" s="80"/>
      <c r="J1568" s="80"/>
    </row>
    <row r="1569" spans="1:10" hidden="1" x14ac:dyDescent="0.25">
      <c r="A1569" s="78"/>
      <c r="B1569" s="79"/>
      <c r="C1569" s="80"/>
      <c r="D1569" s="81"/>
      <c r="E1569" s="26"/>
      <c r="F1569" s="82"/>
      <c r="G1569" s="83"/>
      <c r="H1569" s="84"/>
      <c r="I1569" s="80"/>
      <c r="J1569" s="80"/>
    </row>
    <row r="1570" spans="1:10" hidden="1" x14ac:dyDescent="0.25">
      <c r="A1570" s="78"/>
      <c r="B1570" s="79"/>
      <c r="C1570" s="80"/>
      <c r="D1570" s="81"/>
      <c r="E1570" s="26"/>
      <c r="F1570" s="82"/>
      <c r="G1570" s="83"/>
      <c r="H1570" s="84"/>
      <c r="I1570" s="80"/>
      <c r="J1570" s="80"/>
    </row>
    <row r="1571" spans="1:10" hidden="1" x14ac:dyDescent="0.25">
      <c r="A1571" s="78"/>
      <c r="B1571" s="79"/>
      <c r="C1571" s="80"/>
      <c r="D1571" s="81"/>
      <c r="E1571" s="26"/>
      <c r="F1571" s="82"/>
      <c r="G1571" s="83"/>
      <c r="H1571" s="84"/>
      <c r="I1571" s="80"/>
      <c r="J1571" s="80"/>
    </row>
    <row r="1572" spans="1:10" hidden="1" x14ac:dyDescent="0.25">
      <c r="A1572" s="78"/>
      <c r="B1572" s="79"/>
      <c r="C1572" s="80"/>
      <c r="D1572" s="81"/>
      <c r="E1572" s="26"/>
      <c r="F1572" s="82"/>
      <c r="G1572" s="83"/>
      <c r="H1572" s="84"/>
      <c r="I1572" s="80"/>
      <c r="J1572" s="80"/>
    </row>
    <row r="1573" spans="1:10" hidden="1" x14ac:dyDescent="0.25">
      <c r="A1573" s="78"/>
      <c r="B1573" s="79"/>
      <c r="C1573" s="80"/>
      <c r="D1573" s="81"/>
      <c r="E1573" s="26"/>
      <c r="F1573" s="82"/>
      <c r="G1573" s="83"/>
      <c r="H1573" s="84"/>
      <c r="I1573" s="80"/>
      <c r="J1573" s="80"/>
    </row>
    <row r="1574" spans="1:10" hidden="1" x14ac:dyDescent="0.25">
      <c r="A1574" s="78"/>
      <c r="B1574" s="79"/>
      <c r="C1574" s="80"/>
      <c r="D1574" s="81"/>
      <c r="E1574" s="26"/>
      <c r="F1574" s="82"/>
      <c r="G1574" s="83"/>
      <c r="H1574" s="84"/>
      <c r="I1574" s="80"/>
      <c r="J1574" s="80"/>
    </row>
    <row r="1575" spans="1:10" hidden="1" x14ac:dyDescent="0.25">
      <c r="A1575" s="78"/>
      <c r="B1575" s="79"/>
      <c r="C1575" s="80"/>
      <c r="D1575" s="81"/>
      <c r="E1575" s="26"/>
      <c r="F1575" s="82"/>
      <c r="G1575" s="83"/>
      <c r="H1575" s="84"/>
      <c r="I1575" s="80"/>
      <c r="J1575" s="80"/>
    </row>
    <row r="1576" spans="1:10" hidden="1" x14ac:dyDescent="0.25">
      <c r="A1576" s="78"/>
      <c r="B1576" s="79"/>
      <c r="C1576" s="80"/>
      <c r="D1576" s="81"/>
      <c r="E1576" s="26"/>
      <c r="F1576" s="82"/>
      <c r="G1576" s="83"/>
      <c r="H1576" s="84"/>
      <c r="I1576" s="80"/>
      <c r="J1576" s="80"/>
    </row>
    <row r="1577" spans="1:10" hidden="1" x14ac:dyDescent="0.25">
      <c r="A1577" s="78"/>
      <c r="B1577" s="79"/>
      <c r="C1577" s="80"/>
      <c r="D1577" s="81"/>
      <c r="E1577" s="26"/>
      <c r="F1577" s="82"/>
      <c r="G1577" s="83"/>
      <c r="H1577" s="84"/>
      <c r="I1577" s="80"/>
      <c r="J1577" s="80"/>
    </row>
    <row r="1578" spans="1:10" hidden="1" x14ac:dyDescent="0.25">
      <c r="A1578" s="78"/>
      <c r="B1578" s="79"/>
      <c r="C1578" s="80"/>
      <c r="D1578" s="81"/>
      <c r="E1578" s="26"/>
      <c r="F1578" s="82"/>
      <c r="G1578" s="83"/>
      <c r="H1578" s="84"/>
      <c r="I1578" s="80"/>
      <c r="J1578" s="80"/>
    </row>
    <row r="1579" spans="1:10" hidden="1" x14ac:dyDescent="0.25">
      <c r="A1579" s="78"/>
      <c r="B1579" s="79"/>
      <c r="C1579" s="80"/>
      <c r="D1579" s="81"/>
      <c r="E1579" s="26"/>
      <c r="F1579" s="82"/>
      <c r="G1579" s="83"/>
      <c r="H1579" s="84"/>
      <c r="I1579" s="80"/>
      <c r="J1579" s="80"/>
    </row>
    <row r="1580" spans="1:10" hidden="1" x14ac:dyDescent="0.25">
      <c r="A1580" s="78"/>
      <c r="B1580" s="79"/>
      <c r="C1580" s="80"/>
      <c r="D1580" s="81"/>
      <c r="E1580" s="26"/>
      <c r="F1580" s="82"/>
      <c r="G1580" s="83"/>
      <c r="H1580" s="84"/>
      <c r="I1580" s="80"/>
      <c r="J1580" s="80"/>
    </row>
    <row r="1581" spans="1:10" hidden="1" x14ac:dyDescent="0.25">
      <c r="A1581" s="78"/>
      <c r="B1581" s="79"/>
      <c r="C1581" s="80"/>
      <c r="D1581" s="81"/>
      <c r="E1581" s="26"/>
      <c r="F1581" s="82"/>
      <c r="G1581" s="83"/>
      <c r="H1581" s="84"/>
      <c r="I1581" s="80"/>
      <c r="J1581" s="80"/>
    </row>
    <row r="1582" spans="1:10" hidden="1" x14ac:dyDescent="0.25">
      <c r="A1582" s="78"/>
      <c r="B1582" s="79"/>
      <c r="C1582" s="80"/>
      <c r="D1582" s="81"/>
      <c r="E1582" s="26"/>
      <c r="F1582" s="82"/>
      <c r="G1582" s="83"/>
      <c r="H1582" s="84"/>
      <c r="I1582" s="80"/>
      <c r="J1582" s="80"/>
    </row>
    <row r="1583" spans="1:10" hidden="1" x14ac:dyDescent="0.25">
      <c r="A1583" s="78"/>
      <c r="B1583" s="79"/>
      <c r="C1583" s="80"/>
      <c r="D1583" s="81"/>
      <c r="E1583" s="26"/>
      <c r="F1583" s="82"/>
      <c r="G1583" s="83"/>
      <c r="H1583" s="84"/>
      <c r="I1583" s="80"/>
      <c r="J1583" s="80"/>
    </row>
    <row r="1584" spans="1:10" hidden="1" x14ac:dyDescent="0.25">
      <c r="A1584" s="78"/>
      <c r="B1584" s="79"/>
      <c r="C1584" s="80"/>
      <c r="D1584" s="81"/>
      <c r="E1584" s="26"/>
      <c r="F1584" s="82"/>
      <c r="G1584" s="83"/>
      <c r="H1584" s="84"/>
      <c r="I1584" s="80"/>
      <c r="J1584" s="80"/>
    </row>
    <row r="1585" spans="1:10" hidden="1" x14ac:dyDescent="0.25">
      <c r="A1585" s="78"/>
      <c r="B1585" s="79"/>
      <c r="C1585" s="80"/>
      <c r="D1585" s="81"/>
      <c r="E1585" s="26"/>
      <c r="F1585" s="82"/>
      <c r="G1585" s="83"/>
      <c r="H1585" s="84"/>
      <c r="I1585" s="80"/>
      <c r="J1585" s="80"/>
    </row>
    <row r="1586" spans="1:10" hidden="1" x14ac:dyDescent="0.25">
      <c r="A1586" s="78"/>
      <c r="B1586" s="79"/>
      <c r="C1586" s="80"/>
      <c r="D1586" s="81"/>
      <c r="E1586" s="26"/>
      <c r="F1586" s="82"/>
      <c r="G1586" s="83"/>
      <c r="H1586" s="84"/>
      <c r="I1586" s="80"/>
      <c r="J1586" s="80"/>
    </row>
    <row r="1587" spans="1:10" hidden="1" x14ac:dyDescent="0.25">
      <c r="A1587" s="78"/>
      <c r="B1587" s="79"/>
      <c r="C1587" s="80"/>
      <c r="D1587" s="81"/>
      <c r="E1587" s="26"/>
      <c r="F1587" s="82"/>
      <c r="G1587" s="83"/>
      <c r="H1587" s="84"/>
      <c r="I1587" s="80"/>
      <c r="J1587" s="80"/>
    </row>
    <row r="1588" spans="1:10" hidden="1" x14ac:dyDescent="0.25">
      <c r="A1588" s="78"/>
      <c r="B1588" s="79"/>
      <c r="C1588" s="80"/>
      <c r="D1588" s="81"/>
      <c r="E1588" s="26"/>
      <c r="F1588" s="82"/>
      <c r="G1588" s="83"/>
      <c r="H1588" s="84"/>
      <c r="I1588" s="80"/>
      <c r="J1588" s="80"/>
    </row>
    <row r="1589" spans="1:10" hidden="1" x14ac:dyDescent="0.25">
      <c r="A1589" s="78"/>
      <c r="B1589" s="79"/>
      <c r="C1589" s="80"/>
      <c r="D1589" s="81"/>
      <c r="E1589" s="26"/>
      <c r="F1589" s="82"/>
      <c r="G1589" s="83"/>
      <c r="H1589" s="84"/>
      <c r="I1589" s="80"/>
      <c r="J1589" s="80"/>
    </row>
    <row r="1590" spans="1:10" hidden="1" x14ac:dyDescent="0.25">
      <c r="A1590" s="78"/>
      <c r="B1590" s="79"/>
      <c r="C1590" s="80"/>
      <c r="D1590" s="81"/>
      <c r="E1590" s="26"/>
      <c r="F1590" s="82"/>
      <c r="G1590" s="83"/>
      <c r="H1590" s="84"/>
      <c r="I1590" s="80"/>
      <c r="J1590" s="80"/>
    </row>
    <row r="1591" spans="1:10" hidden="1" x14ac:dyDescent="0.25">
      <c r="A1591" s="78"/>
      <c r="B1591" s="79"/>
      <c r="C1591" s="80"/>
      <c r="D1591" s="81"/>
      <c r="E1591" s="26"/>
      <c r="F1591" s="82"/>
      <c r="G1591" s="83"/>
      <c r="H1591" s="84"/>
      <c r="I1591" s="80"/>
      <c r="J1591" s="80"/>
    </row>
    <row r="1592" spans="1:10" hidden="1" x14ac:dyDescent="0.25">
      <c r="A1592" s="78"/>
      <c r="B1592" s="79"/>
      <c r="C1592" s="80"/>
      <c r="D1592" s="81"/>
      <c r="E1592" s="26"/>
      <c r="F1592" s="82"/>
      <c r="G1592" s="83"/>
      <c r="H1592" s="84"/>
      <c r="I1592" s="80"/>
      <c r="J1592" s="80"/>
    </row>
    <row r="1593" spans="1:10" hidden="1" x14ac:dyDescent="0.25">
      <c r="A1593" s="78"/>
      <c r="B1593" s="79"/>
      <c r="C1593" s="80"/>
      <c r="D1593" s="81"/>
      <c r="E1593" s="26"/>
      <c r="F1593" s="82"/>
      <c r="G1593" s="83"/>
      <c r="H1593" s="84"/>
      <c r="I1593" s="80"/>
      <c r="J1593" s="80"/>
    </row>
    <row r="1594" spans="1:10" hidden="1" x14ac:dyDescent="0.25">
      <c r="A1594" s="78"/>
      <c r="B1594" s="79"/>
      <c r="C1594" s="80"/>
      <c r="D1594" s="81"/>
      <c r="E1594" s="26"/>
      <c r="F1594" s="82"/>
      <c r="G1594" s="83"/>
      <c r="H1594" s="84"/>
      <c r="I1594" s="80"/>
      <c r="J1594" s="80"/>
    </row>
    <row r="1595" spans="1:10" hidden="1" x14ac:dyDescent="0.25">
      <c r="A1595" s="78"/>
      <c r="B1595" s="79"/>
      <c r="C1595" s="80"/>
      <c r="D1595" s="81"/>
      <c r="E1595" s="26"/>
      <c r="F1595" s="82"/>
      <c r="G1595" s="83"/>
      <c r="H1595" s="84"/>
      <c r="I1595" s="80"/>
      <c r="J1595" s="80"/>
    </row>
    <row r="1596" spans="1:10" hidden="1" x14ac:dyDescent="0.25">
      <c r="A1596" s="78"/>
      <c r="B1596" s="79"/>
      <c r="C1596" s="80"/>
      <c r="D1596" s="81"/>
      <c r="E1596" s="26"/>
      <c r="F1596" s="82"/>
      <c r="G1596" s="83"/>
      <c r="H1596" s="84"/>
      <c r="I1596" s="80"/>
      <c r="J1596" s="80"/>
    </row>
    <row r="1597" spans="1:10" hidden="1" x14ac:dyDescent="0.25">
      <c r="A1597" s="78"/>
      <c r="B1597" s="79"/>
      <c r="C1597" s="80"/>
      <c r="D1597" s="81"/>
      <c r="E1597" s="26"/>
      <c r="F1597" s="82"/>
      <c r="G1597" s="83"/>
      <c r="H1597" s="84"/>
      <c r="I1597" s="80"/>
      <c r="J1597" s="80"/>
    </row>
    <row r="1598" spans="1:10" hidden="1" x14ac:dyDescent="0.25">
      <c r="A1598" s="78"/>
      <c r="B1598" s="79"/>
      <c r="C1598" s="80"/>
      <c r="D1598" s="81"/>
      <c r="E1598" s="26"/>
      <c r="F1598" s="82"/>
      <c r="G1598" s="83"/>
      <c r="H1598" s="84"/>
      <c r="I1598" s="80"/>
      <c r="J1598" s="80"/>
    </row>
    <row r="1599" spans="1:10" hidden="1" x14ac:dyDescent="0.25">
      <c r="A1599" s="78"/>
      <c r="B1599" s="79"/>
      <c r="C1599" s="80"/>
      <c r="D1599" s="81"/>
      <c r="E1599" s="26"/>
      <c r="F1599" s="82"/>
      <c r="G1599" s="83"/>
      <c r="H1599" s="84"/>
      <c r="I1599" s="80"/>
      <c r="J1599" s="80"/>
    </row>
    <row r="1600" spans="1:10" hidden="1" x14ac:dyDescent="0.25">
      <c r="A1600" s="78"/>
      <c r="B1600" s="79"/>
      <c r="C1600" s="80"/>
      <c r="D1600" s="81"/>
      <c r="E1600" s="26"/>
      <c r="F1600" s="82"/>
      <c r="G1600" s="83"/>
      <c r="H1600" s="84"/>
      <c r="I1600" s="80"/>
      <c r="J1600" s="80"/>
    </row>
    <row r="1601" spans="1:10" hidden="1" x14ac:dyDescent="0.25">
      <c r="A1601" s="78"/>
      <c r="B1601" s="79"/>
      <c r="C1601" s="80"/>
      <c r="D1601" s="81"/>
      <c r="E1601" s="26"/>
      <c r="F1601" s="82"/>
      <c r="G1601" s="83"/>
      <c r="H1601" s="84"/>
      <c r="I1601" s="80"/>
      <c r="J1601" s="80"/>
    </row>
    <row r="1602" spans="1:10" hidden="1" x14ac:dyDescent="0.25">
      <c r="A1602" s="78"/>
      <c r="B1602" s="79"/>
      <c r="C1602" s="80"/>
      <c r="D1602" s="81"/>
      <c r="E1602" s="26"/>
      <c r="F1602" s="82"/>
      <c r="G1602" s="83"/>
      <c r="H1602" s="84"/>
      <c r="I1602" s="80"/>
      <c r="J1602" s="80"/>
    </row>
    <row r="1603" spans="1:10" hidden="1" x14ac:dyDescent="0.25">
      <c r="A1603" s="78"/>
      <c r="B1603" s="79"/>
      <c r="C1603" s="80"/>
      <c r="D1603" s="81"/>
      <c r="E1603" s="26"/>
      <c r="F1603" s="82"/>
      <c r="G1603" s="83"/>
      <c r="H1603" s="84"/>
      <c r="I1603" s="80"/>
      <c r="J1603" s="80"/>
    </row>
    <row r="1604" spans="1:10" hidden="1" x14ac:dyDescent="0.25">
      <c r="A1604" s="78"/>
      <c r="B1604" s="79"/>
      <c r="C1604" s="80"/>
      <c r="D1604" s="81"/>
      <c r="E1604" s="26"/>
      <c r="F1604" s="82"/>
      <c r="G1604" s="83"/>
      <c r="H1604" s="84"/>
      <c r="I1604" s="80"/>
      <c r="J1604" s="80"/>
    </row>
    <row r="1605" spans="1:10" hidden="1" x14ac:dyDescent="0.25">
      <c r="A1605" s="78"/>
      <c r="B1605" s="79"/>
      <c r="C1605" s="80"/>
      <c r="D1605" s="81"/>
      <c r="E1605" s="26"/>
      <c r="F1605" s="82"/>
      <c r="G1605" s="83"/>
      <c r="H1605" s="84"/>
      <c r="I1605" s="80"/>
      <c r="J1605" s="80"/>
    </row>
    <row r="1606" spans="1:10" hidden="1" x14ac:dyDescent="0.25">
      <c r="A1606" s="78"/>
      <c r="B1606" s="79"/>
      <c r="C1606" s="80"/>
      <c r="D1606" s="81"/>
      <c r="E1606" s="26"/>
      <c r="F1606" s="82"/>
      <c r="G1606" s="83"/>
      <c r="H1606" s="84"/>
      <c r="I1606" s="80"/>
      <c r="J1606" s="80"/>
    </row>
    <row r="1607" spans="1:10" hidden="1" x14ac:dyDescent="0.25">
      <c r="A1607" s="78"/>
      <c r="B1607" s="79"/>
      <c r="C1607" s="80"/>
      <c r="D1607" s="81"/>
      <c r="E1607" s="26"/>
      <c r="F1607" s="82"/>
      <c r="G1607" s="83"/>
      <c r="H1607" s="84"/>
      <c r="I1607" s="80"/>
      <c r="J1607" s="80"/>
    </row>
    <row r="1608" spans="1:10" hidden="1" x14ac:dyDescent="0.25">
      <c r="A1608" s="78"/>
      <c r="B1608" s="79"/>
      <c r="C1608" s="80"/>
      <c r="D1608" s="81"/>
      <c r="E1608" s="26"/>
      <c r="F1608" s="82"/>
      <c r="G1608" s="83"/>
      <c r="H1608" s="84"/>
      <c r="I1608" s="80"/>
      <c r="J1608" s="80"/>
    </row>
    <row r="1609" spans="1:10" hidden="1" x14ac:dyDescent="0.25">
      <c r="A1609" s="78"/>
      <c r="B1609" s="79"/>
      <c r="C1609" s="80"/>
      <c r="D1609" s="81"/>
      <c r="E1609" s="26"/>
      <c r="F1609" s="82"/>
      <c r="G1609" s="83"/>
      <c r="H1609" s="84"/>
      <c r="I1609" s="80"/>
      <c r="J1609" s="80"/>
    </row>
    <row r="1610" spans="1:10" hidden="1" x14ac:dyDescent="0.25">
      <c r="A1610" s="78"/>
      <c r="B1610" s="79"/>
      <c r="C1610" s="80"/>
      <c r="D1610" s="81"/>
      <c r="E1610" s="26"/>
      <c r="F1610" s="82"/>
      <c r="G1610" s="83"/>
      <c r="H1610" s="84"/>
      <c r="I1610" s="80"/>
      <c r="J1610" s="80"/>
    </row>
    <row r="1611" spans="1:10" hidden="1" x14ac:dyDescent="0.25">
      <c r="A1611" s="78"/>
      <c r="B1611" s="79"/>
      <c r="C1611" s="80"/>
      <c r="D1611" s="81"/>
      <c r="E1611" s="26"/>
      <c r="F1611" s="82"/>
      <c r="G1611" s="83"/>
      <c r="H1611" s="84"/>
      <c r="I1611" s="80"/>
      <c r="J1611" s="80"/>
    </row>
    <row r="1612" spans="1:10" hidden="1" x14ac:dyDescent="0.25">
      <c r="A1612" s="78"/>
      <c r="B1612" s="79"/>
      <c r="C1612" s="80"/>
      <c r="D1612" s="81"/>
      <c r="E1612" s="26"/>
      <c r="F1612" s="82"/>
      <c r="G1612" s="83"/>
      <c r="H1612" s="84"/>
      <c r="I1612" s="80"/>
      <c r="J1612" s="80"/>
    </row>
    <row r="1613" spans="1:10" hidden="1" x14ac:dyDescent="0.25">
      <c r="A1613" s="78"/>
      <c r="B1613" s="79"/>
      <c r="C1613" s="80"/>
      <c r="D1613" s="81"/>
      <c r="E1613" s="26"/>
      <c r="F1613" s="82"/>
      <c r="G1613" s="83"/>
      <c r="H1613" s="84"/>
      <c r="I1613" s="80"/>
      <c r="J1613" s="80"/>
    </row>
    <row r="1614" spans="1:10" hidden="1" x14ac:dyDescent="0.25">
      <c r="A1614" s="78"/>
      <c r="B1614" s="79"/>
      <c r="C1614" s="80"/>
      <c r="D1614" s="81"/>
      <c r="E1614" s="26"/>
      <c r="F1614" s="82"/>
      <c r="G1614" s="83"/>
      <c r="H1614" s="84"/>
      <c r="I1614" s="80"/>
      <c r="J1614" s="80"/>
    </row>
    <row r="1615" spans="1:10" hidden="1" x14ac:dyDescent="0.25">
      <c r="A1615" s="78"/>
      <c r="B1615" s="79"/>
      <c r="C1615" s="80"/>
      <c r="D1615" s="81"/>
      <c r="E1615" s="26"/>
      <c r="F1615" s="82"/>
      <c r="G1615" s="83"/>
      <c r="H1615" s="84"/>
      <c r="I1615" s="80"/>
      <c r="J1615" s="80"/>
    </row>
    <row r="1616" spans="1:10" hidden="1" x14ac:dyDescent="0.25">
      <c r="A1616" s="78"/>
      <c r="B1616" s="79"/>
      <c r="C1616" s="80"/>
      <c r="D1616" s="81"/>
      <c r="E1616" s="26"/>
      <c r="F1616" s="82"/>
      <c r="G1616" s="83"/>
      <c r="H1616" s="84"/>
      <c r="I1616" s="80"/>
      <c r="J1616" s="80"/>
    </row>
    <row r="1617" spans="1:10" hidden="1" x14ac:dyDescent="0.25">
      <c r="A1617" s="78"/>
      <c r="B1617" s="79"/>
      <c r="C1617" s="80"/>
      <c r="D1617" s="81"/>
      <c r="E1617" s="26"/>
      <c r="F1617" s="82"/>
      <c r="G1617" s="83"/>
      <c r="H1617" s="84"/>
      <c r="I1617" s="80"/>
      <c r="J1617" s="80"/>
    </row>
    <row r="1618" spans="1:10" hidden="1" x14ac:dyDescent="0.25">
      <c r="A1618" s="78"/>
      <c r="B1618" s="79"/>
      <c r="C1618" s="80"/>
      <c r="D1618" s="81"/>
      <c r="E1618" s="26"/>
      <c r="F1618" s="82"/>
      <c r="G1618" s="83"/>
      <c r="H1618" s="84"/>
      <c r="I1618" s="80"/>
      <c r="J1618" s="80"/>
    </row>
    <row r="1619" spans="1:10" hidden="1" x14ac:dyDescent="0.25">
      <c r="A1619" s="78"/>
      <c r="B1619" s="79"/>
      <c r="C1619" s="80"/>
      <c r="D1619" s="81"/>
      <c r="E1619" s="26"/>
      <c r="F1619" s="82"/>
      <c r="G1619" s="83"/>
      <c r="H1619" s="84"/>
      <c r="I1619" s="80"/>
      <c r="J1619" s="80"/>
    </row>
    <row r="1620" spans="1:10" hidden="1" x14ac:dyDescent="0.25">
      <c r="A1620" s="78"/>
      <c r="B1620" s="79"/>
      <c r="C1620" s="80"/>
      <c r="D1620" s="81"/>
      <c r="E1620" s="26"/>
      <c r="F1620" s="82"/>
      <c r="G1620" s="83"/>
      <c r="H1620" s="84"/>
      <c r="I1620" s="80"/>
      <c r="J1620" s="80"/>
    </row>
    <row r="1621" spans="1:10" hidden="1" x14ac:dyDescent="0.25">
      <c r="A1621" s="78"/>
      <c r="B1621" s="79"/>
      <c r="C1621" s="80"/>
      <c r="D1621" s="81"/>
      <c r="E1621" s="26"/>
      <c r="F1621" s="82"/>
      <c r="G1621" s="83"/>
      <c r="H1621" s="84"/>
      <c r="I1621" s="80"/>
      <c r="J1621" s="80"/>
    </row>
    <row r="1622" spans="1:10" hidden="1" x14ac:dyDescent="0.25">
      <c r="A1622" s="78"/>
      <c r="B1622" s="79"/>
      <c r="C1622" s="80"/>
      <c r="D1622" s="81"/>
      <c r="E1622" s="26"/>
      <c r="F1622" s="82"/>
      <c r="G1622" s="83"/>
      <c r="H1622" s="84"/>
      <c r="I1622" s="80"/>
      <c r="J1622" s="80"/>
    </row>
    <row r="1623" spans="1:10" hidden="1" x14ac:dyDescent="0.25">
      <c r="A1623" s="78"/>
      <c r="B1623" s="79"/>
      <c r="C1623" s="80"/>
      <c r="D1623" s="81"/>
      <c r="E1623" s="26"/>
      <c r="F1623" s="82"/>
      <c r="G1623" s="83"/>
      <c r="H1623" s="84"/>
      <c r="I1623" s="80"/>
      <c r="J1623" s="80"/>
    </row>
    <row r="1624" spans="1:10" hidden="1" x14ac:dyDescent="0.25">
      <c r="A1624" s="78"/>
      <c r="B1624" s="79"/>
      <c r="C1624" s="80"/>
      <c r="D1624" s="81"/>
      <c r="E1624" s="26"/>
      <c r="F1624" s="82"/>
      <c r="G1624" s="83"/>
      <c r="H1624" s="84"/>
      <c r="I1624" s="80"/>
      <c r="J1624" s="80"/>
    </row>
    <row r="1625" spans="1:10" hidden="1" x14ac:dyDescent="0.25">
      <c r="A1625" s="78"/>
      <c r="B1625" s="79"/>
      <c r="C1625" s="80"/>
      <c r="D1625" s="81"/>
      <c r="E1625" s="26"/>
      <c r="F1625" s="82"/>
      <c r="G1625" s="83"/>
      <c r="H1625" s="84"/>
      <c r="I1625" s="80"/>
      <c r="J1625" s="80"/>
    </row>
    <row r="1626" spans="1:10" hidden="1" x14ac:dyDescent="0.25">
      <c r="A1626" s="78"/>
      <c r="B1626" s="79"/>
      <c r="C1626" s="80"/>
      <c r="D1626" s="81"/>
      <c r="E1626" s="26"/>
      <c r="F1626" s="82"/>
      <c r="G1626" s="83"/>
      <c r="H1626" s="84"/>
      <c r="I1626" s="80"/>
      <c r="J1626" s="80"/>
    </row>
    <row r="1627" spans="1:10" hidden="1" x14ac:dyDescent="0.25">
      <c r="A1627" s="78"/>
      <c r="B1627" s="79"/>
      <c r="C1627" s="80"/>
      <c r="D1627" s="81"/>
      <c r="E1627" s="26"/>
      <c r="F1627" s="82"/>
      <c r="G1627" s="83"/>
      <c r="H1627" s="84"/>
      <c r="I1627" s="80"/>
      <c r="J1627" s="80"/>
    </row>
    <row r="1628" spans="1:10" hidden="1" x14ac:dyDescent="0.25">
      <c r="A1628" s="78"/>
      <c r="B1628" s="79"/>
      <c r="C1628" s="80"/>
      <c r="D1628" s="81"/>
      <c r="E1628" s="26"/>
      <c r="F1628" s="82"/>
      <c r="G1628" s="83"/>
      <c r="H1628" s="84"/>
      <c r="I1628" s="80"/>
      <c r="J1628" s="80"/>
    </row>
    <row r="1629" spans="1:10" hidden="1" x14ac:dyDescent="0.25">
      <c r="A1629" s="78"/>
      <c r="B1629" s="79"/>
      <c r="C1629" s="80"/>
      <c r="D1629" s="81"/>
      <c r="E1629" s="26"/>
      <c r="F1629" s="82"/>
      <c r="G1629" s="83"/>
      <c r="H1629" s="84"/>
      <c r="I1629" s="80"/>
      <c r="J1629" s="80"/>
    </row>
    <row r="1630" spans="1:10" hidden="1" x14ac:dyDescent="0.25">
      <c r="A1630" s="78"/>
      <c r="B1630" s="79"/>
      <c r="C1630" s="80"/>
      <c r="D1630" s="81"/>
      <c r="E1630" s="26"/>
      <c r="F1630" s="82"/>
      <c r="G1630" s="83"/>
      <c r="H1630" s="84"/>
      <c r="I1630" s="80"/>
      <c r="J1630" s="80"/>
    </row>
    <row r="1631" spans="1:10" hidden="1" x14ac:dyDescent="0.25">
      <c r="A1631" s="78"/>
      <c r="B1631" s="79"/>
      <c r="C1631" s="80"/>
      <c r="D1631" s="81"/>
      <c r="E1631" s="26"/>
      <c r="F1631" s="82"/>
      <c r="G1631" s="83"/>
      <c r="H1631" s="84"/>
      <c r="I1631" s="80"/>
      <c r="J1631" s="80"/>
    </row>
    <row r="1632" spans="1:10" hidden="1" x14ac:dyDescent="0.25">
      <c r="A1632" s="78"/>
      <c r="B1632" s="79"/>
      <c r="C1632" s="80"/>
      <c r="D1632" s="81"/>
      <c r="E1632" s="26"/>
      <c r="F1632" s="82"/>
      <c r="G1632" s="83"/>
      <c r="H1632" s="84"/>
      <c r="I1632" s="80"/>
      <c r="J1632" s="80"/>
    </row>
    <row r="1633" spans="1:10" hidden="1" x14ac:dyDescent="0.25">
      <c r="A1633" s="78"/>
      <c r="B1633" s="79"/>
      <c r="C1633" s="80"/>
      <c r="D1633" s="81"/>
      <c r="E1633" s="26"/>
      <c r="F1633" s="82"/>
      <c r="G1633" s="83"/>
      <c r="H1633" s="84"/>
      <c r="I1633" s="80"/>
      <c r="J1633" s="80"/>
    </row>
    <row r="1634" spans="1:10" hidden="1" x14ac:dyDescent="0.25">
      <c r="A1634" s="78"/>
      <c r="B1634" s="79"/>
      <c r="C1634" s="80"/>
      <c r="D1634" s="81"/>
      <c r="E1634" s="26"/>
      <c r="F1634" s="82"/>
      <c r="G1634" s="83"/>
      <c r="H1634" s="84"/>
      <c r="I1634" s="80"/>
      <c r="J1634" s="80"/>
    </row>
    <row r="1635" spans="1:10" hidden="1" x14ac:dyDescent="0.25">
      <c r="A1635" s="78"/>
      <c r="B1635" s="79"/>
      <c r="C1635" s="80"/>
      <c r="D1635" s="81"/>
      <c r="E1635" s="26"/>
      <c r="F1635" s="82"/>
      <c r="G1635" s="83"/>
      <c r="H1635" s="84"/>
      <c r="I1635" s="80"/>
      <c r="J1635" s="80"/>
    </row>
    <row r="1636" spans="1:10" hidden="1" x14ac:dyDescent="0.25">
      <c r="A1636" s="78"/>
      <c r="B1636" s="79"/>
      <c r="C1636" s="80"/>
      <c r="D1636" s="81"/>
      <c r="E1636" s="26"/>
      <c r="F1636" s="82"/>
      <c r="G1636" s="83"/>
      <c r="H1636" s="84"/>
      <c r="I1636" s="80"/>
      <c r="J1636" s="80"/>
    </row>
    <row r="1637" spans="1:10" hidden="1" x14ac:dyDescent="0.25">
      <c r="A1637" s="78"/>
      <c r="B1637" s="79"/>
      <c r="C1637" s="80"/>
      <c r="D1637" s="81"/>
      <c r="E1637" s="26"/>
      <c r="F1637" s="82"/>
      <c r="G1637" s="83"/>
      <c r="H1637" s="84"/>
      <c r="I1637" s="80"/>
      <c r="J1637" s="80"/>
    </row>
    <row r="1638" spans="1:10" hidden="1" x14ac:dyDescent="0.25">
      <c r="A1638" s="78"/>
      <c r="B1638" s="79"/>
      <c r="C1638" s="80"/>
      <c r="D1638" s="81"/>
      <c r="E1638" s="26"/>
      <c r="F1638" s="82"/>
      <c r="G1638" s="83"/>
      <c r="H1638" s="84"/>
      <c r="I1638" s="80"/>
      <c r="J1638" s="80"/>
    </row>
    <row r="1639" spans="1:10" hidden="1" x14ac:dyDescent="0.25">
      <c r="A1639" s="78"/>
      <c r="B1639" s="79"/>
      <c r="C1639" s="80"/>
      <c r="D1639" s="81"/>
      <c r="E1639" s="26"/>
      <c r="F1639" s="82"/>
      <c r="G1639" s="83"/>
      <c r="H1639" s="84"/>
      <c r="I1639" s="80"/>
      <c r="J1639" s="80"/>
    </row>
    <row r="1640" spans="1:10" hidden="1" x14ac:dyDescent="0.25">
      <c r="A1640" s="78"/>
      <c r="B1640" s="79"/>
      <c r="C1640" s="80"/>
      <c r="D1640" s="81"/>
      <c r="E1640" s="26"/>
      <c r="F1640" s="82"/>
      <c r="G1640" s="83"/>
      <c r="H1640" s="84"/>
      <c r="I1640" s="80"/>
      <c r="J1640" s="80"/>
    </row>
    <row r="1641" spans="1:10" hidden="1" x14ac:dyDescent="0.25">
      <c r="A1641" s="78"/>
      <c r="B1641" s="79"/>
      <c r="C1641" s="80"/>
      <c r="D1641" s="81"/>
      <c r="E1641" s="26"/>
      <c r="F1641" s="82"/>
      <c r="G1641" s="83"/>
      <c r="H1641" s="84"/>
      <c r="I1641" s="80"/>
      <c r="J1641" s="80"/>
    </row>
    <row r="1642" spans="1:10" hidden="1" x14ac:dyDescent="0.25">
      <c r="A1642" s="78"/>
      <c r="B1642" s="79"/>
      <c r="C1642" s="80"/>
      <c r="D1642" s="81"/>
      <c r="E1642" s="26"/>
      <c r="F1642" s="82"/>
      <c r="G1642" s="83"/>
      <c r="H1642" s="84"/>
      <c r="I1642" s="80"/>
      <c r="J1642" s="80"/>
    </row>
    <row r="1643" spans="1:10" hidden="1" x14ac:dyDescent="0.25">
      <c r="A1643" s="78"/>
      <c r="B1643" s="79"/>
      <c r="C1643" s="80"/>
      <c r="D1643" s="81"/>
      <c r="E1643" s="26"/>
      <c r="F1643" s="82"/>
      <c r="G1643" s="83"/>
      <c r="H1643" s="84"/>
      <c r="I1643" s="80"/>
      <c r="J1643" s="80"/>
    </row>
    <row r="1644" spans="1:10" hidden="1" x14ac:dyDescent="0.25">
      <c r="A1644" s="78"/>
      <c r="B1644" s="79"/>
      <c r="C1644" s="80"/>
      <c r="D1644" s="81"/>
      <c r="E1644" s="26"/>
      <c r="F1644" s="82"/>
      <c r="G1644" s="83"/>
      <c r="H1644" s="84"/>
      <c r="I1644" s="80"/>
      <c r="J1644" s="80"/>
    </row>
    <row r="1645" spans="1:10" hidden="1" x14ac:dyDescent="0.25">
      <c r="A1645" s="78"/>
      <c r="B1645" s="79"/>
      <c r="C1645" s="80"/>
      <c r="D1645" s="81"/>
      <c r="E1645" s="26"/>
      <c r="F1645" s="82"/>
      <c r="G1645" s="83"/>
      <c r="H1645" s="84"/>
      <c r="I1645" s="80"/>
      <c r="J1645" s="80"/>
    </row>
    <row r="1646" spans="1:10" hidden="1" x14ac:dyDescent="0.25">
      <c r="A1646" s="78"/>
      <c r="B1646" s="79"/>
      <c r="C1646" s="80"/>
      <c r="D1646" s="81"/>
      <c r="E1646" s="26"/>
      <c r="F1646" s="82"/>
      <c r="G1646" s="83"/>
      <c r="H1646" s="84"/>
      <c r="I1646" s="80"/>
      <c r="J1646" s="80"/>
    </row>
    <row r="1647" spans="1:10" hidden="1" x14ac:dyDescent="0.25">
      <c r="A1647" s="78"/>
      <c r="B1647" s="79"/>
      <c r="C1647" s="80"/>
      <c r="D1647" s="81"/>
      <c r="E1647" s="26"/>
      <c r="F1647" s="82"/>
      <c r="G1647" s="83"/>
      <c r="H1647" s="84"/>
      <c r="I1647" s="80"/>
      <c r="J1647" s="80"/>
    </row>
    <row r="1648" spans="1:10" hidden="1" x14ac:dyDescent="0.25">
      <c r="A1648" s="78"/>
      <c r="B1648" s="79"/>
      <c r="C1648" s="80"/>
      <c r="D1648" s="81"/>
      <c r="E1648" s="26"/>
      <c r="F1648" s="82"/>
      <c r="G1648" s="83"/>
      <c r="H1648" s="84"/>
      <c r="I1648" s="80"/>
      <c r="J1648" s="80"/>
    </row>
    <row r="1649" spans="1:10" hidden="1" x14ac:dyDescent="0.25">
      <c r="A1649" s="78"/>
      <c r="B1649" s="79"/>
      <c r="C1649" s="80"/>
      <c r="D1649" s="81"/>
      <c r="E1649" s="26"/>
      <c r="F1649" s="82"/>
      <c r="G1649" s="83"/>
      <c r="H1649" s="84"/>
      <c r="I1649" s="80"/>
      <c r="J1649" s="80"/>
    </row>
    <row r="1650" spans="1:10" hidden="1" x14ac:dyDescent="0.25">
      <c r="A1650" s="78"/>
      <c r="B1650" s="79"/>
      <c r="C1650" s="80"/>
      <c r="D1650" s="81"/>
      <c r="E1650" s="26"/>
      <c r="F1650" s="82"/>
      <c r="G1650" s="83"/>
      <c r="H1650" s="84"/>
      <c r="I1650" s="80"/>
      <c r="J1650" s="80"/>
    </row>
    <row r="1651" spans="1:10" hidden="1" x14ac:dyDescent="0.25">
      <c r="A1651" s="78"/>
      <c r="B1651" s="79"/>
      <c r="C1651" s="80"/>
      <c r="D1651" s="81"/>
      <c r="E1651" s="26"/>
      <c r="F1651" s="82"/>
      <c r="G1651" s="83"/>
      <c r="H1651" s="84"/>
      <c r="I1651" s="80"/>
      <c r="J1651" s="80"/>
    </row>
    <row r="1652" spans="1:10" hidden="1" x14ac:dyDescent="0.25">
      <c r="A1652" s="78"/>
      <c r="B1652" s="79"/>
      <c r="C1652" s="80"/>
      <c r="D1652" s="81"/>
      <c r="E1652" s="26"/>
      <c r="F1652" s="82"/>
      <c r="G1652" s="83"/>
      <c r="H1652" s="84"/>
      <c r="I1652" s="80"/>
      <c r="J1652" s="80"/>
    </row>
    <row r="1653" spans="1:10" hidden="1" x14ac:dyDescent="0.25">
      <c r="A1653" s="78"/>
      <c r="B1653" s="79"/>
      <c r="C1653" s="80"/>
      <c r="D1653" s="81"/>
      <c r="E1653" s="26"/>
      <c r="F1653" s="82"/>
      <c r="G1653" s="83"/>
      <c r="H1653" s="84"/>
      <c r="I1653" s="80"/>
      <c r="J1653" s="80"/>
    </row>
    <row r="1654" spans="1:10" hidden="1" x14ac:dyDescent="0.25">
      <c r="A1654" s="78"/>
      <c r="B1654" s="79"/>
      <c r="C1654" s="80"/>
      <c r="D1654" s="81"/>
      <c r="E1654" s="26"/>
      <c r="F1654" s="82"/>
      <c r="G1654" s="83"/>
      <c r="H1654" s="84"/>
      <c r="I1654" s="80"/>
      <c r="J1654" s="80"/>
    </row>
    <row r="1655" spans="1:10" hidden="1" x14ac:dyDescent="0.25">
      <c r="A1655" s="78"/>
      <c r="B1655" s="79"/>
      <c r="C1655" s="80"/>
      <c r="D1655" s="81"/>
      <c r="E1655" s="26"/>
      <c r="F1655" s="82"/>
      <c r="G1655" s="83"/>
      <c r="H1655" s="84"/>
      <c r="I1655" s="80"/>
      <c r="J1655" s="80"/>
    </row>
    <row r="1656" spans="1:10" hidden="1" x14ac:dyDescent="0.25">
      <c r="A1656" s="78"/>
      <c r="B1656" s="79"/>
      <c r="C1656" s="80"/>
      <c r="D1656" s="81"/>
      <c r="E1656" s="26"/>
      <c r="F1656" s="82"/>
      <c r="G1656" s="83"/>
      <c r="H1656" s="84"/>
      <c r="I1656" s="80"/>
      <c r="J1656" s="80"/>
    </row>
    <row r="1657" spans="1:10" hidden="1" x14ac:dyDescent="0.25">
      <c r="A1657" s="78"/>
      <c r="B1657" s="79"/>
      <c r="C1657" s="80"/>
      <c r="D1657" s="81"/>
      <c r="E1657" s="26"/>
      <c r="F1657" s="82"/>
      <c r="G1657" s="83"/>
      <c r="H1657" s="84"/>
      <c r="I1657" s="80"/>
      <c r="J1657" s="80"/>
    </row>
    <row r="1658" spans="1:10" hidden="1" x14ac:dyDescent="0.25">
      <c r="A1658" s="78"/>
      <c r="B1658" s="79"/>
      <c r="C1658" s="80"/>
      <c r="D1658" s="81"/>
      <c r="E1658" s="26"/>
      <c r="F1658" s="82"/>
      <c r="G1658" s="83"/>
      <c r="H1658" s="84"/>
      <c r="I1658" s="80"/>
      <c r="J1658" s="80"/>
    </row>
    <row r="1659" spans="1:10" hidden="1" x14ac:dyDescent="0.25">
      <c r="A1659" s="78"/>
      <c r="B1659" s="79"/>
      <c r="C1659" s="80"/>
      <c r="D1659" s="81"/>
      <c r="E1659" s="26"/>
      <c r="F1659" s="82"/>
      <c r="G1659" s="83"/>
      <c r="H1659" s="84"/>
      <c r="I1659" s="80"/>
      <c r="J1659" s="80"/>
    </row>
    <row r="1660" spans="1:10" hidden="1" x14ac:dyDescent="0.25">
      <c r="A1660" s="78"/>
      <c r="B1660" s="79"/>
      <c r="C1660" s="80"/>
      <c r="D1660" s="81"/>
      <c r="E1660" s="26"/>
      <c r="F1660" s="82"/>
      <c r="G1660" s="83"/>
      <c r="H1660" s="84"/>
      <c r="I1660" s="80"/>
      <c r="J1660" s="80"/>
    </row>
    <row r="1661" spans="1:10" hidden="1" x14ac:dyDescent="0.25">
      <c r="A1661" s="78"/>
      <c r="B1661" s="79"/>
      <c r="C1661" s="80"/>
      <c r="D1661" s="81"/>
      <c r="E1661" s="26"/>
      <c r="F1661" s="82"/>
      <c r="G1661" s="83"/>
      <c r="H1661" s="84"/>
      <c r="I1661" s="80"/>
      <c r="J1661" s="80"/>
    </row>
    <row r="1662" spans="1:10" hidden="1" x14ac:dyDescent="0.25">
      <c r="A1662" s="78"/>
      <c r="B1662" s="79"/>
      <c r="C1662" s="80"/>
      <c r="D1662" s="81"/>
      <c r="E1662" s="26"/>
      <c r="F1662" s="82"/>
      <c r="G1662" s="83"/>
      <c r="H1662" s="84"/>
      <c r="I1662" s="80"/>
      <c r="J1662" s="80"/>
    </row>
    <row r="1663" spans="1:10" hidden="1" x14ac:dyDescent="0.25">
      <c r="A1663" s="78"/>
      <c r="B1663" s="79"/>
      <c r="C1663" s="80"/>
      <c r="D1663" s="81"/>
      <c r="E1663" s="26"/>
      <c r="F1663" s="82"/>
      <c r="G1663" s="83"/>
      <c r="H1663" s="84"/>
      <c r="I1663" s="80"/>
      <c r="J1663" s="80"/>
    </row>
    <row r="1664" spans="1:10" hidden="1" x14ac:dyDescent="0.25">
      <c r="A1664" s="78"/>
      <c r="B1664" s="79"/>
      <c r="C1664" s="80"/>
      <c r="D1664" s="81"/>
      <c r="E1664" s="26"/>
      <c r="F1664" s="82"/>
      <c r="G1664" s="83"/>
      <c r="H1664" s="84"/>
      <c r="I1664" s="80"/>
      <c r="J1664" s="80"/>
    </row>
    <row r="1665" spans="1:10" hidden="1" x14ac:dyDescent="0.25">
      <c r="A1665" s="78"/>
      <c r="B1665" s="79"/>
      <c r="C1665" s="80"/>
      <c r="D1665" s="81"/>
      <c r="E1665" s="26"/>
      <c r="F1665" s="82"/>
      <c r="G1665" s="83"/>
      <c r="H1665" s="84"/>
      <c r="I1665" s="80"/>
      <c r="J1665" s="80"/>
    </row>
    <row r="1666" spans="1:10" hidden="1" x14ac:dyDescent="0.25">
      <c r="A1666" s="78"/>
      <c r="B1666" s="79"/>
      <c r="C1666" s="80"/>
      <c r="D1666" s="81"/>
      <c r="E1666" s="26"/>
      <c r="F1666" s="82"/>
      <c r="G1666" s="83"/>
      <c r="H1666" s="84"/>
      <c r="I1666" s="80"/>
      <c r="J1666" s="80"/>
    </row>
    <row r="1667" spans="1:10" hidden="1" x14ac:dyDescent="0.25">
      <c r="A1667" s="78"/>
      <c r="B1667" s="79"/>
      <c r="C1667" s="80"/>
      <c r="D1667" s="81"/>
      <c r="E1667" s="26"/>
      <c r="F1667" s="82"/>
      <c r="G1667" s="83"/>
      <c r="H1667" s="84"/>
      <c r="I1667" s="80"/>
      <c r="J1667" s="80"/>
    </row>
    <row r="1668" spans="1:10" hidden="1" x14ac:dyDescent="0.25">
      <c r="A1668" s="78"/>
      <c r="B1668" s="79"/>
      <c r="C1668" s="80"/>
      <c r="D1668" s="81"/>
      <c r="E1668" s="26"/>
      <c r="F1668" s="82"/>
      <c r="G1668" s="83"/>
      <c r="H1668" s="84"/>
      <c r="I1668" s="80"/>
      <c r="J1668" s="80"/>
    </row>
    <row r="1669" spans="1:10" hidden="1" x14ac:dyDescent="0.25">
      <c r="A1669" s="78"/>
      <c r="B1669" s="79"/>
      <c r="C1669" s="80"/>
      <c r="D1669" s="81"/>
      <c r="E1669" s="26"/>
      <c r="F1669" s="82"/>
      <c r="G1669" s="83"/>
      <c r="H1669" s="84"/>
      <c r="I1669" s="80"/>
      <c r="J1669" s="80"/>
    </row>
    <row r="1670" spans="1:10" hidden="1" x14ac:dyDescent="0.25">
      <c r="A1670" s="78"/>
      <c r="B1670" s="79"/>
      <c r="C1670" s="80"/>
      <c r="D1670" s="81"/>
      <c r="E1670" s="26"/>
      <c r="F1670" s="82"/>
      <c r="G1670" s="83"/>
      <c r="H1670" s="84"/>
      <c r="I1670" s="80"/>
      <c r="J1670" s="80"/>
    </row>
    <row r="1671" spans="1:10" hidden="1" x14ac:dyDescent="0.25">
      <c r="A1671" s="78"/>
      <c r="B1671" s="79"/>
      <c r="C1671" s="80"/>
      <c r="D1671" s="81"/>
      <c r="E1671" s="26"/>
      <c r="F1671" s="82"/>
      <c r="G1671" s="83"/>
      <c r="H1671" s="84"/>
      <c r="I1671" s="80"/>
      <c r="J1671" s="80"/>
    </row>
    <row r="1672" spans="1:10" hidden="1" x14ac:dyDescent="0.25">
      <c r="A1672" s="78"/>
      <c r="B1672" s="79"/>
      <c r="C1672" s="80"/>
      <c r="D1672" s="81"/>
      <c r="E1672" s="26"/>
      <c r="F1672" s="82"/>
      <c r="G1672" s="83"/>
      <c r="H1672" s="84"/>
      <c r="I1672" s="80"/>
      <c r="J1672" s="80"/>
    </row>
    <row r="1673" spans="1:10" hidden="1" x14ac:dyDescent="0.25">
      <c r="A1673" s="78"/>
      <c r="B1673" s="79"/>
      <c r="C1673" s="80"/>
      <c r="D1673" s="81"/>
      <c r="E1673" s="26"/>
      <c r="F1673" s="82"/>
      <c r="G1673" s="83"/>
      <c r="H1673" s="84"/>
      <c r="I1673" s="80"/>
      <c r="J1673" s="80"/>
    </row>
    <row r="1674" spans="1:10" hidden="1" x14ac:dyDescent="0.25">
      <c r="A1674" s="78"/>
      <c r="B1674" s="79"/>
      <c r="C1674" s="80"/>
      <c r="D1674" s="81"/>
      <c r="E1674" s="26"/>
      <c r="F1674" s="82"/>
      <c r="G1674" s="83"/>
      <c r="H1674" s="84"/>
      <c r="I1674" s="80"/>
      <c r="J1674" s="80"/>
    </row>
    <row r="1675" spans="1:10" hidden="1" x14ac:dyDescent="0.25">
      <c r="A1675" s="78"/>
      <c r="B1675" s="79"/>
      <c r="C1675" s="80"/>
      <c r="D1675" s="81"/>
      <c r="E1675" s="26"/>
      <c r="F1675" s="82"/>
      <c r="G1675" s="83"/>
      <c r="H1675" s="84"/>
      <c r="I1675" s="80"/>
      <c r="J1675" s="80"/>
    </row>
    <row r="1676" spans="1:10" hidden="1" x14ac:dyDescent="0.25">
      <c r="A1676" s="78"/>
      <c r="B1676" s="79"/>
      <c r="C1676" s="80"/>
      <c r="D1676" s="81"/>
      <c r="E1676" s="26"/>
      <c r="F1676" s="82"/>
      <c r="G1676" s="83"/>
      <c r="H1676" s="84"/>
      <c r="I1676" s="80"/>
      <c r="J1676" s="80"/>
    </row>
    <row r="1677" spans="1:10" hidden="1" x14ac:dyDescent="0.25">
      <c r="A1677" s="78"/>
      <c r="B1677" s="79"/>
      <c r="C1677" s="80"/>
      <c r="D1677" s="81"/>
      <c r="E1677" s="26"/>
      <c r="F1677" s="82"/>
      <c r="G1677" s="83"/>
      <c r="H1677" s="84"/>
      <c r="I1677" s="80"/>
      <c r="J1677" s="80"/>
    </row>
    <row r="1678" spans="1:10" hidden="1" x14ac:dyDescent="0.25">
      <c r="A1678" s="78"/>
      <c r="B1678" s="79"/>
      <c r="C1678" s="80"/>
      <c r="D1678" s="81"/>
      <c r="E1678" s="26"/>
      <c r="F1678" s="82"/>
      <c r="G1678" s="83"/>
      <c r="H1678" s="84"/>
      <c r="I1678" s="80"/>
      <c r="J1678" s="80"/>
    </row>
    <row r="1679" spans="1:10" hidden="1" x14ac:dyDescent="0.25">
      <c r="A1679" s="78"/>
      <c r="B1679" s="79"/>
      <c r="C1679" s="80"/>
      <c r="D1679" s="81"/>
      <c r="E1679" s="26"/>
      <c r="F1679" s="82"/>
      <c r="G1679" s="83"/>
      <c r="H1679" s="84"/>
      <c r="I1679" s="80"/>
      <c r="J1679" s="80"/>
    </row>
    <row r="1680" spans="1:10" hidden="1" x14ac:dyDescent="0.25">
      <c r="A1680" s="78"/>
      <c r="B1680" s="79"/>
      <c r="C1680" s="80"/>
      <c r="D1680" s="81"/>
      <c r="E1680" s="26"/>
      <c r="F1680" s="82"/>
      <c r="G1680" s="83"/>
      <c r="H1680" s="84"/>
      <c r="I1680" s="80"/>
      <c r="J1680" s="80"/>
    </row>
    <row r="1681" spans="1:10" hidden="1" x14ac:dyDescent="0.25">
      <c r="A1681" s="78"/>
      <c r="B1681" s="79"/>
      <c r="C1681" s="80"/>
      <c r="D1681" s="81"/>
      <c r="E1681" s="26"/>
      <c r="F1681" s="82"/>
      <c r="G1681" s="83"/>
      <c r="H1681" s="84"/>
      <c r="I1681" s="80"/>
      <c r="J1681" s="80"/>
    </row>
    <row r="1682" spans="1:10" hidden="1" x14ac:dyDescent="0.25">
      <c r="A1682" s="78"/>
      <c r="B1682" s="79"/>
      <c r="C1682" s="80"/>
      <c r="D1682" s="81"/>
      <c r="E1682" s="26"/>
      <c r="F1682" s="82"/>
      <c r="G1682" s="83"/>
      <c r="H1682" s="84"/>
      <c r="I1682" s="80"/>
      <c r="J1682" s="80"/>
    </row>
    <row r="1683" spans="1:10" hidden="1" x14ac:dyDescent="0.25">
      <c r="A1683" s="78"/>
      <c r="B1683" s="79"/>
      <c r="C1683" s="80"/>
      <c r="D1683" s="81"/>
      <c r="E1683" s="26"/>
      <c r="F1683" s="82"/>
      <c r="G1683" s="83"/>
      <c r="H1683" s="84"/>
      <c r="I1683" s="80"/>
      <c r="J1683" s="80"/>
    </row>
    <row r="1684" spans="1:10" hidden="1" x14ac:dyDescent="0.25">
      <c r="A1684" s="78"/>
      <c r="B1684" s="79"/>
      <c r="C1684" s="80"/>
      <c r="D1684" s="81"/>
      <c r="E1684" s="26"/>
      <c r="F1684" s="82"/>
      <c r="G1684" s="83"/>
      <c r="H1684" s="84"/>
      <c r="I1684" s="80"/>
      <c r="J1684" s="80"/>
    </row>
    <row r="1685" spans="1:10" hidden="1" x14ac:dyDescent="0.25">
      <c r="A1685" s="78"/>
      <c r="B1685" s="79"/>
      <c r="C1685" s="80"/>
      <c r="D1685" s="81"/>
      <c r="E1685" s="26"/>
      <c r="F1685" s="82"/>
      <c r="G1685" s="83"/>
      <c r="H1685" s="84"/>
      <c r="I1685" s="80"/>
      <c r="J1685" s="80"/>
    </row>
    <row r="1686" spans="1:10" hidden="1" x14ac:dyDescent="0.25">
      <c r="A1686" s="78"/>
      <c r="B1686" s="79"/>
      <c r="C1686" s="80"/>
      <c r="D1686" s="81"/>
      <c r="E1686" s="26"/>
      <c r="F1686" s="82"/>
      <c r="G1686" s="83"/>
      <c r="H1686" s="84"/>
      <c r="I1686" s="80"/>
      <c r="J1686" s="80"/>
    </row>
    <row r="1687" spans="1:10" hidden="1" x14ac:dyDescent="0.25">
      <c r="A1687" s="78"/>
      <c r="B1687" s="79"/>
      <c r="C1687" s="80"/>
      <c r="D1687" s="81"/>
      <c r="E1687" s="26"/>
      <c r="F1687" s="82"/>
      <c r="G1687" s="83"/>
      <c r="H1687" s="84"/>
      <c r="I1687" s="80"/>
      <c r="J1687" s="80"/>
    </row>
    <row r="1688" spans="1:10" hidden="1" x14ac:dyDescent="0.25">
      <c r="A1688" s="78"/>
      <c r="B1688" s="79"/>
      <c r="C1688" s="80"/>
      <c r="D1688" s="81"/>
      <c r="E1688" s="26"/>
      <c r="F1688" s="82"/>
      <c r="G1688" s="83"/>
      <c r="H1688" s="84"/>
      <c r="I1688" s="80"/>
      <c r="J1688" s="80"/>
    </row>
    <row r="1689" spans="1:10" hidden="1" x14ac:dyDescent="0.25">
      <c r="A1689" s="78"/>
      <c r="B1689" s="79"/>
      <c r="C1689" s="80"/>
      <c r="D1689" s="81"/>
      <c r="E1689" s="26"/>
      <c r="F1689" s="82"/>
      <c r="G1689" s="83"/>
      <c r="H1689" s="84"/>
      <c r="I1689" s="80"/>
      <c r="J1689" s="80"/>
    </row>
    <row r="1690" spans="1:10" hidden="1" x14ac:dyDescent="0.25">
      <c r="A1690" s="78"/>
      <c r="B1690" s="79"/>
      <c r="C1690" s="80"/>
      <c r="D1690" s="81"/>
      <c r="E1690" s="26"/>
      <c r="F1690" s="82"/>
      <c r="G1690" s="83"/>
      <c r="H1690" s="84"/>
      <c r="I1690" s="80"/>
      <c r="J1690" s="80"/>
    </row>
    <row r="1691" spans="1:10" hidden="1" x14ac:dyDescent="0.25">
      <c r="A1691" s="78"/>
      <c r="B1691" s="79"/>
      <c r="C1691" s="80"/>
      <c r="D1691" s="81"/>
      <c r="E1691" s="26"/>
      <c r="F1691" s="82"/>
      <c r="G1691" s="83"/>
      <c r="H1691" s="84"/>
      <c r="I1691" s="80"/>
      <c r="J1691" s="80"/>
    </row>
    <row r="1692" spans="1:10" hidden="1" x14ac:dyDescent="0.25">
      <c r="A1692" s="78"/>
      <c r="B1692" s="79"/>
      <c r="C1692" s="80"/>
      <c r="D1692" s="81"/>
      <c r="E1692" s="26"/>
      <c r="F1692" s="82"/>
      <c r="G1692" s="83"/>
      <c r="H1692" s="84"/>
      <c r="I1692" s="80"/>
      <c r="J1692" s="80"/>
    </row>
    <row r="1693" spans="1:10" hidden="1" x14ac:dyDescent="0.25">
      <c r="A1693" s="78"/>
      <c r="B1693" s="79"/>
      <c r="C1693" s="80"/>
      <c r="D1693" s="81"/>
      <c r="E1693" s="26"/>
      <c r="F1693" s="82"/>
      <c r="G1693" s="83"/>
      <c r="H1693" s="84"/>
      <c r="I1693" s="80"/>
      <c r="J1693" s="80"/>
    </row>
    <row r="1694" spans="1:10" hidden="1" x14ac:dyDescent="0.25">
      <c r="A1694" s="78"/>
      <c r="B1694" s="79"/>
      <c r="C1694" s="80"/>
      <c r="D1694" s="81"/>
      <c r="E1694" s="26"/>
      <c r="F1694" s="82"/>
      <c r="G1694" s="83"/>
      <c r="H1694" s="84"/>
      <c r="I1694" s="80"/>
      <c r="J1694" s="80"/>
    </row>
    <row r="1695" spans="1:10" hidden="1" x14ac:dyDescent="0.25">
      <c r="A1695" s="78"/>
      <c r="B1695" s="79"/>
      <c r="C1695" s="80"/>
      <c r="D1695" s="81"/>
      <c r="E1695" s="26"/>
      <c r="F1695" s="82"/>
      <c r="G1695" s="83"/>
      <c r="H1695" s="84"/>
      <c r="I1695" s="80"/>
      <c r="J1695" s="80"/>
    </row>
    <row r="1696" spans="1:10" hidden="1" x14ac:dyDescent="0.25">
      <c r="A1696" s="78"/>
      <c r="B1696" s="79"/>
      <c r="C1696" s="80"/>
      <c r="D1696" s="81"/>
      <c r="E1696" s="26"/>
      <c r="F1696" s="82"/>
      <c r="G1696" s="83"/>
      <c r="H1696" s="84"/>
      <c r="I1696" s="80"/>
      <c r="J1696" s="80"/>
    </row>
    <row r="1697" spans="1:10" hidden="1" x14ac:dyDescent="0.25">
      <c r="A1697" s="78"/>
      <c r="B1697" s="79"/>
      <c r="C1697" s="80"/>
      <c r="D1697" s="81"/>
      <c r="E1697" s="26"/>
      <c r="F1697" s="82"/>
      <c r="G1697" s="83"/>
      <c r="H1697" s="84"/>
      <c r="I1697" s="80"/>
      <c r="J1697" s="80"/>
    </row>
    <row r="1698" spans="1:10" hidden="1" x14ac:dyDescent="0.25">
      <c r="A1698" s="78"/>
      <c r="B1698" s="79"/>
      <c r="C1698" s="80"/>
      <c r="D1698" s="81"/>
      <c r="E1698" s="26"/>
      <c r="F1698" s="82"/>
      <c r="G1698" s="83"/>
      <c r="H1698" s="84"/>
      <c r="I1698" s="80"/>
      <c r="J1698" s="80"/>
    </row>
    <row r="1699" spans="1:10" hidden="1" x14ac:dyDescent="0.25">
      <c r="A1699" s="78"/>
      <c r="B1699" s="79"/>
      <c r="C1699" s="80"/>
      <c r="D1699" s="81"/>
      <c r="E1699" s="26"/>
      <c r="F1699" s="82"/>
      <c r="G1699" s="83"/>
      <c r="H1699" s="84"/>
      <c r="I1699" s="80"/>
      <c r="J1699" s="80"/>
    </row>
    <row r="1700" spans="1:10" hidden="1" x14ac:dyDescent="0.25">
      <c r="A1700" s="78"/>
      <c r="B1700" s="79"/>
      <c r="C1700" s="80"/>
      <c r="D1700" s="81"/>
      <c r="E1700" s="26"/>
      <c r="F1700" s="82"/>
      <c r="G1700" s="83"/>
      <c r="H1700" s="84"/>
      <c r="I1700" s="80"/>
      <c r="J1700" s="80"/>
    </row>
    <row r="1701" spans="1:10" hidden="1" x14ac:dyDescent="0.25">
      <c r="A1701" s="78"/>
      <c r="B1701" s="79"/>
      <c r="C1701" s="80"/>
      <c r="D1701" s="81"/>
      <c r="E1701" s="26"/>
      <c r="F1701" s="82"/>
      <c r="G1701" s="83"/>
      <c r="H1701" s="84"/>
      <c r="I1701" s="80"/>
      <c r="J1701" s="80"/>
    </row>
    <row r="1702" spans="1:10" hidden="1" x14ac:dyDescent="0.25">
      <c r="A1702" s="78"/>
      <c r="B1702" s="79"/>
      <c r="C1702" s="80"/>
      <c r="D1702" s="81"/>
      <c r="E1702" s="26"/>
      <c r="F1702" s="82"/>
      <c r="G1702" s="83"/>
      <c r="H1702" s="84"/>
      <c r="I1702" s="80"/>
      <c r="J1702" s="80"/>
    </row>
    <row r="1703" spans="1:10" hidden="1" x14ac:dyDescent="0.25">
      <c r="A1703" s="78"/>
      <c r="B1703" s="79"/>
      <c r="C1703" s="80"/>
      <c r="D1703" s="81"/>
      <c r="E1703" s="26"/>
      <c r="F1703" s="82"/>
      <c r="G1703" s="83"/>
      <c r="H1703" s="84"/>
      <c r="I1703" s="80"/>
      <c r="J1703" s="80"/>
    </row>
    <row r="1704" spans="1:10" hidden="1" x14ac:dyDescent="0.25">
      <c r="A1704" s="78"/>
      <c r="B1704" s="79"/>
      <c r="C1704" s="80"/>
      <c r="D1704" s="81"/>
      <c r="E1704" s="26"/>
      <c r="F1704" s="82"/>
      <c r="G1704" s="83"/>
      <c r="H1704" s="84"/>
      <c r="I1704" s="80"/>
      <c r="J1704" s="80"/>
    </row>
    <row r="1705" spans="1:10" hidden="1" x14ac:dyDescent="0.25">
      <c r="A1705" s="78"/>
      <c r="B1705" s="79"/>
      <c r="C1705" s="80"/>
      <c r="D1705" s="81"/>
      <c r="E1705" s="26"/>
      <c r="F1705" s="82"/>
      <c r="G1705" s="83"/>
      <c r="H1705" s="84"/>
      <c r="I1705" s="80"/>
      <c r="J1705" s="80"/>
    </row>
    <row r="1706" spans="1:10" hidden="1" x14ac:dyDescent="0.25">
      <c r="A1706" s="78"/>
      <c r="B1706" s="79"/>
      <c r="C1706" s="80"/>
      <c r="D1706" s="81"/>
      <c r="E1706" s="26"/>
      <c r="F1706" s="82"/>
      <c r="G1706" s="83"/>
      <c r="H1706" s="84"/>
      <c r="I1706" s="80"/>
      <c r="J1706" s="80"/>
    </row>
    <row r="1707" spans="1:10" hidden="1" x14ac:dyDescent="0.25">
      <c r="A1707" s="78"/>
      <c r="B1707" s="79"/>
      <c r="C1707" s="80"/>
      <c r="D1707" s="81"/>
      <c r="E1707" s="26"/>
      <c r="F1707" s="82"/>
      <c r="G1707" s="83"/>
      <c r="H1707" s="84"/>
      <c r="I1707" s="80"/>
      <c r="J1707" s="80"/>
    </row>
    <row r="1708" spans="1:10" hidden="1" x14ac:dyDescent="0.25">
      <c r="A1708" s="78"/>
      <c r="B1708" s="79"/>
      <c r="C1708" s="80"/>
      <c r="D1708" s="81"/>
      <c r="E1708" s="26"/>
      <c r="F1708" s="82"/>
      <c r="G1708" s="83"/>
      <c r="H1708" s="84"/>
      <c r="I1708" s="80"/>
      <c r="J1708" s="80"/>
    </row>
    <row r="1709" spans="1:10" hidden="1" x14ac:dyDescent="0.25">
      <c r="A1709" s="78"/>
      <c r="B1709" s="79"/>
      <c r="C1709" s="80"/>
      <c r="D1709" s="81"/>
      <c r="E1709" s="26"/>
      <c r="F1709" s="82"/>
      <c r="G1709" s="83"/>
      <c r="H1709" s="84"/>
      <c r="I1709" s="80"/>
      <c r="J1709" s="80"/>
    </row>
    <row r="1710" spans="1:10" hidden="1" x14ac:dyDescent="0.25">
      <c r="A1710" s="78"/>
      <c r="B1710" s="79"/>
      <c r="C1710" s="80"/>
      <c r="D1710" s="81"/>
      <c r="E1710" s="26"/>
      <c r="F1710" s="82"/>
      <c r="G1710" s="83"/>
      <c r="H1710" s="84"/>
      <c r="I1710" s="80"/>
      <c r="J1710" s="80"/>
    </row>
    <row r="1711" spans="1:10" hidden="1" x14ac:dyDescent="0.25">
      <c r="A1711" s="78"/>
      <c r="B1711" s="79"/>
      <c r="C1711" s="80"/>
      <c r="D1711" s="81"/>
      <c r="E1711" s="26"/>
      <c r="F1711" s="82"/>
      <c r="G1711" s="83"/>
      <c r="H1711" s="84"/>
      <c r="I1711" s="80"/>
      <c r="J1711" s="80"/>
    </row>
    <row r="1712" spans="1:10" hidden="1" x14ac:dyDescent="0.25">
      <c r="A1712" s="78"/>
      <c r="B1712" s="79"/>
      <c r="C1712" s="80"/>
      <c r="D1712" s="81"/>
      <c r="E1712" s="26"/>
      <c r="F1712" s="82"/>
      <c r="G1712" s="83"/>
      <c r="H1712" s="84"/>
      <c r="I1712" s="80"/>
      <c r="J1712" s="80"/>
    </row>
    <row r="1713" spans="1:10" hidden="1" x14ac:dyDescent="0.25">
      <c r="A1713" s="78"/>
      <c r="B1713" s="79"/>
      <c r="C1713" s="80"/>
      <c r="D1713" s="81"/>
      <c r="E1713" s="26"/>
      <c r="F1713" s="82"/>
      <c r="G1713" s="83"/>
      <c r="H1713" s="84"/>
      <c r="I1713" s="80"/>
      <c r="J1713" s="80"/>
    </row>
    <row r="1714" spans="1:10" hidden="1" x14ac:dyDescent="0.25">
      <c r="A1714" s="78"/>
      <c r="B1714" s="79"/>
      <c r="C1714" s="80"/>
      <c r="D1714" s="81"/>
      <c r="E1714" s="26"/>
      <c r="F1714" s="82"/>
      <c r="G1714" s="83"/>
      <c r="H1714" s="84"/>
      <c r="I1714" s="80"/>
      <c r="J1714" s="80"/>
    </row>
    <row r="1715" spans="1:10" hidden="1" x14ac:dyDescent="0.25">
      <c r="A1715" s="78"/>
      <c r="B1715" s="79"/>
      <c r="C1715" s="80"/>
      <c r="D1715" s="81"/>
      <c r="E1715" s="26"/>
      <c r="F1715" s="82"/>
      <c r="G1715" s="83"/>
      <c r="H1715" s="84"/>
      <c r="I1715" s="80"/>
      <c r="J1715" s="80"/>
    </row>
    <row r="1716" spans="1:10" hidden="1" x14ac:dyDescent="0.25">
      <c r="A1716" s="78"/>
      <c r="B1716" s="79"/>
      <c r="C1716" s="80"/>
      <c r="D1716" s="81"/>
      <c r="E1716" s="26"/>
      <c r="F1716" s="82"/>
      <c r="G1716" s="83"/>
      <c r="H1716" s="84"/>
      <c r="I1716" s="80"/>
      <c r="J1716" s="80"/>
    </row>
    <row r="1717" spans="1:10" hidden="1" x14ac:dyDescent="0.25">
      <c r="A1717" s="78"/>
      <c r="B1717" s="79"/>
      <c r="C1717" s="80"/>
      <c r="D1717" s="81"/>
      <c r="E1717" s="26"/>
      <c r="F1717" s="82"/>
      <c r="G1717" s="83"/>
      <c r="H1717" s="84"/>
      <c r="I1717" s="80"/>
      <c r="J1717" s="80"/>
    </row>
    <row r="1718" spans="1:10" hidden="1" x14ac:dyDescent="0.25">
      <c r="A1718" s="78"/>
      <c r="B1718" s="79"/>
      <c r="C1718" s="80"/>
      <c r="D1718" s="81"/>
      <c r="E1718" s="26"/>
      <c r="F1718" s="82"/>
      <c r="G1718" s="83"/>
      <c r="H1718" s="84"/>
      <c r="I1718" s="80"/>
      <c r="J1718" s="80"/>
    </row>
    <row r="1719" spans="1:10" hidden="1" x14ac:dyDescent="0.25">
      <c r="A1719" s="78"/>
      <c r="B1719" s="79"/>
      <c r="C1719" s="80"/>
      <c r="D1719" s="81"/>
      <c r="E1719" s="26"/>
      <c r="F1719" s="82"/>
      <c r="G1719" s="83"/>
      <c r="H1719" s="84"/>
      <c r="I1719" s="80"/>
      <c r="J1719" s="80"/>
    </row>
    <row r="1720" spans="1:10" hidden="1" x14ac:dyDescent="0.25">
      <c r="A1720" s="78"/>
      <c r="B1720" s="79"/>
      <c r="C1720" s="80"/>
      <c r="D1720" s="81"/>
      <c r="E1720" s="26"/>
      <c r="F1720" s="82"/>
      <c r="G1720" s="83"/>
      <c r="H1720" s="84"/>
      <c r="I1720" s="80"/>
      <c r="J1720" s="80"/>
    </row>
    <row r="1721" spans="1:10" hidden="1" x14ac:dyDescent="0.25">
      <c r="A1721" s="78"/>
      <c r="B1721" s="79"/>
      <c r="C1721" s="80"/>
      <c r="D1721" s="81"/>
      <c r="E1721" s="26"/>
      <c r="F1721" s="82"/>
      <c r="G1721" s="83"/>
      <c r="H1721" s="84"/>
      <c r="I1721" s="80"/>
      <c r="J1721" s="80"/>
    </row>
    <row r="1722" spans="1:10" hidden="1" x14ac:dyDescent="0.25">
      <c r="A1722" s="78"/>
      <c r="B1722" s="79"/>
      <c r="C1722" s="80"/>
      <c r="D1722" s="81"/>
      <c r="E1722" s="26"/>
      <c r="F1722" s="82"/>
      <c r="G1722" s="83"/>
      <c r="H1722" s="84"/>
      <c r="I1722" s="80"/>
      <c r="J1722" s="80"/>
    </row>
    <row r="1723" spans="1:10" hidden="1" x14ac:dyDescent="0.25">
      <c r="A1723" s="78"/>
      <c r="B1723" s="79"/>
      <c r="C1723" s="80"/>
      <c r="D1723" s="81"/>
      <c r="E1723" s="26"/>
      <c r="F1723" s="82"/>
      <c r="G1723" s="83"/>
      <c r="H1723" s="84"/>
      <c r="I1723" s="80"/>
      <c r="J1723" s="80"/>
    </row>
    <row r="1724" spans="1:10" hidden="1" x14ac:dyDescent="0.25">
      <c r="A1724" s="78"/>
      <c r="B1724" s="79"/>
      <c r="C1724" s="80"/>
      <c r="D1724" s="81"/>
      <c r="E1724" s="26"/>
      <c r="F1724" s="82"/>
      <c r="G1724" s="83"/>
      <c r="H1724" s="84"/>
      <c r="I1724" s="80"/>
      <c r="J1724" s="80"/>
    </row>
    <row r="1725" spans="1:10" hidden="1" x14ac:dyDescent="0.25">
      <c r="A1725" s="78"/>
      <c r="B1725" s="79"/>
      <c r="C1725" s="80"/>
      <c r="D1725" s="81"/>
      <c r="E1725" s="26"/>
      <c r="F1725" s="82"/>
      <c r="G1725" s="83"/>
      <c r="H1725" s="84"/>
      <c r="I1725" s="80"/>
      <c r="J1725" s="80"/>
    </row>
    <row r="1726" spans="1:10" hidden="1" x14ac:dyDescent="0.25">
      <c r="A1726" s="78"/>
      <c r="B1726" s="79"/>
      <c r="C1726" s="80"/>
      <c r="D1726" s="81"/>
      <c r="E1726" s="26"/>
      <c r="F1726" s="82"/>
      <c r="G1726" s="83"/>
      <c r="H1726" s="84"/>
      <c r="I1726" s="80"/>
      <c r="J1726" s="80"/>
    </row>
    <row r="1727" spans="1:10" hidden="1" x14ac:dyDescent="0.25">
      <c r="A1727" s="78"/>
      <c r="B1727" s="79"/>
      <c r="C1727" s="80"/>
      <c r="D1727" s="81"/>
      <c r="E1727" s="26"/>
      <c r="F1727" s="82"/>
      <c r="G1727" s="83"/>
      <c r="H1727" s="84"/>
      <c r="I1727" s="80"/>
      <c r="J1727" s="80"/>
    </row>
    <row r="1728" spans="1:10" hidden="1" x14ac:dyDescent="0.25">
      <c r="A1728" s="78"/>
      <c r="B1728" s="79"/>
      <c r="C1728" s="80"/>
      <c r="D1728" s="81"/>
      <c r="E1728" s="26"/>
      <c r="F1728" s="82"/>
      <c r="G1728" s="83"/>
      <c r="H1728" s="84"/>
      <c r="I1728" s="80"/>
      <c r="J1728" s="80"/>
    </row>
    <row r="1729" spans="1:10" hidden="1" x14ac:dyDescent="0.25">
      <c r="A1729" s="78"/>
      <c r="B1729" s="79"/>
      <c r="C1729" s="80"/>
      <c r="D1729" s="81"/>
      <c r="E1729" s="26"/>
      <c r="F1729" s="82"/>
      <c r="G1729" s="83"/>
      <c r="H1729" s="84"/>
      <c r="I1729" s="80"/>
      <c r="J1729" s="80"/>
    </row>
    <row r="1730" spans="1:10" hidden="1" x14ac:dyDescent="0.25">
      <c r="A1730" s="78"/>
      <c r="B1730" s="79"/>
      <c r="C1730" s="80"/>
      <c r="D1730" s="81"/>
      <c r="E1730" s="26"/>
      <c r="F1730" s="82"/>
      <c r="G1730" s="83"/>
      <c r="H1730" s="84"/>
      <c r="I1730" s="80"/>
      <c r="J1730" s="80"/>
    </row>
    <row r="1731" spans="1:10" hidden="1" x14ac:dyDescent="0.25">
      <c r="A1731" s="78"/>
      <c r="B1731" s="79"/>
      <c r="C1731" s="80"/>
      <c r="D1731" s="81"/>
      <c r="E1731" s="26"/>
      <c r="F1731" s="82"/>
      <c r="G1731" s="83"/>
      <c r="H1731" s="84"/>
      <c r="I1731" s="80"/>
      <c r="J1731" s="80"/>
    </row>
    <row r="1732" spans="1:10" hidden="1" x14ac:dyDescent="0.25">
      <c r="A1732" s="78"/>
      <c r="B1732" s="79"/>
      <c r="C1732" s="80"/>
      <c r="D1732" s="81"/>
      <c r="E1732" s="26"/>
      <c r="F1732" s="82"/>
      <c r="G1732" s="83"/>
      <c r="H1732" s="84"/>
      <c r="I1732" s="80"/>
      <c r="J1732" s="80"/>
    </row>
    <row r="1733" spans="1:10" hidden="1" x14ac:dyDescent="0.25">
      <c r="A1733" s="78"/>
      <c r="B1733" s="79"/>
      <c r="C1733" s="80"/>
      <c r="D1733" s="81"/>
      <c r="E1733" s="26"/>
      <c r="F1733" s="82"/>
      <c r="G1733" s="83"/>
      <c r="H1733" s="84"/>
      <c r="I1733" s="80"/>
      <c r="J1733" s="80"/>
    </row>
    <row r="1734" spans="1:10" hidden="1" x14ac:dyDescent="0.25">
      <c r="A1734" s="78"/>
      <c r="B1734" s="79"/>
      <c r="C1734" s="80"/>
      <c r="D1734" s="81"/>
      <c r="E1734" s="26"/>
      <c r="F1734" s="82"/>
      <c r="G1734" s="83"/>
      <c r="H1734" s="84"/>
      <c r="I1734" s="80"/>
      <c r="J1734" s="80"/>
    </row>
    <row r="1735" spans="1:10" hidden="1" x14ac:dyDescent="0.25">
      <c r="A1735" s="78"/>
      <c r="B1735" s="79"/>
      <c r="C1735" s="80"/>
      <c r="D1735" s="81"/>
      <c r="E1735" s="26"/>
      <c r="F1735" s="82"/>
      <c r="G1735" s="83"/>
      <c r="H1735" s="84"/>
      <c r="I1735" s="80"/>
      <c r="J1735" s="80"/>
    </row>
    <row r="1736" spans="1:10" hidden="1" x14ac:dyDescent="0.25">
      <c r="A1736" s="78"/>
      <c r="B1736" s="79"/>
      <c r="C1736" s="80"/>
      <c r="D1736" s="81"/>
      <c r="E1736" s="26"/>
      <c r="F1736" s="82"/>
      <c r="G1736" s="83"/>
      <c r="H1736" s="84"/>
      <c r="I1736" s="80"/>
      <c r="J1736" s="80"/>
    </row>
    <row r="1737" spans="1:10" hidden="1" x14ac:dyDescent="0.25">
      <c r="A1737" s="78"/>
      <c r="B1737" s="79"/>
      <c r="C1737" s="80"/>
      <c r="D1737" s="81"/>
      <c r="E1737" s="26"/>
      <c r="F1737" s="82"/>
      <c r="G1737" s="83"/>
      <c r="H1737" s="84"/>
      <c r="I1737" s="80"/>
      <c r="J1737" s="80"/>
    </row>
    <row r="1738" spans="1:10" hidden="1" x14ac:dyDescent="0.25">
      <c r="A1738" s="78"/>
      <c r="B1738" s="79"/>
      <c r="C1738" s="80"/>
      <c r="D1738" s="81"/>
      <c r="E1738" s="26"/>
      <c r="F1738" s="82"/>
      <c r="G1738" s="83"/>
      <c r="H1738" s="84"/>
      <c r="I1738" s="80"/>
      <c r="J1738" s="80"/>
    </row>
    <row r="1739" spans="1:10" hidden="1" x14ac:dyDescent="0.25">
      <c r="A1739" s="78"/>
      <c r="B1739" s="79"/>
      <c r="C1739" s="80"/>
      <c r="D1739" s="81"/>
      <c r="E1739" s="26"/>
      <c r="F1739" s="82"/>
      <c r="G1739" s="83"/>
      <c r="H1739" s="84"/>
      <c r="I1739" s="80"/>
      <c r="J1739" s="80"/>
    </row>
    <row r="1740" spans="1:10" hidden="1" x14ac:dyDescent="0.25">
      <c r="A1740" s="78"/>
      <c r="B1740" s="79"/>
      <c r="C1740" s="80"/>
      <c r="D1740" s="81"/>
      <c r="E1740" s="26"/>
      <c r="F1740" s="82"/>
      <c r="G1740" s="83"/>
      <c r="H1740" s="84"/>
      <c r="I1740" s="80"/>
      <c r="J1740" s="80"/>
    </row>
    <row r="1741" spans="1:10" hidden="1" x14ac:dyDescent="0.25">
      <c r="A1741" s="78"/>
      <c r="B1741" s="79"/>
      <c r="C1741" s="80"/>
      <c r="D1741" s="81"/>
      <c r="E1741" s="26"/>
      <c r="F1741" s="82"/>
      <c r="G1741" s="83"/>
      <c r="H1741" s="84"/>
      <c r="I1741" s="80"/>
      <c r="J1741" s="80"/>
    </row>
    <row r="1742" spans="1:10" hidden="1" x14ac:dyDescent="0.25">
      <c r="A1742" s="78"/>
      <c r="B1742" s="79"/>
      <c r="C1742" s="80"/>
      <c r="D1742" s="81"/>
      <c r="E1742" s="26"/>
      <c r="F1742" s="82"/>
      <c r="G1742" s="83"/>
      <c r="H1742" s="84"/>
      <c r="I1742" s="80"/>
      <c r="J1742" s="80"/>
    </row>
    <row r="1743" spans="1:10" hidden="1" x14ac:dyDescent="0.25">
      <c r="A1743" s="78"/>
      <c r="B1743" s="79"/>
      <c r="C1743" s="80"/>
      <c r="D1743" s="81"/>
      <c r="E1743" s="26"/>
      <c r="F1743" s="82"/>
      <c r="G1743" s="83"/>
      <c r="H1743" s="84"/>
      <c r="I1743" s="80"/>
      <c r="J1743" s="80"/>
    </row>
    <row r="1744" spans="1:10" hidden="1" x14ac:dyDescent="0.25">
      <c r="A1744" s="78"/>
      <c r="B1744" s="79"/>
      <c r="C1744" s="80"/>
      <c r="D1744" s="81"/>
      <c r="E1744" s="26"/>
      <c r="F1744" s="82"/>
      <c r="G1744" s="83"/>
      <c r="H1744" s="84"/>
      <c r="I1744" s="80"/>
      <c r="J1744" s="80"/>
    </row>
    <row r="1745" spans="1:10" hidden="1" x14ac:dyDescent="0.25">
      <c r="A1745" s="78"/>
      <c r="B1745" s="79"/>
      <c r="C1745" s="80"/>
      <c r="D1745" s="81"/>
      <c r="E1745" s="26"/>
      <c r="F1745" s="82"/>
      <c r="G1745" s="83"/>
      <c r="H1745" s="84"/>
      <c r="I1745" s="80"/>
      <c r="J1745" s="80"/>
    </row>
    <row r="1746" spans="1:10" hidden="1" x14ac:dyDescent="0.25">
      <c r="A1746" s="78"/>
      <c r="B1746" s="79"/>
      <c r="C1746" s="80"/>
      <c r="D1746" s="81"/>
      <c r="E1746" s="26"/>
      <c r="F1746" s="82"/>
      <c r="G1746" s="83"/>
      <c r="H1746" s="84"/>
      <c r="I1746" s="80"/>
      <c r="J1746" s="80"/>
    </row>
    <row r="1747" spans="1:10" hidden="1" x14ac:dyDescent="0.25">
      <c r="A1747" s="78"/>
      <c r="B1747" s="79"/>
      <c r="C1747" s="80"/>
      <c r="D1747" s="81"/>
      <c r="E1747" s="26"/>
      <c r="F1747" s="82"/>
      <c r="G1747" s="83"/>
      <c r="H1747" s="84"/>
      <c r="I1747" s="80"/>
      <c r="J1747" s="80"/>
    </row>
    <row r="1748" spans="1:10" hidden="1" x14ac:dyDescent="0.25">
      <c r="A1748" s="78"/>
      <c r="B1748" s="79"/>
      <c r="C1748" s="80"/>
      <c r="D1748" s="81"/>
      <c r="E1748" s="26"/>
      <c r="F1748" s="82"/>
      <c r="G1748" s="83"/>
      <c r="H1748" s="84"/>
      <c r="I1748" s="80"/>
      <c r="J1748" s="80"/>
    </row>
    <row r="1749" spans="1:10" hidden="1" x14ac:dyDescent="0.25">
      <c r="A1749" s="78"/>
      <c r="B1749" s="79"/>
      <c r="C1749" s="80"/>
      <c r="D1749" s="81"/>
      <c r="E1749" s="26"/>
      <c r="F1749" s="82"/>
      <c r="G1749" s="83"/>
      <c r="H1749" s="84"/>
      <c r="I1749" s="80"/>
      <c r="J1749" s="80"/>
    </row>
    <row r="1750" spans="1:10" hidden="1" x14ac:dyDescent="0.25">
      <c r="A1750" s="78"/>
      <c r="B1750" s="79"/>
      <c r="C1750" s="80"/>
      <c r="D1750" s="81"/>
      <c r="E1750" s="26"/>
      <c r="F1750" s="82"/>
      <c r="G1750" s="83"/>
      <c r="H1750" s="84"/>
      <c r="I1750" s="80"/>
      <c r="J1750" s="80"/>
    </row>
    <row r="1751" spans="1:10" hidden="1" x14ac:dyDescent="0.25">
      <c r="A1751" s="78"/>
      <c r="B1751" s="79"/>
      <c r="C1751" s="80"/>
      <c r="D1751" s="81"/>
      <c r="E1751" s="26"/>
      <c r="F1751" s="82"/>
      <c r="G1751" s="83"/>
      <c r="H1751" s="84"/>
      <c r="I1751" s="80"/>
      <c r="J1751" s="80"/>
    </row>
    <row r="1752" spans="1:10" hidden="1" x14ac:dyDescent="0.25">
      <c r="A1752" s="78"/>
      <c r="B1752" s="79"/>
      <c r="C1752" s="80"/>
      <c r="D1752" s="81"/>
      <c r="E1752" s="26"/>
      <c r="F1752" s="82"/>
      <c r="G1752" s="83"/>
      <c r="H1752" s="84"/>
      <c r="I1752" s="80"/>
      <c r="J1752" s="80"/>
    </row>
    <row r="1753" spans="1:10" hidden="1" x14ac:dyDescent="0.25">
      <c r="A1753" s="78"/>
      <c r="B1753" s="79"/>
      <c r="C1753" s="80"/>
      <c r="D1753" s="81"/>
      <c r="E1753" s="26"/>
      <c r="F1753" s="82"/>
      <c r="G1753" s="83"/>
      <c r="H1753" s="84"/>
      <c r="I1753" s="80"/>
      <c r="J1753" s="80"/>
    </row>
    <row r="1754" spans="1:10" hidden="1" x14ac:dyDescent="0.25">
      <c r="A1754" s="78"/>
      <c r="B1754" s="79"/>
      <c r="C1754" s="80"/>
      <c r="D1754" s="81"/>
      <c r="E1754" s="26"/>
      <c r="F1754" s="82"/>
      <c r="G1754" s="83"/>
      <c r="H1754" s="84"/>
      <c r="I1754" s="80"/>
      <c r="J1754" s="80"/>
    </row>
    <row r="1755" spans="1:10" hidden="1" x14ac:dyDescent="0.25">
      <c r="A1755" s="78"/>
      <c r="B1755" s="79"/>
      <c r="C1755" s="80"/>
      <c r="D1755" s="81"/>
      <c r="E1755" s="26"/>
      <c r="F1755" s="82"/>
      <c r="G1755" s="83"/>
      <c r="H1755" s="84"/>
      <c r="I1755" s="80"/>
      <c r="J1755" s="80"/>
    </row>
    <row r="1756" spans="1:10" hidden="1" x14ac:dyDescent="0.25">
      <c r="A1756" s="78"/>
      <c r="B1756" s="79"/>
      <c r="C1756" s="80"/>
      <c r="D1756" s="81"/>
      <c r="E1756" s="26"/>
      <c r="F1756" s="82"/>
      <c r="G1756" s="83"/>
      <c r="H1756" s="84"/>
      <c r="I1756" s="80"/>
      <c r="J1756" s="80"/>
    </row>
    <row r="1757" spans="1:10" hidden="1" x14ac:dyDescent="0.25">
      <c r="A1757" s="78"/>
      <c r="B1757" s="79"/>
      <c r="C1757" s="80"/>
      <c r="D1757" s="81"/>
      <c r="E1757" s="26"/>
      <c r="F1757" s="82"/>
      <c r="G1757" s="83"/>
      <c r="H1757" s="84"/>
      <c r="I1757" s="80"/>
      <c r="J1757" s="80"/>
    </row>
    <row r="1758" spans="1:10" hidden="1" x14ac:dyDescent="0.25">
      <c r="A1758" s="78"/>
      <c r="B1758" s="79"/>
      <c r="C1758" s="80"/>
      <c r="D1758" s="81"/>
      <c r="E1758" s="26"/>
      <c r="F1758" s="82"/>
      <c r="G1758" s="83"/>
      <c r="H1758" s="84"/>
      <c r="I1758" s="80"/>
      <c r="J1758" s="80"/>
    </row>
    <row r="1759" spans="1:10" hidden="1" x14ac:dyDescent="0.25">
      <c r="A1759" s="78"/>
      <c r="B1759" s="79"/>
      <c r="C1759" s="80"/>
      <c r="D1759" s="81"/>
      <c r="E1759" s="26"/>
      <c r="F1759" s="82"/>
      <c r="G1759" s="83"/>
      <c r="H1759" s="84"/>
      <c r="I1759" s="80"/>
      <c r="J1759" s="80"/>
    </row>
    <row r="1760" spans="1:10" hidden="1" x14ac:dyDescent="0.25">
      <c r="A1760" s="78"/>
      <c r="B1760" s="79"/>
      <c r="C1760" s="80"/>
      <c r="D1760" s="81"/>
      <c r="E1760" s="26"/>
      <c r="F1760" s="82"/>
      <c r="G1760" s="83"/>
      <c r="H1760" s="84"/>
      <c r="I1760" s="80"/>
      <c r="J1760" s="80"/>
    </row>
    <row r="1761" spans="1:10" hidden="1" x14ac:dyDescent="0.25">
      <c r="A1761" s="78"/>
      <c r="B1761" s="79"/>
      <c r="C1761" s="80"/>
      <c r="D1761" s="81"/>
      <c r="E1761" s="26"/>
      <c r="F1761" s="82"/>
      <c r="G1761" s="83"/>
      <c r="H1761" s="84"/>
      <c r="I1761" s="80"/>
      <c r="J1761" s="80"/>
    </row>
    <row r="1762" spans="1:10" hidden="1" x14ac:dyDescent="0.25">
      <c r="A1762" s="78"/>
      <c r="B1762" s="79"/>
      <c r="C1762" s="80"/>
      <c r="D1762" s="81"/>
      <c r="E1762" s="26"/>
      <c r="F1762" s="82"/>
      <c r="G1762" s="83"/>
      <c r="H1762" s="84"/>
      <c r="I1762" s="80"/>
      <c r="J1762" s="80"/>
    </row>
    <row r="1763" spans="1:10" hidden="1" x14ac:dyDescent="0.25">
      <c r="A1763" s="78"/>
      <c r="B1763" s="79"/>
      <c r="C1763" s="80"/>
      <c r="D1763" s="81"/>
      <c r="E1763" s="26"/>
      <c r="F1763" s="82"/>
      <c r="G1763" s="83"/>
      <c r="H1763" s="84"/>
      <c r="I1763" s="80"/>
      <c r="J1763" s="80"/>
    </row>
    <row r="1764" spans="1:10" hidden="1" x14ac:dyDescent="0.25">
      <c r="A1764" s="78"/>
      <c r="B1764" s="79"/>
      <c r="C1764" s="80"/>
      <c r="D1764" s="81"/>
      <c r="E1764" s="26"/>
      <c r="F1764" s="82"/>
      <c r="G1764" s="83"/>
      <c r="H1764" s="84"/>
      <c r="I1764" s="80"/>
      <c r="J1764" s="80"/>
    </row>
    <row r="1765" spans="1:10" hidden="1" x14ac:dyDescent="0.25">
      <c r="A1765" s="78"/>
      <c r="B1765" s="79"/>
      <c r="C1765" s="80"/>
      <c r="D1765" s="81"/>
      <c r="E1765" s="26"/>
      <c r="F1765" s="82"/>
      <c r="G1765" s="83"/>
      <c r="H1765" s="84"/>
      <c r="I1765" s="80"/>
      <c r="J1765" s="80"/>
    </row>
    <row r="1766" spans="1:10" hidden="1" x14ac:dyDescent="0.25">
      <c r="A1766" s="78"/>
      <c r="B1766" s="79"/>
      <c r="C1766" s="80"/>
      <c r="D1766" s="81"/>
      <c r="E1766" s="26"/>
      <c r="F1766" s="82"/>
      <c r="G1766" s="83"/>
      <c r="H1766" s="84"/>
      <c r="I1766" s="80"/>
      <c r="J1766" s="80"/>
    </row>
    <row r="1767" spans="1:10" hidden="1" x14ac:dyDescent="0.25">
      <c r="A1767" s="78"/>
      <c r="B1767" s="79"/>
      <c r="C1767" s="80"/>
      <c r="D1767" s="81"/>
      <c r="E1767" s="26"/>
      <c r="F1767" s="82"/>
      <c r="G1767" s="83"/>
      <c r="H1767" s="84"/>
      <c r="I1767" s="80"/>
      <c r="J1767" s="80"/>
    </row>
    <row r="1768" spans="1:10" hidden="1" x14ac:dyDescent="0.25">
      <c r="A1768" s="78"/>
      <c r="B1768" s="79"/>
      <c r="C1768" s="80"/>
      <c r="D1768" s="81"/>
      <c r="E1768" s="26"/>
      <c r="F1768" s="82"/>
      <c r="G1768" s="83"/>
      <c r="H1768" s="84"/>
      <c r="I1768" s="80"/>
      <c r="J1768" s="80"/>
    </row>
    <row r="1769" spans="1:10" hidden="1" x14ac:dyDescent="0.25">
      <c r="A1769" s="78"/>
      <c r="B1769" s="79"/>
      <c r="C1769" s="80"/>
      <c r="D1769" s="81"/>
      <c r="E1769" s="26"/>
      <c r="F1769" s="82"/>
      <c r="G1769" s="83"/>
      <c r="H1769" s="84"/>
      <c r="I1769" s="80"/>
      <c r="J1769" s="80"/>
    </row>
    <row r="1770" spans="1:10" hidden="1" x14ac:dyDescent="0.25">
      <c r="A1770" s="78"/>
      <c r="B1770" s="79"/>
      <c r="C1770" s="80"/>
      <c r="D1770" s="81"/>
      <c r="E1770" s="26"/>
      <c r="F1770" s="82"/>
      <c r="G1770" s="83"/>
      <c r="H1770" s="84"/>
      <c r="I1770" s="80"/>
      <c r="J1770" s="80"/>
    </row>
    <row r="1771" spans="1:10" hidden="1" x14ac:dyDescent="0.25">
      <c r="A1771" s="78"/>
      <c r="B1771" s="79"/>
      <c r="C1771" s="80"/>
      <c r="D1771" s="81"/>
      <c r="E1771" s="26"/>
      <c r="F1771" s="82"/>
      <c r="G1771" s="83"/>
      <c r="H1771" s="84"/>
      <c r="I1771" s="80"/>
      <c r="J1771" s="80"/>
    </row>
    <row r="1772" spans="1:10" hidden="1" x14ac:dyDescent="0.25">
      <c r="A1772" s="78"/>
      <c r="B1772" s="79"/>
      <c r="C1772" s="80"/>
      <c r="D1772" s="81"/>
      <c r="E1772" s="26"/>
      <c r="F1772" s="82"/>
      <c r="G1772" s="83"/>
      <c r="H1772" s="84"/>
      <c r="I1772" s="80"/>
      <c r="J1772" s="80"/>
    </row>
    <row r="1773" spans="1:10" hidden="1" x14ac:dyDescent="0.25">
      <c r="A1773" s="78"/>
      <c r="B1773" s="79"/>
      <c r="C1773" s="80"/>
      <c r="D1773" s="81"/>
      <c r="E1773" s="26"/>
      <c r="F1773" s="82"/>
      <c r="G1773" s="83"/>
      <c r="H1773" s="84"/>
      <c r="I1773" s="80"/>
      <c r="J1773" s="80"/>
    </row>
    <row r="1774" spans="1:10" hidden="1" x14ac:dyDescent="0.25">
      <c r="A1774" s="78"/>
      <c r="B1774" s="79"/>
      <c r="C1774" s="80"/>
      <c r="D1774" s="81"/>
      <c r="E1774" s="26"/>
      <c r="F1774" s="82"/>
      <c r="G1774" s="83"/>
      <c r="H1774" s="84"/>
      <c r="I1774" s="80"/>
      <c r="J1774" s="80"/>
    </row>
    <row r="1775" spans="1:10" hidden="1" x14ac:dyDescent="0.25">
      <c r="A1775" s="78"/>
      <c r="B1775" s="79"/>
      <c r="C1775" s="80"/>
      <c r="D1775" s="81"/>
      <c r="E1775" s="26"/>
      <c r="F1775" s="82"/>
      <c r="G1775" s="83"/>
      <c r="H1775" s="84"/>
      <c r="I1775" s="80"/>
      <c r="J1775" s="80"/>
    </row>
    <row r="1776" spans="1:10" hidden="1" x14ac:dyDescent="0.25">
      <c r="A1776" s="78"/>
      <c r="B1776" s="79"/>
      <c r="C1776" s="80"/>
      <c r="D1776" s="81"/>
      <c r="E1776" s="26"/>
      <c r="F1776" s="82"/>
      <c r="G1776" s="83"/>
      <c r="H1776" s="84"/>
      <c r="I1776" s="80"/>
      <c r="J1776" s="80"/>
    </row>
    <row r="1777" spans="1:10" hidden="1" x14ac:dyDescent="0.25">
      <c r="A1777" s="78"/>
      <c r="B1777" s="79"/>
      <c r="C1777" s="80"/>
      <c r="D1777" s="81"/>
      <c r="E1777" s="26"/>
      <c r="F1777" s="82"/>
      <c r="G1777" s="83"/>
      <c r="H1777" s="84"/>
      <c r="I1777" s="80"/>
      <c r="J1777" s="80"/>
    </row>
    <row r="1778" spans="1:10" hidden="1" x14ac:dyDescent="0.25">
      <c r="A1778" s="78"/>
      <c r="B1778" s="79"/>
      <c r="C1778" s="80"/>
      <c r="D1778" s="81"/>
      <c r="E1778" s="26"/>
      <c r="F1778" s="82"/>
      <c r="G1778" s="83"/>
      <c r="H1778" s="84"/>
      <c r="I1778" s="80"/>
      <c r="J1778" s="80"/>
    </row>
    <row r="1779" spans="1:10" hidden="1" x14ac:dyDescent="0.25">
      <c r="A1779" s="78"/>
      <c r="B1779" s="79"/>
      <c r="C1779" s="80"/>
      <c r="D1779" s="81"/>
      <c r="E1779" s="26"/>
      <c r="F1779" s="82"/>
      <c r="G1779" s="83"/>
      <c r="H1779" s="84"/>
      <c r="I1779" s="80"/>
      <c r="J1779" s="80"/>
    </row>
    <row r="1780" spans="1:10" hidden="1" x14ac:dyDescent="0.25">
      <c r="A1780" s="78"/>
      <c r="B1780" s="79"/>
      <c r="C1780" s="80"/>
      <c r="D1780" s="81"/>
      <c r="E1780" s="26"/>
      <c r="F1780" s="82"/>
      <c r="G1780" s="83"/>
      <c r="H1780" s="84"/>
      <c r="I1780" s="80"/>
      <c r="J1780" s="80"/>
    </row>
    <row r="1781" spans="1:10" hidden="1" x14ac:dyDescent="0.25">
      <c r="A1781" s="78"/>
      <c r="B1781" s="79"/>
      <c r="C1781" s="80"/>
      <c r="D1781" s="81"/>
      <c r="E1781" s="26"/>
      <c r="F1781" s="82"/>
      <c r="G1781" s="83"/>
      <c r="H1781" s="84"/>
      <c r="I1781" s="80"/>
      <c r="J1781" s="80"/>
    </row>
    <row r="1782" spans="1:10" hidden="1" x14ac:dyDescent="0.25">
      <c r="A1782" s="78"/>
      <c r="B1782" s="79"/>
      <c r="C1782" s="80"/>
      <c r="D1782" s="81"/>
      <c r="E1782" s="26"/>
      <c r="F1782" s="82"/>
      <c r="G1782" s="83"/>
      <c r="H1782" s="84"/>
      <c r="I1782" s="80"/>
      <c r="J1782" s="80"/>
    </row>
    <row r="1783" spans="1:10" hidden="1" x14ac:dyDescent="0.25">
      <c r="A1783" s="78"/>
      <c r="B1783" s="79"/>
      <c r="C1783" s="80"/>
      <c r="D1783" s="81"/>
      <c r="E1783" s="26"/>
      <c r="F1783" s="82"/>
      <c r="G1783" s="83"/>
      <c r="H1783" s="84"/>
      <c r="I1783" s="80"/>
      <c r="J1783" s="80"/>
    </row>
    <row r="1784" spans="1:10" hidden="1" x14ac:dyDescent="0.25">
      <c r="A1784" s="78"/>
      <c r="B1784" s="79"/>
      <c r="C1784" s="80"/>
      <c r="D1784" s="81"/>
      <c r="E1784" s="26"/>
      <c r="F1784" s="82"/>
      <c r="G1784" s="83"/>
      <c r="H1784" s="84"/>
      <c r="I1784" s="80"/>
      <c r="J1784" s="80"/>
    </row>
    <row r="1785" spans="1:10" hidden="1" x14ac:dyDescent="0.25">
      <c r="A1785" s="78"/>
      <c r="B1785" s="79"/>
      <c r="C1785" s="80"/>
      <c r="D1785" s="81"/>
      <c r="E1785" s="26"/>
      <c r="F1785" s="82"/>
      <c r="G1785" s="83"/>
      <c r="H1785" s="84"/>
      <c r="I1785" s="80"/>
      <c r="J1785" s="80"/>
    </row>
    <row r="1786" spans="1:10" hidden="1" x14ac:dyDescent="0.25">
      <c r="A1786" s="78"/>
      <c r="B1786" s="79"/>
      <c r="C1786" s="80"/>
      <c r="D1786" s="81"/>
      <c r="E1786" s="26"/>
      <c r="F1786" s="82"/>
      <c r="G1786" s="83"/>
      <c r="H1786" s="84"/>
      <c r="I1786" s="80"/>
      <c r="J1786" s="80"/>
    </row>
    <row r="1787" spans="1:10" hidden="1" x14ac:dyDescent="0.25">
      <c r="A1787" s="78"/>
      <c r="B1787" s="79"/>
      <c r="C1787" s="80"/>
      <c r="D1787" s="81"/>
      <c r="E1787" s="26"/>
      <c r="F1787" s="82"/>
      <c r="G1787" s="83"/>
      <c r="H1787" s="84"/>
      <c r="I1787" s="80"/>
      <c r="J1787" s="80"/>
    </row>
    <row r="1788" spans="1:10" hidden="1" x14ac:dyDescent="0.25">
      <c r="A1788" s="78"/>
      <c r="B1788" s="79"/>
      <c r="C1788" s="80"/>
      <c r="D1788" s="81"/>
      <c r="E1788" s="26"/>
      <c r="F1788" s="82"/>
      <c r="G1788" s="83"/>
      <c r="H1788" s="84"/>
      <c r="I1788" s="80"/>
      <c r="J1788" s="80"/>
    </row>
    <row r="1789" spans="1:10" hidden="1" x14ac:dyDescent="0.25">
      <c r="A1789" s="78"/>
      <c r="B1789" s="79"/>
      <c r="C1789" s="80"/>
      <c r="D1789" s="81"/>
      <c r="E1789" s="26"/>
      <c r="F1789" s="82"/>
      <c r="G1789" s="83"/>
      <c r="H1789" s="84"/>
      <c r="I1789" s="80"/>
      <c r="J1789" s="80"/>
    </row>
    <row r="1790" spans="1:10" hidden="1" x14ac:dyDescent="0.25">
      <c r="A1790" s="78"/>
      <c r="B1790" s="79"/>
      <c r="C1790" s="80"/>
      <c r="D1790" s="81"/>
      <c r="E1790" s="26"/>
      <c r="F1790" s="82"/>
      <c r="G1790" s="83"/>
      <c r="H1790" s="84"/>
      <c r="I1790" s="80"/>
      <c r="J1790" s="80"/>
    </row>
    <row r="1791" spans="1:10" hidden="1" x14ac:dyDescent="0.25">
      <c r="A1791" s="78"/>
      <c r="B1791" s="79"/>
      <c r="C1791" s="80"/>
      <c r="D1791" s="81"/>
      <c r="E1791" s="26"/>
      <c r="F1791" s="82"/>
      <c r="G1791" s="83"/>
      <c r="H1791" s="84"/>
      <c r="I1791" s="80"/>
      <c r="J1791" s="80"/>
    </row>
    <row r="1792" spans="1:10" hidden="1" x14ac:dyDescent="0.25">
      <c r="A1792" s="78"/>
      <c r="B1792" s="79"/>
      <c r="C1792" s="80"/>
      <c r="D1792" s="81"/>
      <c r="E1792" s="26"/>
      <c r="F1792" s="82"/>
      <c r="G1792" s="83"/>
      <c r="H1792" s="84"/>
      <c r="I1792" s="80"/>
      <c r="J1792" s="80"/>
    </row>
    <row r="1793" spans="1:10" hidden="1" x14ac:dyDescent="0.25">
      <c r="A1793" s="78"/>
      <c r="B1793" s="79"/>
      <c r="C1793" s="80"/>
      <c r="D1793" s="81"/>
      <c r="E1793" s="26"/>
      <c r="F1793" s="82"/>
      <c r="G1793" s="83"/>
      <c r="H1793" s="84"/>
      <c r="I1793" s="80"/>
      <c r="J1793" s="80"/>
    </row>
    <row r="1794" spans="1:10" hidden="1" x14ac:dyDescent="0.25">
      <c r="A1794" s="78"/>
      <c r="B1794" s="79"/>
      <c r="C1794" s="80"/>
      <c r="D1794" s="81"/>
      <c r="E1794" s="26"/>
      <c r="F1794" s="82"/>
      <c r="G1794" s="83"/>
      <c r="H1794" s="84"/>
      <c r="I1794" s="80"/>
      <c r="J1794" s="80"/>
    </row>
    <row r="1795" spans="1:10" hidden="1" x14ac:dyDescent="0.25">
      <c r="A1795" s="78"/>
      <c r="B1795" s="79"/>
      <c r="C1795" s="80"/>
      <c r="D1795" s="81"/>
      <c r="E1795" s="26"/>
      <c r="F1795" s="82"/>
      <c r="G1795" s="83"/>
      <c r="H1795" s="84"/>
      <c r="I1795" s="80"/>
      <c r="J1795" s="80"/>
    </row>
    <row r="1796" spans="1:10" hidden="1" x14ac:dyDescent="0.25">
      <c r="A1796" s="78"/>
      <c r="B1796" s="79"/>
      <c r="C1796" s="80"/>
      <c r="D1796" s="81"/>
      <c r="E1796" s="26"/>
      <c r="F1796" s="82"/>
      <c r="G1796" s="83"/>
      <c r="H1796" s="84"/>
      <c r="I1796" s="80"/>
      <c r="J1796" s="80"/>
    </row>
    <row r="1797" spans="1:10" hidden="1" x14ac:dyDescent="0.25">
      <c r="A1797" s="78"/>
      <c r="B1797" s="79"/>
      <c r="C1797" s="80"/>
      <c r="D1797" s="81"/>
      <c r="E1797" s="26"/>
      <c r="F1797" s="82"/>
      <c r="G1797" s="83"/>
      <c r="H1797" s="84"/>
      <c r="I1797" s="80"/>
      <c r="J1797" s="80"/>
    </row>
    <row r="1798" spans="1:10" hidden="1" x14ac:dyDescent="0.25">
      <c r="A1798" s="78"/>
      <c r="B1798" s="79"/>
      <c r="C1798" s="80"/>
      <c r="D1798" s="81"/>
      <c r="E1798" s="26"/>
      <c r="F1798" s="82"/>
      <c r="G1798" s="83"/>
      <c r="H1798" s="84"/>
      <c r="I1798" s="80"/>
      <c r="J1798" s="80"/>
    </row>
    <row r="1799" spans="1:10" hidden="1" x14ac:dyDescent="0.25">
      <c r="A1799" s="78"/>
      <c r="B1799" s="79"/>
      <c r="C1799" s="80"/>
      <c r="D1799" s="81"/>
      <c r="E1799" s="26"/>
      <c r="F1799" s="82"/>
      <c r="G1799" s="83"/>
      <c r="H1799" s="84"/>
      <c r="I1799" s="80"/>
      <c r="J1799" s="80"/>
    </row>
    <row r="1800" spans="1:10" hidden="1" x14ac:dyDescent="0.25">
      <c r="A1800" s="78"/>
      <c r="B1800" s="79"/>
      <c r="C1800" s="80"/>
      <c r="D1800" s="81"/>
      <c r="E1800" s="26"/>
      <c r="F1800" s="82"/>
      <c r="G1800" s="83"/>
      <c r="H1800" s="84"/>
      <c r="I1800" s="80"/>
      <c r="J1800" s="80"/>
    </row>
    <row r="1801" spans="1:10" hidden="1" x14ac:dyDescent="0.25">
      <c r="A1801" s="78"/>
      <c r="B1801" s="79"/>
      <c r="C1801" s="80"/>
      <c r="D1801" s="81"/>
      <c r="E1801" s="26"/>
      <c r="F1801" s="82"/>
      <c r="G1801" s="83"/>
      <c r="H1801" s="84"/>
      <c r="I1801" s="80"/>
      <c r="J1801" s="80"/>
    </row>
    <row r="1802" spans="1:10" hidden="1" x14ac:dyDescent="0.25">
      <c r="A1802" s="78"/>
      <c r="B1802" s="79"/>
      <c r="C1802" s="80"/>
      <c r="D1802" s="81"/>
      <c r="E1802" s="26"/>
      <c r="F1802" s="82"/>
      <c r="G1802" s="83"/>
      <c r="H1802" s="84"/>
      <c r="I1802" s="80"/>
      <c r="J1802" s="80"/>
    </row>
    <row r="1803" spans="1:10" hidden="1" x14ac:dyDescent="0.25">
      <c r="A1803" s="78"/>
      <c r="B1803" s="79"/>
      <c r="C1803" s="80"/>
      <c r="D1803" s="81"/>
      <c r="E1803" s="26"/>
      <c r="F1803" s="82"/>
      <c r="G1803" s="83"/>
      <c r="H1803" s="84"/>
      <c r="I1803" s="80"/>
      <c r="J1803" s="80"/>
    </row>
    <row r="1804" spans="1:10" hidden="1" x14ac:dyDescent="0.25">
      <c r="A1804" s="78"/>
      <c r="B1804" s="79"/>
      <c r="C1804" s="80"/>
      <c r="D1804" s="81"/>
      <c r="E1804" s="26"/>
      <c r="F1804" s="82"/>
      <c r="G1804" s="83"/>
      <c r="H1804" s="84"/>
      <c r="I1804" s="80"/>
      <c r="J1804" s="80"/>
    </row>
    <row r="1805" spans="1:10" hidden="1" x14ac:dyDescent="0.25">
      <c r="A1805" s="78"/>
      <c r="B1805" s="79"/>
      <c r="C1805" s="80"/>
      <c r="D1805" s="81"/>
      <c r="E1805" s="26"/>
      <c r="F1805" s="82"/>
      <c r="G1805" s="83"/>
      <c r="H1805" s="84"/>
      <c r="I1805" s="80"/>
      <c r="J1805" s="80"/>
    </row>
    <row r="1806" spans="1:10" hidden="1" x14ac:dyDescent="0.25">
      <c r="A1806" s="78"/>
      <c r="B1806" s="79"/>
      <c r="C1806" s="80"/>
      <c r="D1806" s="81"/>
      <c r="E1806" s="26"/>
      <c r="F1806" s="82"/>
      <c r="G1806" s="83"/>
      <c r="H1806" s="84"/>
      <c r="I1806" s="80"/>
      <c r="J1806" s="80"/>
    </row>
    <row r="1807" spans="1:10" hidden="1" x14ac:dyDescent="0.25">
      <c r="A1807" s="78"/>
      <c r="B1807" s="79"/>
      <c r="C1807" s="80"/>
      <c r="D1807" s="81"/>
      <c r="E1807" s="26"/>
      <c r="F1807" s="82"/>
      <c r="G1807" s="83"/>
      <c r="H1807" s="84"/>
      <c r="I1807" s="80"/>
      <c r="J1807" s="80"/>
    </row>
    <row r="1808" spans="1:10" hidden="1" x14ac:dyDescent="0.25">
      <c r="A1808" s="78"/>
      <c r="B1808" s="79"/>
      <c r="C1808" s="80"/>
      <c r="D1808" s="81"/>
      <c r="E1808" s="26"/>
      <c r="F1808" s="82"/>
      <c r="G1808" s="83"/>
      <c r="H1808" s="84"/>
      <c r="I1808" s="80"/>
      <c r="J1808" s="80"/>
    </row>
    <row r="1809" spans="1:10" hidden="1" x14ac:dyDescent="0.25">
      <c r="A1809" s="78"/>
      <c r="B1809" s="79"/>
      <c r="C1809" s="80"/>
      <c r="D1809" s="81"/>
      <c r="E1809" s="26"/>
      <c r="F1809" s="82"/>
      <c r="G1809" s="83"/>
      <c r="H1809" s="84"/>
      <c r="I1809" s="80"/>
      <c r="J1809" s="80"/>
    </row>
    <row r="1810" spans="1:10" hidden="1" x14ac:dyDescent="0.25">
      <c r="A1810" s="78"/>
      <c r="B1810" s="79"/>
      <c r="C1810" s="80"/>
      <c r="D1810" s="81"/>
      <c r="E1810" s="26"/>
      <c r="F1810" s="82"/>
      <c r="G1810" s="83"/>
      <c r="H1810" s="84"/>
      <c r="I1810" s="80"/>
      <c r="J1810" s="80"/>
    </row>
    <row r="1811" spans="1:10" hidden="1" x14ac:dyDescent="0.25">
      <c r="A1811" s="78"/>
      <c r="B1811" s="79"/>
      <c r="C1811" s="80"/>
      <c r="D1811" s="81"/>
      <c r="E1811" s="26"/>
      <c r="F1811" s="82"/>
      <c r="G1811" s="83"/>
      <c r="H1811" s="84"/>
      <c r="I1811" s="80"/>
      <c r="J1811" s="80"/>
    </row>
    <row r="1812" spans="1:10" hidden="1" x14ac:dyDescent="0.25">
      <c r="A1812" s="78"/>
      <c r="B1812" s="79"/>
      <c r="C1812" s="80"/>
      <c r="D1812" s="81"/>
      <c r="E1812" s="26"/>
      <c r="F1812" s="82"/>
      <c r="G1812" s="83"/>
      <c r="H1812" s="84"/>
      <c r="I1812" s="80"/>
      <c r="J1812" s="80"/>
    </row>
    <row r="1813" spans="1:10" hidden="1" x14ac:dyDescent="0.25">
      <c r="A1813" s="78"/>
      <c r="B1813" s="79"/>
      <c r="C1813" s="80"/>
      <c r="D1813" s="81"/>
      <c r="E1813" s="26"/>
      <c r="F1813" s="82"/>
      <c r="G1813" s="83"/>
      <c r="H1813" s="84"/>
      <c r="I1813" s="80"/>
      <c r="J1813" s="80"/>
    </row>
    <row r="1814" spans="1:10" hidden="1" x14ac:dyDescent="0.25">
      <c r="A1814" s="78"/>
      <c r="B1814" s="79"/>
      <c r="C1814" s="80"/>
      <c r="D1814" s="81"/>
      <c r="E1814" s="26"/>
      <c r="F1814" s="82"/>
      <c r="G1814" s="83"/>
      <c r="H1814" s="84"/>
      <c r="I1814" s="80"/>
      <c r="J1814" s="80"/>
    </row>
    <row r="1815" spans="1:10" hidden="1" x14ac:dyDescent="0.25">
      <c r="A1815" s="78"/>
      <c r="B1815" s="79"/>
      <c r="C1815" s="80"/>
      <c r="D1815" s="81"/>
      <c r="E1815" s="26"/>
      <c r="F1815" s="82"/>
      <c r="G1815" s="83"/>
      <c r="H1815" s="84"/>
      <c r="I1815" s="80"/>
      <c r="J1815" s="80"/>
    </row>
    <row r="1816" spans="1:10" hidden="1" x14ac:dyDescent="0.25">
      <c r="A1816" s="78"/>
      <c r="B1816" s="79"/>
      <c r="C1816" s="80"/>
      <c r="D1816" s="81"/>
      <c r="E1816" s="26"/>
      <c r="F1816" s="82"/>
      <c r="G1816" s="83"/>
      <c r="H1816" s="84"/>
      <c r="I1816" s="80"/>
      <c r="J1816" s="80"/>
    </row>
    <row r="1817" spans="1:10" hidden="1" x14ac:dyDescent="0.25">
      <c r="A1817" s="78"/>
      <c r="B1817" s="79"/>
      <c r="C1817" s="80"/>
      <c r="D1817" s="81"/>
      <c r="E1817" s="26"/>
      <c r="F1817" s="82"/>
      <c r="G1817" s="83"/>
      <c r="H1817" s="84"/>
      <c r="I1817" s="80"/>
      <c r="J1817" s="80"/>
    </row>
    <row r="1818" spans="1:10" hidden="1" x14ac:dyDescent="0.25">
      <c r="A1818" s="78"/>
      <c r="B1818" s="79"/>
      <c r="C1818" s="80"/>
      <c r="D1818" s="81"/>
      <c r="E1818" s="26"/>
      <c r="F1818" s="82"/>
      <c r="G1818" s="83"/>
      <c r="H1818" s="84"/>
      <c r="I1818" s="80"/>
      <c r="J1818" s="80"/>
    </row>
    <row r="1819" spans="1:10" hidden="1" x14ac:dyDescent="0.25">
      <c r="A1819" s="78"/>
      <c r="B1819" s="79"/>
      <c r="C1819" s="80"/>
      <c r="D1819" s="81"/>
      <c r="E1819" s="26"/>
      <c r="F1819" s="82"/>
      <c r="G1819" s="83"/>
      <c r="H1819" s="84"/>
      <c r="I1819" s="80"/>
      <c r="J1819" s="80"/>
    </row>
    <row r="1820" spans="1:10" hidden="1" x14ac:dyDescent="0.25">
      <c r="A1820" s="78"/>
      <c r="B1820" s="79"/>
      <c r="C1820" s="80"/>
      <c r="D1820" s="81"/>
      <c r="E1820" s="26"/>
      <c r="F1820" s="82"/>
      <c r="G1820" s="83"/>
      <c r="H1820" s="84"/>
      <c r="I1820" s="80"/>
      <c r="J1820" s="80"/>
    </row>
    <row r="1821" spans="1:10" hidden="1" x14ac:dyDescent="0.25">
      <c r="A1821" s="78"/>
      <c r="B1821" s="79"/>
      <c r="C1821" s="80"/>
      <c r="D1821" s="81"/>
      <c r="E1821" s="26"/>
      <c r="F1821" s="82"/>
      <c r="G1821" s="83"/>
      <c r="H1821" s="84"/>
      <c r="I1821" s="80"/>
      <c r="J1821" s="80"/>
    </row>
    <row r="1822" spans="1:10" hidden="1" x14ac:dyDescent="0.25">
      <c r="A1822" s="78"/>
      <c r="B1822" s="79"/>
      <c r="C1822" s="80"/>
      <c r="D1822" s="81"/>
      <c r="E1822" s="26"/>
      <c r="F1822" s="82"/>
      <c r="G1822" s="83"/>
      <c r="H1822" s="84"/>
      <c r="I1822" s="80"/>
      <c r="J1822" s="80"/>
    </row>
    <row r="1823" spans="1:10" hidden="1" x14ac:dyDescent="0.25">
      <c r="A1823" s="78"/>
      <c r="B1823" s="79"/>
      <c r="C1823" s="80"/>
      <c r="D1823" s="81"/>
      <c r="E1823" s="26"/>
      <c r="F1823" s="82"/>
      <c r="G1823" s="83"/>
      <c r="H1823" s="84"/>
      <c r="I1823" s="80"/>
      <c r="J1823" s="80"/>
    </row>
    <row r="1824" spans="1:10" hidden="1" x14ac:dyDescent="0.25">
      <c r="A1824" s="78"/>
      <c r="B1824" s="79"/>
      <c r="C1824" s="80"/>
      <c r="D1824" s="81"/>
      <c r="E1824" s="26"/>
      <c r="F1824" s="82"/>
      <c r="G1824" s="83"/>
      <c r="H1824" s="84"/>
      <c r="I1824" s="80"/>
      <c r="J1824" s="80"/>
    </row>
    <row r="1825" spans="1:10" hidden="1" x14ac:dyDescent="0.25">
      <c r="A1825" s="78"/>
      <c r="B1825" s="79"/>
      <c r="C1825" s="80"/>
      <c r="D1825" s="81"/>
      <c r="E1825" s="26"/>
      <c r="F1825" s="82"/>
      <c r="G1825" s="83"/>
      <c r="H1825" s="84"/>
      <c r="I1825" s="80"/>
      <c r="J1825" s="80"/>
    </row>
    <row r="1826" spans="1:10" hidden="1" x14ac:dyDescent="0.25">
      <c r="A1826" s="78"/>
      <c r="B1826" s="79"/>
      <c r="C1826" s="80"/>
      <c r="D1826" s="81"/>
      <c r="E1826" s="26"/>
      <c r="F1826" s="82"/>
      <c r="G1826" s="83"/>
      <c r="H1826" s="84"/>
      <c r="I1826" s="80"/>
      <c r="J1826" s="80"/>
    </row>
    <row r="1827" spans="1:10" hidden="1" x14ac:dyDescent="0.25">
      <c r="A1827" s="78"/>
      <c r="B1827" s="79"/>
      <c r="C1827" s="80"/>
      <c r="D1827" s="81"/>
      <c r="E1827" s="26"/>
      <c r="F1827" s="82"/>
      <c r="G1827" s="83"/>
      <c r="H1827" s="84"/>
      <c r="I1827" s="80"/>
      <c r="J1827" s="80"/>
    </row>
    <row r="1828" spans="1:10" hidden="1" x14ac:dyDescent="0.25">
      <c r="A1828" s="78"/>
      <c r="B1828" s="79"/>
      <c r="C1828" s="80"/>
      <c r="D1828" s="81"/>
      <c r="E1828" s="26"/>
      <c r="F1828" s="82"/>
      <c r="G1828" s="83"/>
      <c r="H1828" s="84"/>
      <c r="I1828" s="80"/>
      <c r="J1828" s="80"/>
    </row>
    <row r="1829" spans="1:10" hidden="1" x14ac:dyDescent="0.25">
      <c r="A1829" s="78"/>
      <c r="B1829" s="79"/>
      <c r="C1829" s="80"/>
      <c r="D1829" s="81"/>
      <c r="E1829" s="26"/>
      <c r="F1829" s="82"/>
      <c r="G1829" s="83"/>
      <c r="H1829" s="84"/>
      <c r="I1829" s="80"/>
      <c r="J1829" s="80"/>
    </row>
    <row r="1830" spans="1:10" hidden="1" x14ac:dyDescent="0.25">
      <c r="A1830" s="78"/>
      <c r="B1830" s="79"/>
      <c r="C1830" s="80"/>
      <c r="D1830" s="81"/>
      <c r="E1830" s="26"/>
      <c r="F1830" s="82"/>
      <c r="G1830" s="83"/>
      <c r="H1830" s="84"/>
      <c r="I1830" s="80"/>
      <c r="J1830" s="80"/>
    </row>
    <row r="1831" spans="1:10" hidden="1" x14ac:dyDescent="0.25">
      <c r="A1831" s="78"/>
      <c r="B1831" s="79"/>
      <c r="C1831" s="80"/>
      <c r="D1831" s="81"/>
      <c r="E1831" s="26"/>
      <c r="F1831" s="82"/>
      <c r="G1831" s="83"/>
      <c r="H1831" s="84"/>
      <c r="I1831" s="80"/>
      <c r="J1831" s="80"/>
    </row>
    <row r="1832" spans="1:10" hidden="1" x14ac:dyDescent="0.25">
      <c r="A1832" s="78"/>
      <c r="B1832" s="79"/>
      <c r="C1832" s="80"/>
      <c r="D1832" s="81"/>
      <c r="E1832" s="26"/>
      <c r="F1832" s="82"/>
      <c r="G1832" s="83"/>
      <c r="H1832" s="84"/>
      <c r="I1832" s="80"/>
      <c r="J1832" s="80"/>
    </row>
    <row r="1833" spans="1:10" hidden="1" x14ac:dyDescent="0.25">
      <c r="A1833" s="78"/>
      <c r="B1833" s="79"/>
      <c r="C1833" s="80"/>
      <c r="D1833" s="81"/>
      <c r="E1833" s="26"/>
      <c r="F1833" s="82"/>
      <c r="G1833" s="83"/>
      <c r="H1833" s="84"/>
      <c r="I1833" s="80"/>
      <c r="J1833" s="80"/>
    </row>
    <row r="1834" spans="1:10" hidden="1" x14ac:dyDescent="0.25">
      <c r="A1834" s="78"/>
      <c r="B1834" s="79"/>
      <c r="C1834" s="80"/>
      <c r="D1834" s="81"/>
      <c r="E1834" s="26"/>
      <c r="F1834" s="82"/>
      <c r="G1834" s="83"/>
      <c r="H1834" s="84"/>
      <c r="I1834" s="80"/>
      <c r="J1834" s="80"/>
    </row>
    <row r="1835" spans="1:10" hidden="1" x14ac:dyDescent="0.25">
      <c r="A1835" s="78"/>
      <c r="B1835" s="79"/>
      <c r="C1835" s="80"/>
      <c r="D1835" s="81"/>
      <c r="E1835" s="26"/>
      <c r="F1835" s="82"/>
      <c r="G1835" s="83"/>
      <c r="H1835" s="84"/>
      <c r="I1835" s="80"/>
      <c r="J1835" s="80"/>
    </row>
    <row r="1836" spans="1:10" hidden="1" x14ac:dyDescent="0.25">
      <c r="A1836" s="78"/>
      <c r="B1836" s="79"/>
      <c r="C1836" s="80"/>
      <c r="D1836" s="81"/>
      <c r="E1836" s="26"/>
      <c r="F1836" s="82"/>
      <c r="G1836" s="83"/>
      <c r="H1836" s="84"/>
      <c r="I1836" s="80"/>
      <c r="J1836" s="80"/>
    </row>
    <row r="1837" spans="1:10" hidden="1" x14ac:dyDescent="0.25">
      <c r="A1837" s="78"/>
      <c r="B1837" s="79"/>
      <c r="C1837" s="80"/>
      <c r="D1837" s="81"/>
      <c r="E1837" s="26"/>
      <c r="F1837" s="82"/>
      <c r="G1837" s="83"/>
      <c r="H1837" s="84"/>
      <c r="I1837" s="80"/>
      <c r="J1837" s="80"/>
    </row>
    <row r="1838" spans="1:10" hidden="1" x14ac:dyDescent="0.25">
      <c r="A1838" s="78"/>
      <c r="B1838" s="79"/>
      <c r="C1838" s="80"/>
      <c r="D1838" s="81"/>
      <c r="E1838" s="26"/>
      <c r="F1838" s="82"/>
      <c r="G1838" s="83"/>
      <c r="H1838" s="84"/>
      <c r="I1838" s="80"/>
      <c r="J1838" s="80"/>
    </row>
    <row r="1839" spans="1:10" hidden="1" x14ac:dyDescent="0.25">
      <c r="A1839" s="78"/>
      <c r="B1839" s="79"/>
      <c r="C1839" s="80"/>
      <c r="D1839" s="81"/>
      <c r="E1839" s="26"/>
      <c r="F1839" s="82"/>
      <c r="G1839" s="83"/>
      <c r="H1839" s="84"/>
      <c r="I1839" s="80"/>
      <c r="J1839" s="80"/>
    </row>
    <row r="1840" spans="1:10" hidden="1" x14ac:dyDescent="0.25">
      <c r="A1840" s="78"/>
      <c r="B1840" s="79"/>
      <c r="C1840" s="80"/>
      <c r="D1840" s="81"/>
      <c r="E1840" s="26"/>
      <c r="F1840" s="82"/>
      <c r="G1840" s="83"/>
      <c r="H1840" s="84"/>
      <c r="I1840" s="80"/>
      <c r="J1840" s="80"/>
    </row>
    <row r="1841" spans="1:10" hidden="1" x14ac:dyDescent="0.25">
      <c r="A1841" s="78"/>
      <c r="B1841" s="79"/>
      <c r="C1841" s="80"/>
      <c r="D1841" s="81"/>
      <c r="E1841" s="26"/>
      <c r="F1841" s="82"/>
      <c r="G1841" s="83"/>
      <c r="H1841" s="84"/>
      <c r="I1841" s="80"/>
      <c r="J1841" s="80"/>
    </row>
    <row r="1842" spans="1:10" hidden="1" x14ac:dyDescent="0.25">
      <c r="A1842" s="78"/>
      <c r="B1842" s="79"/>
      <c r="C1842" s="80"/>
      <c r="D1842" s="81"/>
      <c r="E1842" s="26"/>
      <c r="F1842" s="82"/>
      <c r="G1842" s="83"/>
      <c r="H1842" s="84"/>
      <c r="I1842" s="80"/>
      <c r="J1842" s="80"/>
    </row>
    <row r="1843" spans="1:10" hidden="1" x14ac:dyDescent="0.25">
      <c r="A1843" s="78"/>
      <c r="B1843" s="79"/>
      <c r="C1843" s="80"/>
      <c r="D1843" s="81"/>
      <c r="E1843" s="26"/>
      <c r="F1843" s="82"/>
      <c r="G1843" s="83"/>
      <c r="H1843" s="84"/>
      <c r="I1843" s="80"/>
      <c r="J1843" s="80"/>
    </row>
    <row r="1844" spans="1:10" hidden="1" x14ac:dyDescent="0.25">
      <c r="A1844" s="78"/>
      <c r="B1844" s="79"/>
      <c r="C1844" s="80"/>
      <c r="D1844" s="81"/>
      <c r="E1844" s="26"/>
      <c r="F1844" s="82"/>
      <c r="G1844" s="83"/>
      <c r="H1844" s="84"/>
      <c r="I1844" s="80"/>
      <c r="J1844" s="80"/>
    </row>
    <row r="1845" spans="1:10" hidden="1" x14ac:dyDescent="0.25">
      <c r="A1845" s="78"/>
      <c r="B1845" s="79"/>
      <c r="C1845" s="80"/>
      <c r="D1845" s="81"/>
      <c r="E1845" s="26"/>
      <c r="F1845" s="82"/>
      <c r="G1845" s="83"/>
      <c r="H1845" s="84"/>
      <c r="I1845" s="80"/>
      <c r="J1845" s="80"/>
    </row>
    <row r="1846" spans="1:10" hidden="1" x14ac:dyDescent="0.25">
      <c r="A1846" s="78"/>
      <c r="B1846" s="79"/>
      <c r="C1846" s="80"/>
      <c r="D1846" s="81"/>
      <c r="E1846" s="26"/>
      <c r="F1846" s="82"/>
      <c r="G1846" s="83"/>
      <c r="H1846" s="84"/>
      <c r="I1846" s="80"/>
      <c r="J1846" s="80"/>
    </row>
    <row r="1847" spans="1:10" hidden="1" x14ac:dyDescent="0.25">
      <c r="A1847" s="78"/>
      <c r="B1847" s="79"/>
      <c r="C1847" s="80"/>
      <c r="D1847" s="81"/>
      <c r="E1847" s="26"/>
      <c r="F1847" s="82"/>
      <c r="G1847" s="83"/>
      <c r="H1847" s="84"/>
      <c r="I1847" s="80"/>
      <c r="J1847" s="80"/>
    </row>
    <row r="1848" spans="1:10" hidden="1" x14ac:dyDescent="0.25">
      <c r="A1848" s="78"/>
      <c r="B1848" s="79"/>
      <c r="C1848" s="80"/>
      <c r="D1848" s="81"/>
      <c r="E1848" s="26"/>
      <c r="F1848" s="82"/>
      <c r="G1848" s="83"/>
      <c r="H1848" s="84"/>
      <c r="I1848" s="80"/>
      <c r="J1848" s="80"/>
    </row>
    <row r="1849" spans="1:10" hidden="1" x14ac:dyDescent="0.25">
      <c r="A1849" s="78"/>
      <c r="B1849" s="79"/>
      <c r="C1849" s="80"/>
      <c r="D1849" s="81"/>
      <c r="E1849" s="26"/>
      <c r="F1849" s="82"/>
      <c r="G1849" s="83"/>
      <c r="H1849" s="84"/>
      <c r="I1849" s="80"/>
      <c r="J1849" s="80"/>
    </row>
    <row r="1850" spans="1:10" hidden="1" x14ac:dyDescent="0.25">
      <c r="A1850" s="78"/>
      <c r="B1850" s="79"/>
      <c r="C1850" s="80"/>
      <c r="D1850" s="81"/>
      <c r="E1850" s="26"/>
      <c r="F1850" s="82"/>
      <c r="G1850" s="83"/>
      <c r="H1850" s="84"/>
      <c r="I1850" s="80"/>
      <c r="J1850" s="80"/>
    </row>
    <row r="1851" spans="1:10" hidden="1" x14ac:dyDescent="0.25">
      <c r="A1851" s="78"/>
      <c r="B1851" s="79"/>
      <c r="C1851" s="80"/>
      <c r="D1851" s="81"/>
      <c r="E1851" s="26"/>
      <c r="F1851" s="82"/>
      <c r="G1851" s="83"/>
      <c r="H1851" s="84"/>
      <c r="I1851" s="80"/>
      <c r="J1851" s="80"/>
    </row>
    <row r="1852" spans="1:10" hidden="1" x14ac:dyDescent="0.25">
      <c r="A1852" s="78"/>
      <c r="B1852" s="79"/>
      <c r="C1852" s="80"/>
      <c r="D1852" s="81"/>
      <c r="E1852" s="26"/>
      <c r="F1852" s="82"/>
      <c r="G1852" s="83"/>
      <c r="H1852" s="84"/>
      <c r="I1852" s="80"/>
      <c r="J1852" s="80"/>
    </row>
    <row r="1853" spans="1:10" hidden="1" x14ac:dyDescent="0.25">
      <c r="A1853" s="78"/>
      <c r="B1853" s="79"/>
      <c r="C1853" s="80"/>
      <c r="D1853" s="81"/>
      <c r="E1853" s="26"/>
      <c r="F1853" s="82"/>
      <c r="G1853" s="83"/>
      <c r="H1853" s="84"/>
      <c r="I1853" s="80"/>
      <c r="J1853" s="80"/>
    </row>
    <row r="1854" spans="1:10" hidden="1" x14ac:dyDescent="0.25">
      <c r="A1854" s="78"/>
      <c r="B1854" s="79"/>
      <c r="C1854" s="80"/>
      <c r="D1854" s="81"/>
      <c r="E1854" s="26"/>
      <c r="F1854" s="82"/>
      <c r="G1854" s="83"/>
      <c r="H1854" s="84"/>
      <c r="I1854" s="80"/>
      <c r="J1854" s="80"/>
    </row>
    <row r="1855" spans="1:10" hidden="1" x14ac:dyDescent="0.25">
      <c r="A1855" s="78"/>
      <c r="B1855" s="79"/>
      <c r="C1855" s="80"/>
      <c r="D1855" s="81"/>
      <c r="E1855" s="26"/>
      <c r="F1855" s="82"/>
      <c r="G1855" s="83"/>
      <c r="H1855" s="84"/>
      <c r="I1855" s="80"/>
      <c r="J1855" s="80"/>
    </row>
    <row r="1856" spans="1:10" hidden="1" x14ac:dyDescent="0.25">
      <c r="A1856" s="78"/>
      <c r="B1856" s="79"/>
      <c r="C1856" s="80"/>
      <c r="D1856" s="81"/>
      <c r="E1856" s="26"/>
      <c r="F1856" s="82"/>
      <c r="G1856" s="83"/>
      <c r="H1856" s="84"/>
      <c r="I1856" s="80"/>
      <c r="J1856" s="80"/>
    </row>
    <row r="1857" spans="1:10" hidden="1" x14ac:dyDescent="0.25">
      <c r="A1857" s="78"/>
      <c r="B1857" s="79"/>
      <c r="C1857" s="80"/>
      <c r="D1857" s="81"/>
      <c r="E1857" s="26"/>
      <c r="F1857" s="82"/>
      <c r="G1857" s="83"/>
      <c r="H1857" s="84"/>
      <c r="I1857" s="80"/>
      <c r="J1857" s="80"/>
    </row>
    <row r="1858" spans="1:10" hidden="1" x14ac:dyDescent="0.25">
      <c r="A1858" s="78"/>
      <c r="B1858" s="79"/>
      <c r="C1858" s="80"/>
      <c r="D1858" s="81"/>
      <c r="E1858" s="26"/>
      <c r="F1858" s="82"/>
      <c r="G1858" s="83"/>
      <c r="H1858" s="84"/>
      <c r="I1858" s="80"/>
      <c r="J1858" s="80"/>
    </row>
    <row r="1859" spans="1:10" hidden="1" x14ac:dyDescent="0.25">
      <c r="A1859" s="78"/>
      <c r="B1859" s="79"/>
      <c r="C1859" s="80"/>
      <c r="D1859" s="81"/>
      <c r="E1859" s="26"/>
      <c r="F1859" s="82"/>
      <c r="G1859" s="83"/>
      <c r="H1859" s="84"/>
      <c r="I1859" s="80"/>
      <c r="J1859" s="80"/>
    </row>
    <row r="1860" spans="1:10" hidden="1" x14ac:dyDescent="0.25">
      <c r="A1860" s="78"/>
      <c r="B1860" s="79"/>
      <c r="C1860" s="80"/>
      <c r="D1860" s="81"/>
      <c r="E1860" s="26"/>
      <c r="F1860" s="82"/>
      <c r="G1860" s="83"/>
      <c r="H1860" s="84"/>
      <c r="I1860" s="80"/>
      <c r="J1860" s="80"/>
    </row>
    <row r="1861" spans="1:10" hidden="1" x14ac:dyDescent="0.25">
      <c r="A1861" s="78"/>
      <c r="B1861" s="79"/>
      <c r="C1861" s="80"/>
      <c r="D1861" s="81"/>
      <c r="E1861" s="26"/>
      <c r="F1861" s="82"/>
      <c r="G1861" s="83"/>
      <c r="H1861" s="84"/>
      <c r="I1861" s="80"/>
      <c r="J1861" s="80"/>
    </row>
    <row r="1862" spans="1:10" hidden="1" x14ac:dyDescent="0.25">
      <c r="A1862" s="78"/>
      <c r="B1862" s="79"/>
      <c r="C1862" s="80"/>
      <c r="D1862" s="81"/>
      <c r="E1862" s="26"/>
      <c r="F1862" s="82"/>
      <c r="G1862" s="83"/>
      <c r="H1862" s="84"/>
      <c r="I1862" s="80"/>
      <c r="J1862" s="80"/>
    </row>
    <row r="1863" spans="1:10" hidden="1" x14ac:dyDescent="0.25">
      <c r="A1863" s="78"/>
      <c r="B1863" s="79"/>
      <c r="C1863" s="80"/>
      <c r="D1863" s="81"/>
      <c r="E1863" s="26"/>
      <c r="F1863" s="82"/>
      <c r="G1863" s="83"/>
      <c r="H1863" s="84"/>
      <c r="I1863" s="80"/>
      <c r="J1863" s="80"/>
    </row>
    <row r="1864" spans="1:10" hidden="1" x14ac:dyDescent="0.25">
      <c r="A1864" s="78"/>
      <c r="B1864" s="79"/>
      <c r="C1864" s="80"/>
      <c r="D1864" s="81"/>
      <c r="E1864" s="26"/>
      <c r="F1864" s="82"/>
      <c r="G1864" s="83"/>
      <c r="H1864" s="84"/>
      <c r="I1864" s="80"/>
      <c r="J1864" s="80"/>
    </row>
    <row r="1865" spans="1:10" hidden="1" x14ac:dyDescent="0.25">
      <c r="A1865" s="78"/>
      <c r="B1865" s="79"/>
      <c r="C1865" s="80"/>
      <c r="D1865" s="81"/>
      <c r="E1865" s="26"/>
      <c r="F1865" s="82"/>
      <c r="G1865" s="83"/>
      <c r="H1865" s="84"/>
      <c r="I1865" s="80"/>
      <c r="J1865" s="80"/>
    </row>
    <row r="1866" spans="1:10" hidden="1" x14ac:dyDescent="0.25">
      <c r="A1866" s="78"/>
      <c r="B1866" s="79"/>
      <c r="C1866" s="80"/>
      <c r="D1866" s="81"/>
      <c r="E1866" s="26"/>
      <c r="F1866" s="82"/>
      <c r="G1866" s="83"/>
      <c r="H1866" s="84"/>
      <c r="I1866" s="80"/>
      <c r="J1866" s="80"/>
    </row>
    <row r="1867" spans="1:10" hidden="1" x14ac:dyDescent="0.25">
      <c r="A1867" s="78"/>
      <c r="B1867" s="79"/>
      <c r="C1867" s="80"/>
      <c r="D1867" s="81"/>
      <c r="E1867" s="26"/>
      <c r="F1867" s="82"/>
      <c r="G1867" s="83"/>
      <c r="H1867" s="84"/>
      <c r="I1867" s="80"/>
      <c r="J1867" s="80"/>
    </row>
    <row r="1868" spans="1:10" hidden="1" x14ac:dyDescent="0.25">
      <c r="A1868" s="78"/>
      <c r="B1868" s="79"/>
      <c r="C1868" s="80"/>
      <c r="D1868" s="81"/>
      <c r="E1868" s="26"/>
      <c r="F1868" s="82"/>
      <c r="G1868" s="83"/>
      <c r="H1868" s="84"/>
      <c r="I1868" s="80"/>
      <c r="J1868" s="80"/>
    </row>
    <row r="1869" spans="1:10" hidden="1" x14ac:dyDescent="0.25">
      <c r="A1869" s="78"/>
      <c r="B1869" s="79"/>
      <c r="C1869" s="80"/>
      <c r="D1869" s="81"/>
      <c r="E1869" s="26"/>
      <c r="F1869" s="82"/>
      <c r="G1869" s="83"/>
      <c r="H1869" s="84"/>
      <c r="I1869" s="80"/>
      <c r="J1869" s="80"/>
    </row>
    <row r="1870" spans="1:10" hidden="1" x14ac:dyDescent="0.25">
      <c r="A1870" s="78"/>
      <c r="B1870" s="79"/>
      <c r="C1870" s="80"/>
      <c r="D1870" s="81"/>
      <c r="E1870" s="26"/>
      <c r="F1870" s="82"/>
      <c r="G1870" s="83"/>
      <c r="H1870" s="84"/>
      <c r="I1870" s="80"/>
      <c r="J1870" s="80"/>
    </row>
    <row r="1871" spans="1:10" hidden="1" x14ac:dyDescent="0.25">
      <c r="A1871" s="78"/>
      <c r="B1871" s="79"/>
      <c r="C1871" s="80"/>
      <c r="D1871" s="81"/>
      <c r="E1871" s="26"/>
      <c r="F1871" s="82"/>
      <c r="G1871" s="83"/>
      <c r="H1871" s="84"/>
      <c r="I1871" s="80"/>
      <c r="J1871" s="80"/>
    </row>
    <row r="1872" spans="1:10" hidden="1" x14ac:dyDescent="0.25">
      <c r="A1872" s="78"/>
      <c r="B1872" s="79"/>
      <c r="C1872" s="80"/>
      <c r="D1872" s="81"/>
      <c r="E1872" s="26"/>
      <c r="F1872" s="82"/>
      <c r="G1872" s="83"/>
      <c r="H1872" s="84"/>
      <c r="I1872" s="80"/>
      <c r="J1872" s="80"/>
    </row>
    <row r="1873" spans="1:10" hidden="1" x14ac:dyDescent="0.25">
      <c r="A1873" s="78"/>
      <c r="B1873" s="79"/>
      <c r="C1873" s="80"/>
      <c r="D1873" s="81"/>
      <c r="E1873" s="26"/>
      <c r="F1873" s="82"/>
      <c r="G1873" s="83"/>
      <c r="H1873" s="84"/>
      <c r="I1873" s="80"/>
      <c r="J1873" s="80"/>
    </row>
    <row r="1874" spans="1:10" hidden="1" x14ac:dyDescent="0.25">
      <c r="A1874" s="78"/>
      <c r="B1874" s="79"/>
      <c r="C1874" s="80"/>
      <c r="D1874" s="81"/>
      <c r="E1874" s="26"/>
      <c r="F1874" s="82"/>
      <c r="G1874" s="83"/>
      <c r="H1874" s="84"/>
      <c r="I1874" s="80"/>
      <c r="J1874" s="80"/>
    </row>
    <row r="1875" spans="1:10" hidden="1" x14ac:dyDescent="0.25">
      <c r="A1875" s="78"/>
      <c r="B1875" s="79"/>
      <c r="C1875" s="80"/>
      <c r="D1875" s="81"/>
      <c r="E1875" s="26"/>
      <c r="F1875" s="82"/>
      <c r="G1875" s="83"/>
      <c r="H1875" s="84"/>
      <c r="I1875" s="80"/>
      <c r="J1875" s="80"/>
    </row>
    <row r="1876" spans="1:10" hidden="1" x14ac:dyDescent="0.25">
      <c r="A1876" s="78"/>
      <c r="B1876" s="79"/>
      <c r="C1876" s="80"/>
      <c r="D1876" s="81"/>
      <c r="E1876" s="26"/>
      <c r="F1876" s="82"/>
      <c r="G1876" s="83"/>
      <c r="H1876" s="84"/>
      <c r="I1876" s="80"/>
      <c r="J1876" s="80"/>
    </row>
    <row r="1877" spans="1:10" hidden="1" x14ac:dyDescent="0.25">
      <c r="A1877" s="78"/>
      <c r="B1877" s="79"/>
      <c r="C1877" s="80"/>
      <c r="D1877" s="81"/>
      <c r="E1877" s="26"/>
      <c r="F1877" s="82"/>
      <c r="G1877" s="83"/>
      <c r="H1877" s="84"/>
      <c r="I1877" s="80"/>
      <c r="J1877" s="80"/>
    </row>
    <row r="1878" spans="1:10" hidden="1" x14ac:dyDescent="0.25">
      <c r="A1878" s="78"/>
      <c r="B1878" s="79"/>
      <c r="C1878" s="80"/>
      <c r="D1878" s="81"/>
      <c r="E1878" s="26"/>
      <c r="F1878" s="82"/>
      <c r="G1878" s="83"/>
      <c r="H1878" s="84"/>
      <c r="I1878" s="80"/>
      <c r="J1878" s="80"/>
    </row>
    <row r="1879" spans="1:10" hidden="1" x14ac:dyDescent="0.25">
      <c r="A1879" s="78"/>
      <c r="B1879" s="79"/>
      <c r="C1879" s="80"/>
      <c r="D1879" s="81"/>
      <c r="E1879" s="26"/>
      <c r="F1879" s="82"/>
      <c r="G1879" s="83"/>
      <c r="H1879" s="84"/>
      <c r="I1879" s="80"/>
      <c r="J1879" s="80"/>
    </row>
    <row r="1880" spans="1:10" hidden="1" x14ac:dyDescent="0.25">
      <c r="A1880" s="78"/>
      <c r="B1880" s="79"/>
      <c r="C1880" s="80"/>
      <c r="D1880" s="81"/>
      <c r="E1880" s="26"/>
      <c r="F1880" s="82"/>
      <c r="G1880" s="83"/>
      <c r="H1880" s="84"/>
      <c r="I1880" s="80"/>
      <c r="J1880" s="80"/>
    </row>
    <row r="1881" spans="1:10" hidden="1" x14ac:dyDescent="0.25">
      <c r="A1881" s="78"/>
      <c r="B1881" s="79"/>
      <c r="C1881" s="80"/>
      <c r="D1881" s="81"/>
      <c r="E1881" s="26"/>
      <c r="F1881" s="82"/>
      <c r="G1881" s="83"/>
      <c r="H1881" s="84"/>
      <c r="I1881" s="80"/>
      <c r="J1881" s="80"/>
    </row>
    <row r="1882" spans="1:10" hidden="1" x14ac:dyDescent="0.25">
      <c r="A1882" s="78"/>
      <c r="B1882" s="79"/>
      <c r="C1882" s="80"/>
      <c r="D1882" s="81"/>
      <c r="E1882" s="26"/>
      <c r="F1882" s="82"/>
      <c r="G1882" s="83"/>
      <c r="H1882" s="84"/>
      <c r="I1882" s="80"/>
      <c r="J1882" s="80"/>
    </row>
    <row r="1883" spans="1:10" hidden="1" x14ac:dyDescent="0.25">
      <c r="A1883" s="78"/>
      <c r="B1883" s="79"/>
      <c r="C1883" s="80"/>
      <c r="D1883" s="81"/>
      <c r="E1883" s="26"/>
      <c r="F1883" s="82"/>
      <c r="G1883" s="83"/>
      <c r="H1883" s="84"/>
      <c r="I1883" s="80"/>
      <c r="J1883" s="80"/>
    </row>
    <row r="1884" spans="1:10" hidden="1" x14ac:dyDescent="0.25">
      <c r="A1884" s="78"/>
      <c r="B1884" s="79"/>
      <c r="C1884" s="80"/>
      <c r="D1884" s="81"/>
      <c r="E1884" s="26"/>
      <c r="F1884" s="82"/>
      <c r="G1884" s="83"/>
      <c r="H1884" s="84"/>
      <c r="I1884" s="80"/>
      <c r="J1884" s="80"/>
    </row>
    <row r="1885" spans="1:10" hidden="1" x14ac:dyDescent="0.25">
      <c r="A1885" s="78"/>
      <c r="B1885" s="79"/>
      <c r="C1885" s="80"/>
      <c r="D1885" s="81"/>
      <c r="E1885" s="26"/>
      <c r="F1885" s="82"/>
      <c r="G1885" s="83"/>
      <c r="H1885" s="84"/>
      <c r="I1885" s="80"/>
      <c r="J1885" s="80"/>
    </row>
    <row r="1886" spans="1:10" hidden="1" x14ac:dyDescent="0.25">
      <c r="A1886" s="78"/>
      <c r="B1886" s="79"/>
      <c r="C1886" s="80"/>
      <c r="D1886" s="81"/>
      <c r="E1886" s="26"/>
      <c r="F1886" s="82"/>
      <c r="G1886" s="83"/>
      <c r="H1886" s="84"/>
      <c r="I1886" s="80"/>
      <c r="J1886" s="80"/>
    </row>
    <row r="1887" spans="1:10" hidden="1" x14ac:dyDescent="0.25">
      <c r="A1887" s="78"/>
      <c r="B1887" s="79"/>
      <c r="C1887" s="80"/>
      <c r="D1887" s="81"/>
      <c r="E1887" s="26"/>
      <c r="F1887" s="82"/>
      <c r="G1887" s="83"/>
      <c r="H1887" s="84"/>
      <c r="I1887" s="80"/>
      <c r="J1887" s="80"/>
    </row>
    <row r="1888" spans="1:10" hidden="1" x14ac:dyDescent="0.25">
      <c r="A1888" s="78"/>
      <c r="B1888" s="79"/>
      <c r="C1888" s="80"/>
      <c r="D1888" s="81"/>
      <c r="E1888" s="26"/>
      <c r="F1888" s="82"/>
      <c r="G1888" s="83"/>
      <c r="H1888" s="84"/>
      <c r="I1888" s="80"/>
      <c r="J1888" s="80"/>
    </row>
    <row r="1889" spans="1:10" hidden="1" x14ac:dyDescent="0.25">
      <c r="A1889" s="78"/>
      <c r="B1889" s="79"/>
      <c r="C1889" s="80"/>
      <c r="D1889" s="81"/>
      <c r="E1889" s="26"/>
      <c r="F1889" s="82"/>
      <c r="G1889" s="83"/>
      <c r="H1889" s="84"/>
      <c r="I1889" s="80"/>
      <c r="J1889" s="80"/>
    </row>
    <row r="1890" spans="1:10" hidden="1" x14ac:dyDescent="0.25">
      <c r="A1890" s="78"/>
      <c r="B1890" s="79"/>
      <c r="C1890" s="80"/>
      <c r="D1890" s="81"/>
      <c r="E1890" s="26"/>
      <c r="F1890" s="82"/>
      <c r="G1890" s="83"/>
      <c r="H1890" s="84"/>
      <c r="I1890" s="80"/>
      <c r="J1890" s="80"/>
    </row>
    <row r="1891" spans="1:10" hidden="1" x14ac:dyDescent="0.25">
      <c r="A1891" s="78"/>
      <c r="B1891" s="79"/>
      <c r="C1891" s="80"/>
      <c r="D1891" s="81"/>
      <c r="E1891" s="26"/>
      <c r="F1891" s="82"/>
      <c r="G1891" s="83"/>
      <c r="H1891" s="84"/>
      <c r="I1891" s="80"/>
      <c r="J1891" s="80"/>
    </row>
    <row r="1892" spans="1:10" hidden="1" x14ac:dyDescent="0.25">
      <c r="A1892" s="78"/>
      <c r="B1892" s="79"/>
      <c r="C1892" s="80"/>
      <c r="D1892" s="81"/>
      <c r="E1892" s="26"/>
      <c r="F1892" s="82"/>
      <c r="G1892" s="83"/>
      <c r="H1892" s="84"/>
      <c r="I1892" s="80"/>
      <c r="J1892" s="80"/>
    </row>
    <row r="1893" spans="1:10" hidden="1" x14ac:dyDescent="0.25">
      <c r="A1893" s="78"/>
      <c r="B1893" s="79"/>
      <c r="C1893" s="80"/>
      <c r="D1893" s="81"/>
      <c r="E1893" s="26"/>
      <c r="F1893" s="82"/>
      <c r="G1893" s="83"/>
      <c r="H1893" s="84"/>
      <c r="I1893" s="80"/>
      <c r="J1893" s="80"/>
    </row>
    <row r="1894" spans="1:10" hidden="1" x14ac:dyDescent="0.25">
      <c r="A1894" s="78"/>
      <c r="B1894" s="79"/>
      <c r="C1894" s="80"/>
      <c r="D1894" s="81"/>
      <c r="E1894" s="26"/>
      <c r="F1894" s="82"/>
      <c r="G1894" s="83"/>
      <c r="H1894" s="84"/>
      <c r="I1894" s="80"/>
      <c r="J1894" s="80"/>
    </row>
    <row r="1895" spans="1:10" hidden="1" x14ac:dyDescent="0.25">
      <c r="A1895" s="78"/>
      <c r="B1895" s="79"/>
      <c r="C1895" s="80"/>
      <c r="D1895" s="81"/>
      <c r="E1895" s="26"/>
      <c r="F1895" s="82"/>
      <c r="G1895" s="83"/>
      <c r="H1895" s="84"/>
      <c r="I1895" s="80"/>
      <c r="J1895" s="80"/>
    </row>
    <row r="1896" spans="1:10" hidden="1" x14ac:dyDescent="0.25">
      <c r="A1896" s="78"/>
      <c r="B1896" s="79"/>
      <c r="C1896" s="80"/>
      <c r="D1896" s="81"/>
      <c r="E1896" s="26"/>
      <c r="F1896" s="82"/>
      <c r="G1896" s="83"/>
      <c r="H1896" s="84"/>
      <c r="I1896" s="80"/>
      <c r="J1896" s="80"/>
    </row>
    <row r="1897" spans="1:10" hidden="1" x14ac:dyDescent="0.25">
      <c r="A1897" s="78"/>
      <c r="B1897" s="79"/>
      <c r="C1897" s="80"/>
      <c r="D1897" s="81"/>
      <c r="E1897" s="26"/>
      <c r="F1897" s="82"/>
      <c r="G1897" s="83"/>
      <c r="H1897" s="84"/>
      <c r="I1897" s="80"/>
      <c r="J1897" s="80"/>
    </row>
    <row r="1898" spans="1:10" hidden="1" x14ac:dyDescent="0.25">
      <c r="A1898" s="78"/>
      <c r="B1898" s="79"/>
      <c r="C1898" s="80"/>
      <c r="D1898" s="81"/>
      <c r="E1898" s="26"/>
      <c r="F1898" s="82"/>
      <c r="G1898" s="83"/>
      <c r="H1898" s="84"/>
      <c r="I1898" s="80"/>
      <c r="J1898" s="80"/>
    </row>
    <row r="1899" spans="1:10" hidden="1" x14ac:dyDescent="0.25">
      <c r="A1899" s="78"/>
      <c r="B1899" s="79"/>
      <c r="C1899" s="80"/>
      <c r="D1899" s="81"/>
      <c r="E1899" s="26"/>
      <c r="F1899" s="82"/>
      <c r="G1899" s="83"/>
      <c r="H1899" s="84"/>
      <c r="I1899" s="80"/>
      <c r="J1899" s="80"/>
    </row>
    <row r="1900" spans="1:10" hidden="1" x14ac:dyDescent="0.25">
      <c r="A1900" s="78"/>
      <c r="B1900" s="79"/>
      <c r="C1900" s="80"/>
      <c r="D1900" s="81"/>
      <c r="E1900" s="26"/>
      <c r="F1900" s="82"/>
      <c r="G1900" s="83"/>
      <c r="H1900" s="84"/>
      <c r="I1900" s="80"/>
      <c r="J1900" s="80"/>
    </row>
    <row r="1901" spans="1:10" hidden="1" x14ac:dyDescent="0.25">
      <c r="A1901" s="78"/>
      <c r="B1901" s="79"/>
      <c r="C1901" s="80"/>
      <c r="D1901" s="81"/>
      <c r="E1901" s="26"/>
      <c r="F1901" s="82"/>
      <c r="G1901" s="83"/>
      <c r="H1901" s="84"/>
      <c r="I1901" s="80"/>
      <c r="J1901" s="80"/>
    </row>
    <row r="1902" spans="1:10" hidden="1" x14ac:dyDescent="0.25">
      <c r="A1902" s="78"/>
      <c r="B1902" s="79"/>
      <c r="C1902" s="80"/>
      <c r="D1902" s="81"/>
      <c r="E1902" s="26"/>
      <c r="F1902" s="82"/>
      <c r="G1902" s="83"/>
      <c r="H1902" s="84"/>
      <c r="I1902" s="80"/>
      <c r="J1902" s="80"/>
    </row>
    <row r="1903" spans="1:10" hidden="1" x14ac:dyDescent="0.25">
      <c r="A1903" s="78"/>
      <c r="B1903" s="79"/>
      <c r="C1903" s="80"/>
      <c r="D1903" s="81"/>
      <c r="E1903" s="26"/>
      <c r="F1903" s="82"/>
      <c r="G1903" s="83"/>
      <c r="H1903" s="84"/>
      <c r="I1903" s="80"/>
      <c r="J1903" s="80"/>
    </row>
    <row r="1904" spans="1:10" hidden="1" x14ac:dyDescent="0.25">
      <c r="A1904" s="78"/>
      <c r="B1904" s="79"/>
      <c r="C1904" s="80"/>
      <c r="D1904" s="81"/>
      <c r="E1904" s="26"/>
      <c r="F1904" s="82"/>
      <c r="G1904" s="83"/>
      <c r="H1904" s="84"/>
      <c r="I1904" s="80"/>
      <c r="J1904" s="80"/>
    </row>
    <row r="1905" spans="1:10" hidden="1" x14ac:dyDescent="0.25">
      <c r="A1905" s="78"/>
      <c r="B1905" s="79"/>
      <c r="C1905" s="80"/>
      <c r="D1905" s="81"/>
      <c r="E1905" s="26"/>
      <c r="F1905" s="82"/>
      <c r="G1905" s="83"/>
      <c r="H1905" s="84"/>
      <c r="I1905" s="80"/>
      <c r="J1905" s="80"/>
    </row>
    <row r="1906" spans="1:10" hidden="1" x14ac:dyDescent="0.25">
      <c r="A1906" s="78"/>
      <c r="B1906" s="79"/>
      <c r="C1906" s="80"/>
      <c r="D1906" s="81"/>
      <c r="E1906" s="26"/>
      <c r="F1906" s="82"/>
      <c r="G1906" s="83"/>
      <c r="H1906" s="84"/>
      <c r="I1906" s="80"/>
      <c r="J1906" s="80"/>
    </row>
    <row r="1907" spans="1:10" hidden="1" x14ac:dyDescent="0.25">
      <c r="A1907" s="78"/>
      <c r="B1907" s="79"/>
      <c r="C1907" s="80"/>
      <c r="D1907" s="81"/>
      <c r="E1907" s="26"/>
      <c r="F1907" s="82"/>
      <c r="G1907" s="83"/>
      <c r="H1907" s="84"/>
      <c r="I1907" s="80"/>
      <c r="J1907" s="80"/>
    </row>
    <row r="1908" spans="1:10" hidden="1" x14ac:dyDescent="0.25">
      <c r="A1908" s="78"/>
      <c r="B1908" s="79"/>
      <c r="C1908" s="80"/>
      <c r="D1908" s="81"/>
      <c r="E1908" s="26"/>
      <c r="F1908" s="82"/>
      <c r="G1908" s="83"/>
      <c r="H1908" s="84"/>
      <c r="I1908" s="80"/>
      <c r="J1908" s="80"/>
    </row>
    <row r="1909" spans="1:10" hidden="1" x14ac:dyDescent="0.25">
      <c r="A1909" s="78"/>
      <c r="B1909" s="79"/>
      <c r="C1909" s="80"/>
      <c r="D1909" s="81"/>
      <c r="E1909" s="26"/>
      <c r="F1909" s="82"/>
      <c r="G1909" s="83"/>
      <c r="H1909" s="84"/>
      <c r="I1909" s="80"/>
      <c r="J1909" s="80"/>
    </row>
    <row r="1910" spans="1:10" hidden="1" x14ac:dyDescent="0.25">
      <c r="A1910" s="78"/>
      <c r="B1910" s="79"/>
      <c r="C1910" s="80"/>
      <c r="D1910" s="81"/>
      <c r="E1910" s="26"/>
      <c r="F1910" s="82"/>
      <c r="G1910" s="83"/>
      <c r="H1910" s="84"/>
      <c r="I1910" s="80"/>
      <c r="J1910" s="80"/>
    </row>
    <row r="1911" spans="1:10" hidden="1" x14ac:dyDescent="0.25">
      <c r="A1911" s="78"/>
      <c r="B1911" s="79"/>
      <c r="C1911" s="80"/>
      <c r="D1911" s="81"/>
      <c r="E1911" s="26"/>
      <c r="F1911" s="82"/>
      <c r="G1911" s="83"/>
      <c r="H1911" s="84"/>
      <c r="I1911" s="80"/>
      <c r="J1911" s="80"/>
    </row>
    <row r="1912" spans="1:10" hidden="1" x14ac:dyDescent="0.25">
      <c r="A1912" s="78"/>
      <c r="B1912" s="79"/>
      <c r="C1912" s="80"/>
      <c r="D1912" s="81"/>
      <c r="E1912" s="26"/>
      <c r="F1912" s="82"/>
      <c r="G1912" s="83"/>
      <c r="H1912" s="84"/>
      <c r="I1912" s="80"/>
      <c r="J1912" s="80"/>
    </row>
    <row r="1913" spans="1:10" hidden="1" x14ac:dyDescent="0.25">
      <c r="A1913" s="78"/>
      <c r="B1913" s="79"/>
      <c r="C1913" s="80"/>
      <c r="D1913" s="81"/>
      <c r="E1913" s="26"/>
      <c r="F1913" s="82"/>
      <c r="G1913" s="83"/>
      <c r="H1913" s="84"/>
      <c r="I1913" s="80"/>
      <c r="J1913" s="80"/>
    </row>
    <row r="1914" spans="1:10" hidden="1" x14ac:dyDescent="0.25">
      <c r="A1914" s="78"/>
      <c r="B1914" s="79"/>
      <c r="C1914" s="80"/>
      <c r="D1914" s="81"/>
      <c r="E1914" s="26"/>
      <c r="F1914" s="82"/>
      <c r="G1914" s="83"/>
      <c r="H1914" s="84"/>
      <c r="I1914" s="80"/>
      <c r="J1914" s="80"/>
    </row>
  </sheetData>
  <autoFilter ref="A1:M1914" xr:uid="{0A86D647-E35A-452B-AE6D-6C56F72A453C}">
    <filterColumn colId="11">
      <filters blank="1">
        <filter val="(8031) USDA PASTA, WG ROTINI 12/1LB"/>
        <filter val="(8034) GOODERS - CHED OVER HEELS"/>
        <filter val="(8035) GOODERS - SHELL WE DANCE"/>
        <filter val="(8036) GOODERS - QUESO TELL ME MORE"/>
        <filter val="MRE Cases"/>
        <filter val="UGR"/>
      </filters>
    </filterColumn>
    <filterColumn colId="12">
      <filters>
        <filter val="11"/>
      </filters>
    </filterColumn>
    <sortState xmlns:xlrd2="http://schemas.microsoft.com/office/spreadsheetml/2017/richdata2" ref="A2:M1914">
      <sortCondition ref="A1:A191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E0B4A03C-24E4-409D-9A6C-CFAB2561A7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Summary</vt:lpstr>
      <vt:lpstr>Fds Units</vt:lpstr>
      <vt:lpstr>Variance to Actuals</vt:lpstr>
      <vt:lpstr>previous forecast</vt:lpstr>
      <vt:lpstr>previous month</vt:lpstr>
      <vt:lpstr>PK units</vt:lpstr>
      <vt:lpstr>Sheet1</vt:lpstr>
      <vt:lpstr>Lookup</vt:lpstr>
      <vt:lpstr>Prophix</vt:lpstr>
      <vt:lpstr>Schedule</vt:lpstr>
      <vt:lpstr>PK Sch</vt:lpstr>
      <vt:lpstr>'Fds Units'!Print_Area</vt:lpstr>
      <vt:lpstr>'PK units'!Print_Area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Williams</dc:creator>
  <cp:lastModifiedBy>Bradyn Carrie</cp:lastModifiedBy>
  <cp:lastPrinted>2026-03-11T16:19:57Z</cp:lastPrinted>
  <dcterms:created xsi:type="dcterms:W3CDTF">2025-04-10T14:31:24Z</dcterms:created>
  <dcterms:modified xsi:type="dcterms:W3CDTF">2026-03-25T13:58:06Z</dcterms:modified>
</cp:coreProperties>
</file>